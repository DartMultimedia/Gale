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ckb\Desktop\Gale\"/>
    </mc:Choice>
  </mc:AlternateContent>
  <xr:revisionPtr revIDLastSave="0" documentId="13_ncr:1_{DAC9ED2B-BFEA-419C-BB06-C98C206BC621}" xr6:coauthVersionLast="34" xr6:coauthVersionMax="34" xr10:uidLastSave="{00000000-0000-0000-0000-000000000000}"/>
  <bookViews>
    <workbookView xWindow="0" yWindow="0" windowWidth="23040" windowHeight="9084" xr2:uid="{00000000-000D-0000-FFFF-FFFF00000000}"/>
  </bookViews>
  <sheets>
    <sheet name="Gale Dash" sheetId="3" r:id="rId1"/>
    <sheet name="WindData" sheetId="4" r:id="rId2"/>
    <sheet name="GeoData" sheetId="1" r:id="rId3"/>
    <sheet name="OptimalCities" sheetId="5" r:id="rId4"/>
    <sheet name="JourneyLegs" sheetId="6" r:id="rId5"/>
    <sheet name="Wind&amp;TableData" sheetId="2" r:id="rId6"/>
  </sheets>
  <externalReferences>
    <externalReference r:id="rId7"/>
  </externalReferences>
  <definedNames>
    <definedName name="_xlcn.WorksheetConnection_OptimalCitiesQ6S351" hidden="1">OptimalCities!$Q$6:$S$35</definedName>
    <definedName name="_xlcn.WorksheetConnection_OptimalCitiesQ7R351" hidden="1">OptimalCities!$Q$7:$R$35</definedName>
    <definedName name="_xlcn.WorksheetConnection_OptimalCitiesS6S351" hidden="1">OptimalCities!$S$6:$S$35</definedName>
    <definedName name="_xlcn.WorksheetConnection_OptimalCitiesS7S351" hidden="1">OptimalCities!$S$7:$S$35</definedName>
    <definedName name="_xlcn.WorksheetConnection_OptimalCitiesS8S351" hidden="1">OptimalCities!$S$8:$S$35</definedName>
    <definedName name="_xlcn.WorksheetConnection_OptimalCitiesS9S351" hidden="1">OptimalCities!$S$9:$S$35</definedName>
    <definedName name="_xlcn.WorksheetConnection_OptimalCitiesT6T351" hidden="1">OptimalCities!$T$6:$T$35</definedName>
    <definedName name="ALABAMALIST">'Wind&amp;TableData'!$T$3:$T$6</definedName>
    <definedName name="ALASKALIST">'Wind&amp;TableData'!$U$3:$U$9</definedName>
    <definedName name="ARIZONALIST">'Wind&amp;TableData'!$V$3:$V$7</definedName>
    <definedName name="ARKANSASLIST">'Wind&amp;TableData'!$W$3:$W$5</definedName>
    <definedName name="CALIFORNIALIST">'Wind&amp;TableData'!$X$3:$X$28</definedName>
    <definedName name="cityarray">WindData!$E$2:$E$297</definedName>
    <definedName name="citywind">[1]CleanData!$B$2:$B$1023</definedName>
    <definedName name="COLORADOLIST">'Wind&amp;TableData'!$Y$3:$Y$7</definedName>
    <definedName name="CONNECTICUTLIST">'Wind&amp;TableData'!$Z$3:$Z$4</definedName>
    <definedName name="DELAWARE">'Wind&amp;TableData'!$AA$3:$AA$4</definedName>
    <definedName name="differencelookup">Table1[[Distance]:[Longitude2]]</definedName>
    <definedName name="distancelookup">Table1[[Distance]:[State2]]</definedName>
    <definedName name="DISTRICTOFCOLUMBIALIST">'Wind&amp;TableData'!$AB$3:$AB$4</definedName>
    <definedName name="FLORIDALIST">'Wind&amp;TableData'!$AC$3:$AC$17</definedName>
    <definedName name="GEORGIALIST">'Wind&amp;TableData'!$AD$3:$AD$11</definedName>
    <definedName name="HAWAIILIST">'Wind&amp;TableData'!$AE$3:$AE$9</definedName>
    <definedName name="IDAHOLIST">'Wind&amp;TableData'!$AF$3:$AF$5</definedName>
    <definedName name="ILLINOISLIST">'Wind&amp;TableData'!$AG$3:$AG$9</definedName>
    <definedName name="INDIANALIST">'Wind&amp;TableData'!$AH$3:$AH$8</definedName>
    <definedName name="IOWALIST">'Wind&amp;TableData'!$AI$3:$AI$6</definedName>
    <definedName name="KANSASLIST">'Wind&amp;TableData'!$AJ$3:$AJ$7</definedName>
    <definedName name="KENTUCKYLIST">'Wind&amp;TableData'!$AK$3:$AK$7</definedName>
    <definedName name="Leg1Table">JourneyLegs!$G$5:$K$33</definedName>
    <definedName name="LOUISIANALIST">'Wind&amp;TableData'!$AL$3:$AL$7</definedName>
    <definedName name="MAINELIST">'Wind&amp;TableData'!$AM$3:$AM$5</definedName>
    <definedName name="MARYLANDLIST">'Wind&amp;TableData'!$AN$3:$AN$4</definedName>
    <definedName name="MASSACHUSETTSLIST">'Wind&amp;TableData'!$AO$3:$AO$7</definedName>
    <definedName name="MICHIGANLIST">'Wind&amp;TableData'!$AP$3:$AP$11</definedName>
    <definedName name="MINNESOTALIST">'Wind&amp;TableData'!$AQ$3:$AQ$7</definedName>
    <definedName name="MISSISSIPILIST">'Wind&amp;TableData'!$AR$3:$AR$6</definedName>
    <definedName name="MISSOURILIST">'Wind&amp;TableData'!$AS$3:$AS$6</definedName>
    <definedName name="MONTANALIST">'Wind&amp;TableData'!$AT$3:$AT$9</definedName>
    <definedName name="montharray">WindData!$F$1:$R$1</definedName>
    <definedName name="monthlookup">'Wind&amp;TableData'!$BU$2:$BV$13</definedName>
    <definedName name="NEBRASKALIST">'Wind&amp;TableData'!$AU$3:$AU$9</definedName>
    <definedName name="NEVADALIST">'Wind&amp;TableData'!$AV$3:$AV$8</definedName>
    <definedName name="NEWHAMPSHIRELIST">'Wind&amp;TableData'!$AW$3:$AW$5</definedName>
    <definedName name="NEWjERSEYLIST">'Wind&amp;TableData'!$AX$3:$AX$5</definedName>
    <definedName name="NEWLERSEYLIST">'Wind&amp;TableData'!$AX$3:$AX$5</definedName>
    <definedName name="NEWMEXICOLIST">'Wind&amp;TableData'!$AY$3:$AY$7</definedName>
    <definedName name="NEWYORKLIST">'Wind&amp;TableData'!$AZ$3:$AZ$14</definedName>
    <definedName name="NORTHCAROLINALIST">'Wind&amp;TableData'!$BA$3:$BA$10</definedName>
    <definedName name="NORTHDAKOTALIST">'Wind&amp;TableData'!$BB$3:$BB$7</definedName>
    <definedName name="OHIOLIST">'Wind&amp;TableData'!$BC$3:$BC$10</definedName>
    <definedName name="OKLAHOMALIST">'Wind&amp;TableData'!$BD$3:$BD$7</definedName>
    <definedName name="OREGONLIST">'Wind&amp;TableData'!$BE$3:$BE$9</definedName>
    <definedName name="PENNSYLVANIALIST">'Wind&amp;TableData'!$BF$3:$BF$9</definedName>
    <definedName name="RHODEISLANDLIST">'Wind&amp;TableData'!$BG$3</definedName>
    <definedName name="SOUTHCAROLINALIST">'Wind&amp;TableData'!$BH$3:$BH$7</definedName>
    <definedName name="SOUTHDAKOTALIST">'Wind&amp;TableData'!$BI$3:$BI$6</definedName>
    <definedName name="stateabreviation">'Wind&amp;TableData'!$Q$2:$R$52</definedName>
    <definedName name="statearray">WindData!$D$2:$D$297</definedName>
    <definedName name="tablewind">[1]CleanData!$C$2:$P$1023</definedName>
    <definedName name="TENNESSEELIST">'Wind&amp;TableData'!$BJ$3:$BJ$8</definedName>
    <definedName name="TEXASLIST">'Wind&amp;TableData'!$BK$3:$BK$19</definedName>
    <definedName name="UTAHLIST">'Wind&amp;TableData'!$BL$3:$BL$4</definedName>
    <definedName name="VERMONTLIST">'Wind&amp;TableData'!$BM$3:$BM$4</definedName>
    <definedName name="VIRGINIALIST">'Wind&amp;TableData'!$BN$3:$BN$8</definedName>
    <definedName name="WASHINGTONLIST">'Wind&amp;TableData'!$BO$3:$BO$8</definedName>
    <definedName name="WESTVIRGINIALIST">'Wind&amp;TableData'!$BP$3:$BP$6</definedName>
    <definedName name="windarray">WindData!$F$2:$R$297</definedName>
    <definedName name="winddirection">WindData!$B$5</definedName>
    <definedName name="WISCONSINLIST">'Wind&amp;TableData'!$BQ$3:$BQ$6</definedName>
    <definedName name="WYOMINGLIST">'Wind&amp;TableData'!$BR$3:$BR$6</definedName>
  </definedNames>
  <calcPr calcId="17902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6" name="Range 6" connection="WorksheetConnection_OptimalCities!$T$6:$T$35"/>
          <x15:modelTable id="Range 2" name="Range 2" connection="WorksheetConnection_OptimalCities!$S$9:$S$35"/>
          <x15:modelTable id="Range 3" name="Range 3" connection="WorksheetConnection_OptimalCities!$S$8:$S$35"/>
          <x15:modelTable id="Range 1" name="Range 1" connection="WorksheetConnection_OptimalCities!$S$7:$S$35"/>
          <x15:modelTable id="Range 5" name="Range 5" connection="WorksheetConnection_OptimalCities!$S$6:$S$35"/>
          <x15:modelTable id="Range" name="Range" connection="WorksheetConnection_OptimalCities!$Q$7:$R$35"/>
          <x15:modelTable id="Range 4" name="Range 4" connection="WorksheetConnection_OptimalCities!$Q$6:$S$3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8" i="3" l="1"/>
  <c r="A5" i="6" l="1"/>
  <c r="A4" i="6"/>
  <c r="F4" i="6"/>
  <c r="E5" i="6"/>
  <c r="F3" i="6"/>
  <c r="D3" i="6"/>
  <c r="E3" i="6"/>
  <c r="C3" i="6"/>
  <c r="A3" i="6"/>
  <c r="A2" i="6"/>
  <c r="A1" i="6"/>
  <c r="G17" i="3" l="1"/>
  <c r="G18" i="3" s="1"/>
  <c r="B3" i="4" s="1"/>
  <c r="B2" i="5" l="1"/>
  <c r="R6" i="5" s="1"/>
  <c r="D4" i="6" s="1"/>
  <c r="B3" i="5" l="1"/>
  <c r="B1" i="5"/>
  <c r="Q6" i="5" s="1"/>
  <c r="C4" i="6" s="1"/>
  <c r="B2" i="4"/>
  <c r="B1" i="4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B2" i="1"/>
  <c r="B5" i="1" s="1" a="1"/>
  <c r="B5" i="1" s="1"/>
  <c r="B3" i="1"/>
  <c r="O297" i="2"/>
  <c r="AC378" i="2" s="1"/>
  <c r="N297" i="2"/>
  <c r="AB378" i="2" s="1"/>
  <c r="M297" i="2"/>
  <c r="AA378" i="2" s="1"/>
  <c r="L297" i="2"/>
  <c r="Z378" i="2" s="1"/>
  <c r="K297" i="2"/>
  <c r="Y378" i="2" s="1"/>
  <c r="J297" i="2"/>
  <c r="X378" i="2" s="1"/>
  <c r="I297" i="2"/>
  <c r="W378" i="2" s="1"/>
  <c r="H297" i="2"/>
  <c r="V378" i="2" s="1"/>
  <c r="G297" i="2"/>
  <c r="U378" i="2" s="1"/>
  <c r="F297" i="2"/>
  <c r="T378" i="2" s="1"/>
  <c r="E297" i="2"/>
  <c r="S378" i="2" s="1"/>
  <c r="D297" i="2"/>
  <c r="R378" i="2" s="1"/>
  <c r="C297" i="2"/>
  <c r="Q378" i="2" s="1"/>
  <c r="O296" i="2"/>
  <c r="AC377" i="2" s="1"/>
  <c r="N296" i="2"/>
  <c r="AB377" i="2" s="1"/>
  <c r="M296" i="2"/>
  <c r="AA377" i="2" s="1"/>
  <c r="L296" i="2"/>
  <c r="Z377" i="2" s="1"/>
  <c r="K296" i="2"/>
  <c r="Y377" i="2" s="1"/>
  <c r="J296" i="2"/>
  <c r="X377" i="2" s="1"/>
  <c r="I296" i="2"/>
  <c r="W377" i="2" s="1"/>
  <c r="H296" i="2"/>
  <c r="V377" i="2" s="1"/>
  <c r="G296" i="2"/>
  <c r="U377" i="2" s="1"/>
  <c r="F296" i="2"/>
  <c r="T377" i="2" s="1"/>
  <c r="E296" i="2"/>
  <c r="S377" i="2" s="1"/>
  <c r="D296" i="2"/>
  <c r="R377" i="2" s="1"/>
  <c r="C296" i="2"/>
  <c r="Q377" i="2" s="1"/>
  <c r="O295" i="2"/>
  <c r="AC376" i="2" s="1"/>
  <c r="N295" i="2"/>
  <c r="AB376" i="2" s="1"/>
  <c r="M295" i="2"/>
  <c r="AA376" i="2" s="1"/>
  <c r="L295" i="2"/>
  <c r="Z376" i="2" s="1"/>
  <c r="K295" i="2"/>
  <c r="Y376" i="2" s="1"/>
  <c r="J295" i="2"/>
  <c r="X376" i="2" s="1"/>
  <c r="I295" i="2"/>
  <c r="W376" i="2" s="1"/>
  <c r="H295" i="2"/>
  <c r="V376" i="2" s="1"/>
  <c r="G295" i="2"/>
  <c r="U376" i="2" s="1"/>
  <c r="F295" i="2"/>
  <c r="T376" i="2" s="1"/>
  <c r="E295" i="2"/>
  <c r="S376" i="2" s="1"/>
  <c r="D295" i="2"/>
  <c r="R376" i="2" s="1"/>
  <c r="C295" i="2"/>
  <c r="Q376" i="2" s="1"/>
  <c r="O294" i="2"/>
  <c r="AC375" i="2" s="1"/>
  <c r="N294" i="2"/>
  <c r="AB375" i="2" s="1"/>
  <c r="M294" i="2"/>
  <c r="AA375" i="2" s="1"/>
  <c r="L294" i="2"/>
  <c r="Z375" i="2" s="1"/>
  <c r="K294" i="2"/>
  <c r="Y375" i="2" s="1"/>
  <c r="J294" i="2"/>
  <c r="X375" i="2" s="1"/>
  <c r="I294" i="2"/>
  <c r="W375" i="2" s="1"/>
  <c r="H294" i="2"/>
  <c r="V375" i="2" s="1"/>
  <c r="G294" i="2"/>
  <c r="U375" i="2" s="1"/>
  <c r="F294" i="2"/>
  <c r="T375" i="2" s="1"/>
  <c r="E294" i="2"/>
  <c r="S375" i="2" s="1"/>
  <c r="D294" i="2"/>
  <c r="R375" i="2" s="1"/>
  <c r="C294" i="2"/>
  <c r="Q375" i="2" s="1"/>
  <c r="O293" i="2"/>
  <c r="AC374" i="2" s="1"/>
  <c r="N293" i="2"/>
  <c r="AB374" i="2" s="1"/>
  <c r="M293" i="2"/>
  <c r="AA374" i="2" s="1"/>
  <c r="L293" i="2"/>
  <c r="Z374" i="2" s="1"/>
  <c r="K293" i="2"/>
  <c r="Y374" i="2" s="1"/>
  <c r="J293" i="2"/>
  <c r="X374" i="2" s="1"/>
  <c r="I293" i="2"/>
  <c r="W374" i="2" s="1"/>
  <c r="H293" i="2"/>
  <c r="V374" i="2" s="1"/>
  <c r="G293" i="2"/>
  <c r="U374" i="2" s="1"/>
  <c r="F293" i="2"/>
  <c r="T374" i="2" s="1"/>
  <c r="E293" i="2"/>
  <c r="S374" i="2" s="1"/>
  <c r="D293" i="2"/>
  <c r="R374" i="2" s="1"/>
  <c r="C293" i="2"/>
  <c r="Q374" i="2" s="1"/>
  <c r="O292" i="2"/>
  <c r="AC373" i="2" s="1"/>
  <c r="N292" i="2"/>
  <c r="AB373" i="2" s="1"/>
  <c r="M292" i="2"/>
  <c r="AA373" i="2" s="1"/>
  <c r="L292" i="2"/>
  <c r="Z373" i="2" s="1"/>
  <c r="K292" i="2"/>
  <c r="Y373" i="2" s="1"/>
  <c r="J292" i="2"/>
  <c r="X373" i="2" s="1"/>
  <c r="I292" i="2"/>
  <c r="W373" i="2" s="1"/>
  <c r="H292" i="2"/>
  <c r="V373" i="2" s="1"/>
  <c r="G292" i="2"/>
  <c r="U373" i="2" s="1"/>
  <c r="F292" i="2"/>
  <c r="T373" i="2" s="1"/>
  <c r="E292" i="2"/>
  <c r="S373" i="2" s="1"/>
  <c r="D292" i="2"/>
  <c r="R373" i="2" s="1"/>
  <c r="C292" i="2"/>
  <c r="Q373" i="2" s="1"/>
  <c r="O291" i="2"/>
  <c r="AC372" i="2" s="1"/>
  <c r="N291" i="2"/>
  <c r="AB372" i="2" s="1"/>
  <c r="M291" i="2"/>
  <c r="AA372" i="2" s="1"/>
  <c r="L291" i="2"/>
  <c r="Z372" i="2" s="1"/>
  <c r="K291" i="2"/>
  <c r="Y372" i="2" s="1"/>
  <c r="J291" i="2"/>
  <c r="X372" i="2" s="1"/>
  <c r="I291" i="2"/>
  <c r="W372" i="2" s="1"/>
  <c r="H291" i="2"/>
  <c r="V372" i="2" s="1"/>
  <c r="G291" i="2"/>
  <c r="U372" i="2" s="1"/>
  <c r="F291" i="2"/>
  <c r="T372" i="2" s="1"/>
  <c r="E291" i="2"/>
  <c r="S372" i="2" s="1"/>
  <c r="D291" i="2"/>
  <c r="R372" i="2" s="1"/>
  <c r="C291" i="2"/>
  <c r="Q372" i="2" s="1"/>
  <c r="O290" i="2"/>
  <c r="AC371" i="2" s="1"/>
  <c r="N290" i="2"/>
  <c r="AB371" i="2" s="1"/>
  <c r="M290" i="2"/>
  <c r="AA371" i="2" s="1"/>
  <c r="L290" i="2"/>
  <c r="Z371" i="2" s="1"/>
  <c r="K290" i="2"/>
  <c r="Y371" i="2" s="1"/>
  <c r="J290" i="2"/>
  <c r="X371" i="2" s="1"/>
  <c r="I290" i="2"/>
  <c r="W371" i="2" s="1"/>
  <c r="H290" i="2"/>
  <c r="V371" i="2" s="1"/>
  <c r="G290" i="2"/>
  <c r="U371" i="2" s="1"/>
  <c r="F290" i="2"/>
  <c r="T371" i="2" s="1"/>
  <c r="E290" i="2"/>
  <c r="S371" i="2" s="1"/>
  <c r="D290" i="2"/>
  <c r="R371" i="2" s="1"/>
  <c r="C290" i="2"/>
  <c r="Q371" i="2" s="1"/>
  <c r="O289" i="2"/>
  <c r="AC370" i="2" s="1"/>
  <c r="N289" i="2"/>
  <c r="AB370" i="2" s="1"/>
  <c r="M289" i="2"/>
  <c r="AA370" i="2" s="1"/>
  <c r="L289" i="2"/>
  <c r="Z370" i="2" s="1"/>
  <c r="K289" i="2"/>
  <c r="Y370" i="2" s="1"/>
  <c r="J289" i="2"/>
  <c r="X370" i="2" s="1"/>
  <c r="I289" i="2"/>
  <c r="W370" i="2" s="1"/>
  <c r="H289" i="2"/>
  <c r="V370" i="2" s="1"/>
  <c r="G289" i="2"/>
  <c r="U370" i="2" s="1"/>
  <c r="F289" i="2"/>
  <c r="T370" i="2" s="1"/>
  <c r="E289" i="2"/>
  <c r="S370" i="2" s="1"/>
  <c r="D289" i="2"/>
  <c r="R370" i="2" s="1"/>
  <c r="C289" i="2"/>
  <c r="Q370" i="2" s="1"/>
  <c r="O288" i="2"/>
  <c r="AC369" i="2" s="1"/>
  <c r="N288" i="2"/>
  <c r="AB369" i="2" s="1"/>
  <c r="M288" i="2"/>
  <c r="AA369" i="2" s="1"/>
  <c r="L288" i="2"/>
  <c r="Z369" i="2" s="1"/>
  <c r="K288" i="2"/>
  <c r="Y369" i="2" s="1"/>
  <c r="J288" i="2"/>
  <c r="X369" i="2" s="1"/>
  <c r="I288" i="2"/>
  <c r="W369" i="2" s="1"/>
  <c r="H288" i="2"/>
  <c r="V369" i="2" s="1"/>
  <c r="G288" i="2"/>
  <c r="U369" i="2" s="1"/>
  <c r="F288" i="2"/>
  <c r="T369" i="2" s="1"/>
  <c r="E288" i="2"/>
  <c r="S369" i="2" s="1"/>
  <c r="D288" i="2"/>
  <c r="R369" i="2" s="1"/>
  <c r="C288" i="2"/>
  <c r="Q369" i="2" s="1"/>
  <c r="O287" i="2"/>
  <c r="AC368" i="2" s="1"/>
  <c r="N287" i="2"/>
  <c r="AB368" i="2" s="1"/>
  <c r="M287" i="2"/>
  <c r="AA368" i="2" s="1"/>
  <c r="L287" i="2"/>
  <c r="Z368" i="2" s="1"/>
  <c r="K287" i="2"/>
  <c r="Y368" i="2" s="1"/>
  <c r="J287" i="2"/>
  <c r="X368" i="2" s="1"/>
  <c r="I287" i="2"/>
  <c r="W368" i="2" s="1"/>
  <c r="H287" i="2"/>
  <c r="V368" i="2" s="1"/>
  <c r="G287" i="2"/>
  <c r="U368" i="2" s="1"/>
  <c r="F287" i="2"/>
  <c r="T368" i="2" s="1"/>
  <c r="E287" i="2"/>
  <c r="S368" i="2" s="1"/>
  <c r="D287" i="2"/>
  <c r="R368" i="2" s="1"/>
  <c r="C287" i="2"/>
  <c r="Q368" i="2" s="1"/>
  <c r="O286" i="2"/>
  <c r="AC367" i="2" s="1"/>
  <c r="N286" i="2"/>
  <c r="AB367" i="2" s="1"/>
  <c r="M286" i="2"/>
  <c r="AA367" i="2" s="1"/>
  <c r="L286" i="2"/>
  <c r="Z367" i="2" s="1"/>
  <c r="K286" i="2"/>
  <c r="Y367" i="2" s="1"/>
  <c r="J286" i="2"/>
  <c r="X367" i="2" s="1"/>
  <c r="I286" i="2"/>
  <c r="W367" i="2" s="1"/>
  <c r="H286" i="2"/>
  <c r="V367" i="2" s="1"/>
  <c r="G286" i="2"/>
  <c r="U367" i="2" s="1"/>
  <c r="F286" i="2"/>
  <c r="T367" i="2" s="1"/>
  <c r="E286" i="2"/>
  <c r="S367" i="2" s="1"/>
  <c r="D286" i="2"/>
  <c r="R367" i="2" s="1"/>
  <c r="C286" i="2"/>
  <c r="Q367" i="2" s="1"/>
  <c r="O285" i="2"/>
  <c r="AC366" i="2" s="1"/>
  <c r="N285" i="2"/>
  <c r="AB366" i="2" s="1"/>
  <c r="M285" i="2"/>
  <c r="AA366" i="2" s="1"/>
  <c r="L285" i="2"/>
  <c r="Z366" i="2" s="1"/>
  <c r="K285" i="2"/>
  <c r="Y366" i="2" s="1"/>
  <c r="J285" i="2"/>
  <c r="X366" i="2" s="1"/>
  <c r="I285" i="2"/>
  <c r="W366" i="2" s="1"/>
  <c r="H285" i="2"/>
  <c r="V366" i="2" s="1"/>
  <c r="G285" i="2"/>
  <c r="U366" i="2" s="1"/>
  <c r="F285" i="2"/>
  <c r="T366" i="2" s="1"/>
  <c r="E285" i="2"/>
  <c r="S366" i="2" s="1"/>
  <c r="D285" i="2"/>
  <c r="R366" i="2" s="1"/>
  <c r="C285" i="2"/>
  <c r="Q366" i="2" s="1"/>
  <c r="O284" i="2"/>
  <c r="AC365" i="2" s="1"/>
  <c r="N284" i="2"/>
  <c r="AB365" i="2" s="1"/>
  <c r="M284" i="2"/>
  <c r="AA365" i="2" s="1"/>
  <c r="L284" i="2"/>
  <c r="Z365" i="2" s="1"/>
  <c r="K284" i="2"/>
  <c r="Y365" i="2" s="1"/>
  <c r="J284" i="2"/>
  <c r="X365" i="2" s="1"/>
  <c r="I284" i="2"/>
  <c r="W365" i="2" s="1"/>
  <c r="H284" i="2"/>
  <c r="V365" i="2" s="1"/>
  <c r="G284" i="2"/>
  <c r="U365" i="2" s="1"/>
  <c r="F284" i="2"/>
  <c r="T365" i="2" s="1"/>
  <c r="E284" i="2"/>
  <c r="S365" i="2" s="1"/>
  <c r="D284" i="2"/>
  <c r="R365" i="2" s="1"/>
  <c r="C284" i="2"/>
  <c r="Q365" i="2" s="1"/>
  <c r="O283" i="2"/>
  <c r="AC364" i="2" s="1"/>
  <c r="N283" i="2"/>
  <c r="AB364" i="2" s="1"/>
  <c r="M283" i="2"/>
  <c r="AA364" i="2" s="1"/>
  <c r="L283" i="2"/>
  <c r="Z364" i="2" s="1"/>
  <c r="K283" i="2"/>
  <c r="Y364" i="2" s="1"/>
  <c r="J283" i="2"/>
  <c r="X364" i="2" s="1"/>
  <c r="I283" i="2"/>
  <c r="W364" i="2" s="1"/>
  <c r="H283" i="2"/>
  <c r="V364" i="2" s="1"/>
  <c r="G283" i="2"/>
  <c r="U364" i="2" s="1"/>
  <c r="F283" i="2"/>
  <c r="T364" i="2" s="1"/>
  <c r="E283" i="2"/>
  <c r="S364" i="2" s="1"/>
  <c r="D283" i="2"/>
  <c r="R364" i="2" s="1"/>
  <c r="C283" i="2"/>
  <c r="Q364" i="2" s="1"/>
  <c r="O282" i="2"/>
  <c r="AC363" i="2" s="1"/>
  <c r="N282" i="2"/>
  <c r="AB363" i="2" s="1"/>
  <c r="M282" i="2"/>
  <c r="AA363" i="2" s="1"/>
  <c r="L282" i="2"/>
  <c r="Z363" i="2" s="1"/>
  <c r="K282" i="2"/>
  <c r="Y363" i="2" s="1"/>
  <c r="J282" i="2"/>
  <c r="X363" i="2" s="1"/>
  <c r="I282" i="2"/>
  <c r="W363" i="2" s="1"/>
  <c r="H282" i="2"/>
  <c r="V363" i="2" s="1"/>
  <c r="G282" i="2"/>
  <c r="U363" i="2" s="1"/>
  <c r="F282" i="2"/>
  <c r="T363" i="2" s="1"/>
  <c r="E282" i="2"/>
  <c r="S363" i="2" s="1"/>
  <c r="D282" i="2"/>
  <c r="R363" i="2" s="1"/>
  <c r="C282" i="2"/>
  <c r="Q363" i="2" s="1"/>
  <c r="O281" i="2"/>
  <c r="AC362" i="2" s="1"/>
  <c r="N281" i="2"/>
  <c r="AB362" i="2" s="1"/>
  <c r="M281" i="2"/>
  <c r="AA362" i="2" s="1"/>
  <c r="L281" i="2"/>
  <c r="Z362" i="2" s="1"/>
  <c r="K281" i="2"/>
  <c r="Y362" i="2" s="1"/>
  <c r="J281" i="2"/>
  <c r="X362" i="2" s="1"/>
  <c r="I281" i="2"/>
  <c r="W362" i="2" s="1"/>
  <c r="H281" i="2"/>
  <c r="V362" i="2" s="1"/>
  <c r="G281" i="2"/>
  <c r="U362" i="2" s="1"/>
  <c r="F281" i="2"/>
  <c r="T362" i="2" s="1"/>
  <c r="E281" i="2"/>
  <c r="S362" i="2" s="1"/>
  <c r="D281" i="2"/>
  <c r="R362" i="2" s="1"/>
  <c r="C281" i="2"/>
  <c r="Q362" i="2" s="1"/>
  <c r="O280" i="2"/>
  <c r="AC361" i="2" s="1"/>
  <c r="N280" i="2"/>
  <c r="AB361" i="2" s="1"/>
  <c r="M280" i="2"/>
  <c r="AA361" i="2" s="1"/>
  <c r="L280" i="2"/>
  <c r="Z361" i="2" s="1"/>
  <c r="K280" i="2"/>
  <c r="Y361" i="2" s="1"/>
  <c r="J280" i="2"/>
  <c r="X361" i="2" s="1"/>
  <c r="I280" i="2"/>
  <c r="W361" i="2" s="1"/>
  <c r="H280" i="2"/>
  <c r="V361" i="2" s="1"/>
  <c r="G280" i="2"/>
  <c r="U361" i="2" s="1"/>
  <c r="F280" i="2"/>
  <c r="T361" i="2" s="1"/>
  <c r="E280" i="2"/>
  <c r="S361" i="2" s="1"/>
  <c r="D280" i="2"/>
  <c r="R361" i="2" s="1"/>
  <c r="C280" i="2"/>
  <c r="Q361" i="2" s="1"/>
  <c r="O279" i="2"/>
  <c r="AC360" i="2" s="1"/>
  <c r="N279" i="2"/>
  <c r="AB360" i="2" s="1"/>
  <c r="M279" i="2"/>
  <c r="AA360" i="2" s="1"/>
  <c r="L279" i="2"/>
  <c r="Z360" i="2" s="1"/>
  <c r="K279" i="2"/>
  <c r="Y360" i="2" s="1"/>
  <c r="J279" i="2"/>
  <c r="X360" i="2" s="1"/>
  <c r="I279" i="2"/>
  <c r="W360" i="2" s="1"/>
  <c r="H279" i="2"/>
  <c r="V360" i="2" s="1"/>
  <c r="G279" i="2"/>
  <c r="U360" i="2" s="1"/>
  <c r="F279" i="2"/>
  <c r="T360" i="2" s="1"/>
  <c r="E279" i="2"/>
  <c r="S360" i="2" s="1"/>
  <c r="D279" i="2"/>
  <c r="R360" i="2" s="1"/>
  <c r="C279" i="2"/>
  <c r="Q360" i="2" s="1"/>
  <c r="O278" i="2"/>
  <c r="AC359" i="2" s="1"/>
  <c r="N278" i="2"/>
  <c r="AB359" i="2" s="1"/>
  <c r="M278" i="2"/>
  <c r="AA359" i="2" s="1"/>
  <c r="L278" i="2"/>
  <c r="Z359" i="2" s="1"/>
  <c r="K278" i="2"/>
  <c r="Y359" i="2" s="1"/>
  <c r="J278" i="2"/>
  <c r="X359" i="2" s="1"/>
  <c r="I278" i="2"/>
  <c r="W359" i="2" s="1"/>
  <c r="H278" i="2"/>
  <c r="V359" i="2" s="1"/>
  <c r="G278" i="2"/>
  <c r="U359" i="2" s="1"/>
  <c r="F278" i="2"/>
  <c r="T359" i="2" s="1"/>
  <c r="E278" i="2"/>
  <c r="S359" i="2" s="1"/>
  <c r="D278" i="2"/>
  <c r="R359" i="2" s="1"/>
  <c r="C278" i="2"/>
  <c r="Q359" i="2" s="1"/>
  <c r="O277" i="2"/>
  <c r="AC358" i="2" s="1"/>
  <c r="N277" i="2"/>
  <c r="AB358" i="2" s="1"/>
  <c r="M277" i="2"/>
  <c r="AA358" i="2" s="1"/>
  <c r="L277" i="2"/>
  <c r="Z358" i="2" s="1"/>
  <c r="K277" i="2"/>
  <c r="Y358" i="2" s="1"/>
  <c r="J277" i="2"/>
  <c r="X358" i="2" s="1"/>
  <c r="I277" i="2"/>
  <c r="W358" i="2" s="1"/>
  <c r="H277" i="2"/>
  <c r="V358" i="2" s="1"/>
  <c r="G277" i="2"/>
  <c r="U358" i="2" s="1"/>
  <c r="F277" i="2"/>
  <c r="T358" i="2" s="1"/>
  <c r="E277" i="2"/>
  <c r="S358" i="2" s="1"/>
  <c r="D277" i="2"/>
  <c r="R358" i="2" s="1"/>
  <c r="C277" i="2"/>
  <c r="Q358" i="2" s="1"/>
  <c r="O276" i="2"/>
  <c r="AC357" i="2" s="1"/>
  <c r="N276" i="2"/>
  <c r="AB357" i="2" s="1"/>
  <c r="M276" i="2"/>
  <c r="AA357" i="2" s="1"/>
  <c r="L276" i="2"/>
  <c r="Z357" i="2" s="1"/>
  <c r="K276" i="2"/>
  <c r="Y357" i="2" s="1"/>
  <c r="J276" i="2"/>
  <c r="X357" i="2" s="1"/>
  <c r="I276" i="2"/>
  <c r="W357" i="2" s="1"/>
  <c r="H276" i="2"/>
  <c r="V357" i="2" s="1"/>
  <c r="G276" i="2"/>
  <c r="U357" i="2" s="1"/>
  <c r="F276" i="2"/>
  <c r="T357" i="2" s="1"/>
  <c r="E276" i="2"/>
  <c r="S357" i="2" s="1"/>
  <c r="D276" i="2"/>
  <c r="R357" i="2" s="1"/>
  <c r="C276" i="2"/>
  <c r="Q357" i="2" s="1"/>
  <c r="O275" i="2"/>
  <c r="AC356" i="2" s="1"/>
  <c r="N275" i="2"/>
  <c r="AB356" i="2" s="1"/>
  <c r="M275" i="2"/>
  <c r="AA356" i="2" s="1"/>
  <c r="L275" i="2"/>
  <c r="Z356" i="2" s="1"/>
  <c r="K275" i="2"/>
  <c r="Y356" i="2" s="1"/>
  <c r="J275" i="2"/>
  <c r="X356" i="2" s="1"/>
  <c r="I275" i="2"/>
  <c r="W356" i="2" s="1"/>
  <c r="H275" i="2"/>
  <c r="V356" i="2" s="1"/>
  <c r="G275" i="2"/>
  <c r="U356" i="2" s="1"/>
  <c r="F275" i="2"/>
  <c r="T356" i="2" s="1"/>
  <c r="E275" i="2"/>
  <c r="S356" i="2" s="1"/>
  <c r="D275" i="2"/>
  <c r="R356" i="2" s="1"/>
  <c r="C275" i="2"/>
  <c r="Q356" i="2" s="1"/>
  <c r="O274" i="2"/>
  <c r="AC355" i="2" s="1"/>
  <c r="N274" i="2"/>
  <c r="AB355" i="2" s="1"/>
  <c r="M274" i="2"/>
  <c r="AA355" i="2" s="1"/>
  <c r="L274" i="2"/>
  <c r="Z355" i="2" s="1"/>
  <c r="K274" i="2"/>
  <c r="Y355" i="2" s="1"/>
  <c r="J274" i="2"/>
  <c r="X355" i="2" s="1"/>
  <c r="I274" i="2"/>
  <c r="W355" i="2" s="1"/>
  <c r="H274" i="2"/>
  <c r="V355" i="2" s="1"/>
  <c r="G274" i="2"/>
  <c r="U355" i="2" s="1"/>
  <c r="F274" i="2"/>
  <c r="T355" i="2" s="1"/>
  <c r="E274" i="2"/>
  <c r="S355" i="2" s="1"/>
  <c r="D274" i="2"/>
  <c r="R355" i="2" s="1"/>
  <c r="C274" i="2"/>
  <c r="Q355" i="2" s="1"/>
  <c r="O273" i="2"/>
  <c r="AC354" i="2" s="1"/>
  <c r="N273" i="2"/>
  <c r="AB354" i="2" s="1"/>
  <c r="M273" i="2"/>
  <c r="AA354" i="2" s="1"/>
  <c r="L273" i="2"/>
  <c r="Z354" i="2" s="1"/>
  <c r="K273" i="2"/>
  <c r="Y354" i="2" s="1"/>
  <c r="J273" i="2"/>
  <c r="X354" i="2" s="1"/>
  <c r="I273" i="2"/>
  <c r="W354" i="2" s="1"/>
  <c r="H273" i="2"/>
  <c r="V354" i="2" s="1"/>
  <c r="G273" i="2"/>
  <c r="U354" i="2" s="1"/>
  <c r="F273" i="2"/>
  <c r="T354" i="2" s="1"/>
  <c r="E273" i="2"/>
  <c r="S354" i="2" s="1"/>
  <c r="D273" i="2"/>
  <c r="R354" i="2" s="1"/>
  <c r="C273" i="2"/>
  <c r="Q354" i="2" s="1"/>
  <c r="O272" i="2"/>
  <c r="AC353" i="2" s="1"/>
  <c r="N272" i="2"/>
  <c r="AB353" i="2" s="1"/>
  <c r="M272" i="2"/>
  <c r="AA353" i="2" s="1"/>
  <c r="L272" i="2"/>
  <c r="Z353" i="2" s="1"/>
  <c r="K272" i="2"/>
  <c r="Y353" i="2" s="1"/>
  <c r="J272" i="2"/>
  <c r="X353" i="2" s="1"/>
  <c r="I272" i="2"/>
  <c r="W353" i="2" s="1"/>
  <c r="H272" i="2"/>
  <c r="V353" i="2" s="1"/>
  <c r="G272" i="2"/>
  <c r="U353" i="2" s="1"/>
  <c r="F272" i="2"/>
  <c r="T353" i="2" s="1"/>
  <c r="E272" i="2"/>
  <c r="S353" i="2" s="1"/>
  <c r="D272" i="2"/>
  <c r="R353" i="2" s="1"/>
  <c r="C272" i="2"/>
  <c r="Q353" i="2" s="1"/>
  <c r="O271" i="2"/>
  <c r="AC352" i="2" s="1"/>
  <c r="N271" i="2"/>
  <c r="AB352" i="2" s="1"/>
  <c r="M271" i="2"/>
  <c r="AA352" i="2" s="1"/>
  <c r="L271" i="2"/>
  <c r="Z352" i="2" s="1"/>
  <c r="K271" i="2"/>
  <c r="Y352" i="2" s="1"/>
  <c r="J271" i="2"/>
  <c r="X352" i="2" s="1"/>
  <c r="I271" i="2"/>
  <c r="W352" i="2" s="1"/>
  <c r="H271" i="2"/>
  <c r="V352" i="2" s="1"/>
  <c r="G271" i="2"/>
  <c r="U352" i="2" s="1"/>
  <c r="F271" i="2"/>
  <c r="T352" i="2" s="1"/>
  <c r="E271" i="2"/>
  <c r="S352" i="2" s="1"/>
  <c r="D271" i="2"/>
  <c r="R352" i="2" s="1"/>
  <c r="C271" i="2"/>
  <c r="Q352" i="2" s="1"/>
  <c r="O270" i="2"/>
  <c r="AC351" i="2" s="1"/>
  <c r="N270" i="2"/>
  <c r="AB351" i="2" s="1"/>
  <c r="M270" i="2"/>
  <c r="AA351" i="2" s="1"/>
  <c r="L270" i="2"/>
  <c r="Z351" i="2" s="1"/>
  <c r="K270" i="2"/>
  <c r="Y351" i="2" s="1"/>
  <c r="J270" i="2"/>
  <c r="X351" i="2" s="1"/>
  <c r="I270" i="2"/>
  <c r="W351" i="2" s="1"/>
  <c r="H270" i="2"/>
  <c r="V351" i="2" s="1"/>
  <c r="G270" i="2"/>
  <c r="U351" i="2" s="1"/>
  <c r="F270" i="2"/>
  <c r="T351" i="2" s="1"/>
  <c r="E270" i="2"/>
  <c r="S351" i="2" s="1"/>
  <c r="D270" i="2"/>
  <c r="R351" i="2" s="1"/>
  <c r="C270" i="2"/>
  <c r="Q351" i="2" s="1"/>
  <c r="O269" i="2"/>
  <c r="AC350" i="2" s="1"/>
  <c r="N269" i="2"/>
  <c r="AB350" i="2" s="1"/>
  <c r="M269" i="2"/>
  <c r="AA350" i="2" s="1"/>
  <c r="L269" i="2"/>
  <c r="Z350" i="2" s="1"/>
  <c r="K269" i="2"/>
  <c r="Y350" i="2" s="1"/>
  <c r="J269" i="2"/>
  <c r="X350" i="2" s="1"/>
  <c r="I269" i="2"/>
  <c r="W350" i="2" s="1"/>
  <c r="H269" i="2"/>
  <c r="V350" i="2" s="1"/>
  <c r="G269" i="2"/>
  <c r="U350" i="2" s="1"/>
  <c r="F269" i="2"/>
  <c r="T350" i="2" s="1"/>
  <c r="E269" i="2"/>
  <c r="S350" i="2" s="1"/>
  <c r="D269" i="2"/>
  <c r="R350" i="2" s="1"/>
  <c r="C269" i="2"/>
  <c r="Q350" i="2" s="1"/>
  <c r="O268" i="2"/>
  <c r="AC349" i="2" s="1"/>
  <c r="N268" i="2"/>
  <c r="AB349" i="2" s="1"/>
  <c r="M268" i="2"/>
  <c r="AA349" i="2" s="1"/>
  <c r="L268" i="2"/>
  <c r="Z349" i="2" s="1"/>
  <c r="K268" i="2"/>
  <c r="Y349" i="2" s="1"/>
  <c r="J268" i="2"/>
  <c r="X349" i="2" s="1"/>
  <c r="I268" i="2"/>
  <c r="W349" i="2" s="1"/>
  <c r="H268" i="2"/>
  <c r="V349" i="2" s="1"/>
  <c r="G268" i="2"/>
  <c r="U349" i="2" s="1"/>
  <c r="F268" i="2"/>
  <c r="T349" i="2" s="1"/>
  <c r="E268" i="2"/>
  <c r="S349" i="2" s="1"/>
  <c r="D268" i="2"/>
  <c r="R349" i="2" s="1"/>
  <c r="C268" i="2"/>
  <c r="Q349" i="2" s="1"/>
  <c r="O267" i="2"/>
  <c r="AC348" i="2" s="1"/>
  <c r="N267" i="2"/>
  <c r="AB348" i="2" s="1"/>
  <c r="M267" i="2"/>
  <c r="AA348" i="2" s="1"/>
  <c r="L267" i="2"/>
  <c r="Z348" i="2" s="1"/>
  <c r="K267" i="2"/>
  <c r="Y348" i="2" s="1"/>
  <c r="J267" i="2"/>
  <c r="X348" i="2" s="1"/>
  <c r="I267" i="2"/>
  <c r="W348" i="2" s="1"/>
  <c r="H267" i="2"/>
  <c r="V348" i="2" s="1"/>
  <c r="G267" i="2"/>
  <c r="U348" i="2" s="1"/>
  <c r="F267" i="2"/>
  <c r="T348" i="2" s="1"/>
  <c r="E267" i="2"/>
  <c r="S348" i="2" s="1"/>
  <c r="D267" i="2"/>
  <c r="R348" i="2" s="1"/>
  <c r="C267" i="2"/>
  <c r="Q348" i="2" s="1"/>
  <c r="O266" i="2"/>
  <c r="AC347" i="2" s="1"/>
  <c r="N266" i="2"/>
  <c r="AB347" i="2" s="1"/>
  <c r="M266" i="2"/>
  <c r="AA347" i="2" s="1"/>
  <c r="L266" i="2"/>
  <c r="Z347" i="2" s="1"/>
  <c r="K266" i="2"/>
  <c r="Y347" i="2" s="1"/>
  <c r="J266" i="2"/>
  <c r="X347" i="2" s="1"/>
  <c r="I266" i="2"/>
  <c r="W347" i="2" s="1"/>
  <c r="H266" i="2"/>
  <c r="V347" i="2" s="1"/>
  <c r="G266" i="2"/>
  <c r="U347" i="2" s="1"/>
  <c r="F266" i="2"/>
  <c r="T347" i="2" s="1"/>
  <c r="E266" i="2"/>
  <c r="S347" i="2" s="1"/>
  <c r="D266" i="2"/>
  <c r="R347" i="2" s="1"/>
  <c r="C266" i="2"/>
  <c r="Q347" i="2" s="1"/>
  <c r="O265" i="2"/>
  <c r="AC346" i="2" s="1"/>
  <c r="N265" i="2"/>
  <c r="AB346" i="2" s="1"/>
  <c r="M265" i="2"/>
  <c r="AA346" i="2" s="1"/>
  <c r="L265" i="2"/>
  <c r="Z346" i="2" s="1"/>
  <c r="K265" i="2"/>
  <c r="Y346" i="2" s="1"/>
  <c r="J265" i="2"/>
  <c r="X346" i="2" s="1"/>
  <c r="I265" i="2"/>
  <c r="W346" i="2" s="1"/>
  <c r="H265" i="2"/>
  <c r="V346" i="2" s="1"/>
  <c r="G265" i="2"/>
  <c r="U346" i="2" s="1"/>
  <c r="F265" i="2"/>
  <c r="T346" i="2" s="1"/>
  <c r="E265" i="2"/>
  <c r="S346" i="2" s="1"/>
  <c r="D265" i="2"/>
  <c r="R346" i="2" s="1"/>
  <c r="C265" i="2"/>
  <c r="Q346" i="2" s="1"/>
  <c r="O264" i="2"/>
  <c r="AC345" i="2" s="1"/>
  <c r="N264" i="2"/>
  <c r="AB345" i="2" s="1"/>
  <c r="M264" i="2"/>
  <c r="AA345" i="2" s="1"/>
  <c r="L264" i="2"/>
  <c r="Z345" i="2" s="1"/>
  <c r="K264" i="2"/>
  <c r="Y345" i="2" s="1"/>
  <c r="J264" i="2"/>
  <c r="X345" i="2" s="1"/>
  <c r="I264" i="2"/>
  <c r="W345" i="2" s="1"/>
  <c r="H264" i="2"/>
  <c r="V345" i="2" s="1"/>
  <c r="G264" i="2"/>
  <c r="U345" i="2" s="1"/>
  <c r="F264" i="2"/>
  <c r="T345" i="2" s="1"/>
  <c r="E264" i="2"/>
  <c r="S345" i="2" s="1"/>
  <c r="D264" i="2"/>
  <c r="R345" i="2" s="1"/>
  <c r="C264" i="2"/>
  <c r="Q345" i="2" s="1"/>
  <c r="O263" i="2"/>
  <c r="AC344" i="2" s="1"/>
  <c r="N263" i="2"/>
  <c r="AB344" i="2" s="1"/>
  <c r="M263" i="2"/>
  <c r="AA344" i="2" s="1"/>
  <c r="L263" i="2"/>
  <c r="Z344" i="2" s="1"/>
  <c r="K263" i="2"/>
  <c r="Y344" i="2" s="1"/>
  <c r="J263" i="2"/>
  <c r="X344" i="2" s="1"/>
  <c r="I263" i="2"/>
  <c r="W344" i="2" s="1"/>
  <c r="H263" i="2"/>
  <c r="V344" i="2" s="1"/>
  <c r="G263" i="2"/>
  <c r="U344" i="2" s="1"/>
  <c r="F263" i="2"/>
  <c r="T344" i="2" s="1"/>
  <c r="E263" i="2"/>
  <c r="S344" i="2" s="1"/>
  <c r="D263" i="2"/>
  <c r="R344" i="2" s="1"/>
  <c r="C263" i="2"/>
  <c r="Q344" i="2" s="1"/>
  <c r="O262" i="2"/>
  <c r="AC343" i="2" s="1"/>
  <c r="N262" i="2"/>
  <c r="AB343" i="2" s="1"/>
  <c r="M262" i="2"/>
  <c r="AA343" i="2" s="1"/>
  <c r="L262" i="2"/>
  <c r="Z343" i="2" s="1"/>
  <c r="K262" i="2"/>
  <c r="Y343" i="2" s="1"/>
  <c r="J262" i="2"/>
  <c r="X343" i="2" s="1"/>
  <c r="I262" i="2"/>
  <c r="W343" i="2" s="1"/>
  <c r="H262" i="2"/>
  <c r="V343" i="2" s="1"/>
  <c r="G262" i="2"/>
  <c r="U343" i="2" s="1"/>
  <c r="F262" i="2"/>
  <c r="T343" i="2" s="1"/>
  <c r="E262" i="2"/>
  <c r="S343" i="2" s="1"/>
  <c r="D262" i="2"/>
  <c r="R343" i="2" s="1"/>
  <c r="C262" i="2"/>
  <c r="Q343" i="2" s="1"/>
  <c r="O261" i="2"/>
  <c r="AC342" i="2" s="1"/>
  <c r="N261" i="2"/>
  <c r="AB342" i="2" s="1"/>
  <c r="M261" i="2"/>
  <c r="AA342" i="2" s="1"/>
  <c r="L261" i="2"/>
  <c r="Z342" i="2" s="1"/>
  <c r="K261" i="2"/>
  <c r="Y342" i="2" s="1"/>
  <c r="J261" i="2"/>
  <c r="X342" i="2" s="1"/>
  <c r="I261" i="2"/>
  <c r="W342" i="2" s="1"/>
  <c r="H261" i="2"/>
  <c r="V342" i="2" s="1"/>
  <c r="G261" i="2"/>
  <c r="U342" i="2" s="1"/>
  <c r="F261" i="2"/>
  <c r="T342" i="2" s="1"/>
  <c r="E261" i="2"/>
  <c r="S342" i="2" s="1"/>
  <c r="D261" i="2"/>
  <c r="R342" i="2" s="1"/>
  <c r="C261" i="2"/>
  <c r="Q342" i="2" s="1"/>
  <c r="O260" i="2"/>
  <c r="AC341" i="2" s="1"/>
  <c r="N260" i="2"/>
  <c r="AB341" i="2" s="1"/>
  <c r="M260" i="2"/>
  <c r="AA341" i="2" s="1"/>
  <c r="L260" i="2"/>
  <c r="Z341" i="2" s="1"/>
  <c r="K260" i="2"/>
  <c r="Y341" i="2" s="1"/>
  <c r="J260" i="2"/>
  <c r="X341" i="2" s="1"/>
  <c r="I260" i="2"/>
  <c r="W341" i="2" s="1"/>
  <c r="H260" i="2"/>
  <c r="V341" i="2" s="1"/>
  <c r="G260" i="2"/>
  <c r="U341" i="2" s="1"/>
  <c r="F260" i="2"/>
  <c r="T341" i="2" s="1"/>
  <c r="E260" i="2"/>
  <c r="S341" i="2" s="1"/>
  <c r="D260" i="2"/>
  <c r="R341" i="2" s="1"/>
  <c r="C260" i="2"/>
  <c r="Q341" i="2" s="1"/>
  <c r="O259" i="2"/>
  <c r="AC340" i="2" s="1"/>
  <c r="N259" i="2"/>
  <c r="AB340" i="2" s="1"/>
  <c r="M259" i="2"/>
  <c r="AA340" i="2" s="1"/>
  <c r="L259" i="2"/>
  <c r="Z340" i="2" s="1"/>
  <c r="K259" i="2"/>
  <c r="Y340" i="2" s="1"/>
  <c r="J259" i="2"/>
  <c r="X340" i="2" s="1"/>
  <c r="I259" i="2"/>
  <c r="W340" i="2" s="1"/>
  <c r="H259" i="2"/>
  <c r="V340" i="2" s="1"/>
  <c r="G259" i="2"/>
  <c r="U340" i="2" s="1"/>
  <c r="F259" i="2"/>
  <c r="T340" i="2" s="1"/>
  <c r="E259" i="2"/>
  <c r="S340" i="2" s="1"/>
  <c r="D259" i="2"/>
  <c r="R340" i="2" s="1"/>
  <c r="C259" i="2"/>
  <c r="Q340" i="2" s="1"/>
  <c r="O258" i="2"/>
  <c r="AC339" i="2" s="1"/>
  <c r="N258" i="2"/>
  <c r="AB339" i="2" s="1"/>
  <c r="M258" i="2"/>
  <c r="AA339" i="2" s="1"/>
  <c r="L258" i="2"/>
  <c r="Z339" i="2" s="1"/>
  <c r="K258" i="2"/>
  <c r="Y339" i="2" s="1"/>
  <c r="J258" i="2"/>
  <c r="X339" i="2" s="1"/>
  <c r="I258" i="2"/>
  <c r="W339" i="2" s="1"/>
  <c r="H258" i="2"/>
  <c r="V339" i="2" s="1"/>
  <c r="G258" i="2"/>
  <c r="U339" i="2" s="1"/>
  <c r="F258" i="2"/>
  <c r="T339" i="2" s="1"/>
  <c r="E258" i="2"/>
  <c r="S339" i="2" s="1"/>
  <c r="D258" i="2"/>
  <c r="R339" i="2" s="1"/>
  <c r="C258" i="2"/>
  <c r="Q339" i="2" s="1"/>
  <c r="O257" i="2"/>
  <c r="AC338" i="2" s="1"/>
  <c r="N257" i="2"/>
  <c r="AB338" i="2" s="1"/>
  <c r="M257" i="2"/>
  <c r="AA338" i="2" s="1"/>
  <c r="L257" i="2"/>
  <c r="Z338" i="2" s="1"/>
  <c r="K257" i="2"/>
  <c r="Y338" i="2" s="1"/>
  <c r="J257" i="2"/>
  <c r="X338" i="2" s="1"/>
  <c r="I257" i="2"/>
  <c r="W338" i="2" s="1"/>
  <c r="H257" i="2"/>
  <c r="V338" i="2" s="1"/>
  <c r="G257" i="2"/>
  <c r="U338" i="2" s="1"/>
  <c r="F257" i="2"/>
  <c r="T338" i="2" s="1"/>
  <c r="E257" i="2"/>
  <c r="S338" i="2" s="1"/>
  <c r="D257" i="2"/>
  <c r="R338" i="2" s="1"/>
  <c r="C257" i="2"/>
  <c r="Q338" i="2" s="1"/>
  <c r="O256" i="2"/>
  <c r="AC337" i="2" s="1"/>
  <c r="N256" i="2"/>
  <c r="AB337" i="2" s="1"/>
  <c r="M256" i="2"/>
  <c r="AA337" i="2" s="1"/>
  <c r="L256" i="2"/>
  <c r="Z337" i="2" s="1"/>
  <c r="K256" i="2"/>
  <c r="Y337" i="2" s="1"/>
  <c r="J256" i="2"/>
  <c r="X337" i="2" s="1"/>
  <c r="I256" i="2"/>
  <c r="W337" i="2" s="1"/>
  <c r="H256" i="2"/>
  <c r="V337" i="2" s="1"/>
  <c r="G256" i="2"/>
  <c r="U337" i="2" s="1"/>
  <c r="F256" i="2"/>
  <c r="T337" i="2" s="1"/>
  <c r="E256" i="2"/>
  <c r="S337" i="2" s="1"/>
  <c r="D256" i="2"/>
  <c r="R337" i="2" s="1"/>
  <c r="C256" i="2"/>
  <c r="Q337" i="2" s="1"/>
  <c r="O255" i="2"/>
  <c r="AC336" i="2" s="1"/>
  <c r="N255" i="2"/>
  <c r="AB336" i="2" s="1"/>
  <c r="M255" i="2"/>
  <c r="AA336" i="2" s="1"/>
  <c r="L255" i="2"/>
  <c r="Z336" i="2" s="1"/>
  <c r="K255" i="2"/>
  <c r="Y336" i="2" s="1"/>
  <c r="J255" i="2"/>
  <c r="X336" i="2" s="1"/>
  <c r="I255" i="2"/>
  <c r="W336" i="2" s="1"/>
  <c r="H255" i="2"/>
  <c r="V336" i="2" s="1"/>
  <c r="G255" i="2"/>
  <c r="U336" i="2" s="1"/>
  <c r="F255" i="2"/>
  <c r="T336" i="2" s="1"/>
  <c r="E255" i="2"/>
  <c r="S336" i="2" s="1"/>
  <c r="D255" i="2"/>
  <c r="R336" i="2" s="1"/>
  <c r="C255" i="2"/>
  <c r="Q336" i="2" s="1"/>
  <c r="O254" i="2"/>
  <c r="AC335" i="2" s="1"/>
  <c r="N254" i="2"/>
  <c r="AB335" i="2" s="1"/>
  <c r="M254" i="2"/>
  <c r="AA335" i="2" s="1"/>
  <c r="L254" i="2"/>
  <c r="Z335" i="2" s="1"/>
  <c r="K254" i="2"/>
  <c r="Y335" i="2" s="1"/>
  <c r="J254" i="2"/>
  <c r="X335" i="2" s="1"/>
  <c r="I254" i="2"/>
  <c r="W335" i="2" s="1"/>
  <c r="H254" i="2"/>
  <c r="V335" i="2" s="1"/>
  <c r="G254" i="2"/>
  <c r="U335" i="2" s="1"/>
  <c r="F254" i="2"/>
  <c r="T335" i="2" s="1"/>
  <c r="E254" i="2"/>
  <c r="S335" i="2" s="1"/>
  <c r="D254" i="2"/>
  <c r="R335" i="2" s="1"/>
  <c r="C254" i="2"/>
  <c r="Q335" i="2" s="1"/>
  <c r="O253" i="2"/>
  <c r="AC334" i="2" s="1"/>
  <c r="N253" i="2"/>
  <c r="AB334" i="2" s="1"/>
  <c r="M253" i="2"/>
  <c r="AA334" i="2" s="1"/>
  <c r="L253" i="2"/>
  <c r="Z334" i="2" s="1"/>
  <c r="K253" i="2"/>
  <c r="Y334" i="2" s="1"/>
  <c r="J253" i="2"/>
  <c r="X334" i="2" s="1"/>
  <c r="I253" i="2"/>
  <c r="W334" i="2" s="1"/>
  <c r="H253" i="2"/>
  <c r="V334" i="2" s="1"/>
  <c r="G253" i="2"/>
  <c r="U334" i="2" s="1"/>
  <c r="F253" i="2"/>
  <c r="T334" i="2" s="1"/>
  <c r="E253" i="2"/>
  <c r="S334" i="2" s="1"/>
  <c r="D253" i="2"/>
  <c r="R334" i="2" s="1"/>
  <c r="C253" i="2"/>
  <c r="Q334" i="2" s="1"/>
  <c r="O252" i="2"/>
  <c r="AC333" i="2" s="1"/>
  <c r="N252" i="2"/>
  <c r="AB333" i="2" s="1"/>
  <c r="M252" i="2"/>
  <c r="AA333" i="2" s="1"/>
  <c r="L252" i="2"/>
  <c r="Z333" i="2" s="1"/>
  <c r="K252" i="2"/>
  <c r="Y333" i="2" s="1"/>
  <c r="J252" i="2"/>
  <c r="X333" i="2" s="1"/>
  <c r="I252" i="2"/>
  <c r="W333" i="2" s="1"/>
  <c r="H252" i="2"/>
  <c r="V333" i="2" s="1"/>
  <c r="G252" i="2"/>
  <c r="U333" i="2" s="1"/>
  <c r="F252" i="2"/>
  <c r="T333" i="2" s="1"/>
  <c r="E252" i="2"/>
  <c r="S333" i="2" s="1"/>
  <c r="D252" i="2"/>
  <c r="R333" i="2" s="1"/>
  <c r="C252" i="2"/>
  <c r="Q333" i="2" s="1"/>
  <c r="O251" i="2"/>
  <c r="AC332" i="2" s="1"/>
  <c r="N251" i="2"/>
  <c r="AB332" i="2" s="1"/>
  <c r="M251" i="2"/>
  <c r="AA332" i="2" s="1"/>
  <c r="L251" i="2"/>
  <c r="Z332" i="2" s="1"/>
  <c r="K251" i="2"/>
  <c r="Y332" i="2" s="1"/>
  <c r="J251" i="2"/>
  <c r="X332" i="2" s="1"/>
  <c r="I251" i="2"/>
  <c r="W332" i="2" s="1"/>
  <c r="H251" i="2"/>
  <c r="V332" i="2" s="1"/>
  <c r="G251" i="2"/>
  <c r="U332" i="2" s="1"/>
  <c r="F251" i="2"/>
  <c r="T332" i="2" s="1"/>
  <c r="E251" i="2"/>
  <c r="S332" i="2" s="1"/>
  <c r="D251" i="2"/>
  <c r="R332" i="2" s="1"/>
  <c r="C251" i="2"/>
  <c r="Q332" i="2" s="1"/>
  <c r="O250" i="2"/>
  <c r="AC331" i="2" s="1"/>
  <c r="N250" i="2"/>
  <c r="AB331" i="2" s="1"/>
  <c r="M250" i="2"/>
  <c r="AA331" i="2" s="1"/>
  <c r="L250" i="2"/>
  <c r="Z331" i="2" s="1"/>
  <c r="K250" i="2"/>
  <c r="Y331" i="2" s="1"/>
  <c r="J250" i="2"/>
  <c r="X331" i="2" s="1"/>
  <c r="I250" i="2"/>
  <c r="W331" i="2" s="1"/>
  <c r="H250" i="2"/>
  <c r="V331" i="2" s="1"/>
  <c r="G250" i="2"/>
  <c r="U331" i="2" s="1"/>
  <c r="F250" i="2"/>
  <c r="T331" i="2" s="1"/>
  <c r="E250" i="2"/>
  <c r="S331" i="2" s="1"/>
  <c r="D250" i="2"/>
  <c r="R331" i="2" s="1"/>
  <c r="C250" i="2"/>
  <c r="Q331" i="2" s="1"/>
  <c r="O249" i="2"/>
  <c r="AC330" i="2" s="1"/>
  <c r="N249" i="2"/>
  <c r="AB330" i="2" s="1"/>
  <c r="M249" i="2"/>
  <c r="AA330" i="2" s="1"/>
  <c r="L249" i="2"/>
  <c r="Z330" i="2" s="1"/>
  <c r="K249" i="2"/>
  <c r="Y330" i="2" s="1"/>
  <c r="J249" i="2"/>
  <c r="X330" i="2" s="1"/>
  <c r="I249" i="2"/>
  <c r="W330" i="2" s="1"/>
  <c r="H249" i="2"/>
  <c r="V330" i="2" s="1"/>
  <c r="G249" i="2"/>
  <c r="U330" i="2" s="1"/>
  <c r="F249" i="2"/>
  <c r="T330" i="2" s="1"/>
  <c r="E249" i="2"/>
  <c r="S330" i="2" s="1"/>
  <c r="D249" i="2"/>
  <c r="R330" i="2" s="1"/>
  <c r="C249" i="2"/>
  <c r="Q330" i="2" s="1"/>
  <c r="O248" i="2"/>
  <c r="AC329" i="2" s="1"/>
  <c r="N248" i="2"/>
  <c r="AB329" i="2" s="1"/>
  <c r="M248" i="2"/>
  <c r="AA329" i="2" s="1"/>
  <c r="L248" i="2"/>
  <c r="Z329" i="2" s="1"/>
  <c r="K248" i="2"/>
  <c r="Y329" i="2" s="1"/>
  <c r="J248" i="2"/>
  <c r="X329" i="2" s="1"/>
  <c r="I248" i="2"/>
  <c r="W329" i="2" s="1"/>
  <c r="H248" i="2"/>
  <c r="V329" i="2" s="1"/>
  <c r="G248" i="2"/>
  <c r="U329" i="2" s="1"/>
  <c r="F248" i="2"/>
  <c r="T329" i="2" s="1"/>
  <c r="E248" i="2"/>
  <c r="S329" i="2" s="1"/>
  <c r="D248" i="2"/>
  <c r="R329" i="2" s="1"/>
  <c r="C248" i="2"/>
  <c r="Q329" i="2" s="1"/>
  <c r="O247" i="2"/>
  <c r="AC328" i="2" s="1"/>
  <c r="N247" i="2"/>
  <c r="AB328" i="2" s="1"/>
  <c r="M247" i="2"/>
  <c r="AA328" i="2" s="1"/>
  <c r="L247" i="2"/>
  <c r="Z328" i="2" s="1"/>
  <c r="K247" i="2"/>
  <c r="Y328" i="2" s="1"/>
  <c r="J247" i="2"/>
  <c r="X328" i="2" s="1"/>
  <c r="I247" i="2"/>
  <c r="W328" i="2" s="1"/>
  <c r="H247" i="2"/>
  <c r="V328" i="2" s="1"/>
  <c r="G247" i="2"/>
  <c r="U328" i="2" s="1"/>
  <c r="F247" i="2"/>
  <c r="T328" i="2" s="1"/>
  <c r="E247" i="2"/>
  <c r="S328" i="2" s="1"/>
  <c r="D247" i="2"/>
  <c r="R328" i="2" s="1"/>
  <c r="C247" i="2"/>
  <c r="Q328" i="2" s="1"/>
  <c r="O246" i="2"/>
  <c r="AC327" i="2" s="1"/>
  <c r="N246" i="2"/>
  <c r="AB327" i="2" s="1"/>
  <c r="M246" i="2"/>
  <c r="AA327" i="2" s="1"/>
  <c r="L246" i="2"/>
  <c r="Z327" i="2" s="1"/>
  <c r="K246" i="2"/>
  <c r="Y327" i="2" s="1"/>
  <c r="J246" i="2"/>
  <c r="X327" i="2" s="1"/>
  <c r="I246" i="2"/>
  <c r="W327" i="2" s="1"/>
  <c r="H246" i="2"/>
  <c r="V327" i="2" s="1"/>
  <c r="G246" i="2"/>
  <c r="U327" i="2" s="1"/>
  <c r="F246" i="2"/>
  <c r="T327" i="2" s="1"/>
  <c r="E246" i="2"/>
  <c r="S327" i="2" s="1"/>
  <c r="D246" i="2"/>
  <c r="R327" i="2" s="1"/>
  <c r="C246" i="2"/>
  <c r="Q327" i="2" s="1"/>
  <c r="O245" i="2"/>
  <c r="AC326" i="2" s="1"/>
  <c r="N245" i="2"/>
  <c r="AB326" i="2" s="1"/>
  <c r="M245" i="2"/>
  <c r="AA326" i="2" s="1"/>
  <c r="L245" i="2"/>
  <c r="Z326" i="2" s="1"/>
  <c r="K245" i="2"/>
  <c r="Y326" i="2" s="1"/>
  <c r="J245" i="2"/>
  <c r="X326" i="2" s="1"/>
  <c r="I245" i="2"/>
  <c r="W326" i="2" s="1"/>
  <c r="H245" i="2"/>
  <c r="V326" i="2" s="1"/>
  <c r="G245" i="2"/>
  <c r="U326" i="2" s="1"/>
  <c r="F245" i="2"/>
  <c r="T326" i="2" s="1"/>
  <c r="E245" i="2"/>
  <c r="S326" i="2" s="1"/>
  <c r="D245" i="2"/>
  <c r="R326" i="2" s="1"/>
  <c r="C245" i="2"/>
  <c r="Q326" i="2" s="1"/>
  <c r="O244" i="2"/>
  <c r="AC325" i="2" s="1"/>
  <c r="N244" i="2"/>
  <c r="AB325" i="2" s="1"/>
  <c r="M244" i="2"/>
  <c r="AA325" i="2" s="1"/>
  <c r="L244" i="2"/>
  <c r="Z325" i="2" s="1"/>
  <c r="K244" i="2"/>
  <c r="Y325" i="2" s="1"/>
  <c r="J244" i="2"/>
  <c r="X325" i="2" s="1"/>
  <c r="I244" i="2"/>
  <c r="W325" i="2" s="1"/>
  <c r="H244" i="2"/>
  <c r="V325" i="2" s="1"/>
  <c r="G244" i="2"/>
  <c r="U325" i="2" s="1"/>
  <c r="F244" i="2"/>
  <c r="T325" i="2" s="1"/>
  <c r="E244" i="2"/>
  <c r="S325" i="2" s="1"/>
  <c r="D244" i="2"/>
  <c r="R325" i="2" s="1"/>
  <c r="C244" i="2"/>
  <c r="Q325" i="2" s="1"/>
  <c r="O243" i="2"/>
  <c r="AC324" i="2" s="1"/>
  <c r="N243" i="2"/>
  <c r="AB324" i="2" s="1"/>
  <c r="M243" i="2"/>
  <c r="AA324" i="2" s="1"/>
  <c r="L243" i="2"/>
  <c r="Z324" i="2" s="1"/>
  <c r="K243" i="2"/>
  <c r="Y324" i="2" s="1"/>
  <c r="J243" i="2"/>
  <c r="X324" i="2" s="1"/>
  <c r="I243" i="2"/>
  <c r="W324" i="2" s="1"/>
  <c r="H243" i="2"/>
  <c r="V324" i="2" s="1"/>
  <c r="G243" i="2"/>
  <c r="U324" i="2" s="1"/>
  <c r="F243" i="2"/>
  <c r="T324" i="2" s="1"/>
  <c r="E243" i="2"/>
  <c r="S324" i="2" s="1"/>
  <c r="D243" i="2"/>
  <c r="R324" i="2" s="1"/>
  <c r="C243" i="2"/>
  <c r="Q324" i="2" s="1"/>
  <c r="O242" i="2"/>
  <c r="AC323" i="2" s="1"/>
  <c r="N242" i="2"/>
  <c r="AB323" i="2" s="1"/>
  <c r="M242" i="2"/>
  <c r="AA323" i="2" s="1"/>
  <c r="L242" i="2"/>
  <c r="Z323" i="2" s="1"/>
  <c r="K242" i="2"/>
  <c r="Y323" i="2" s="1"/>
  <c r="J242" i="2"/>
  <c r="X323" i="2" s="1"/>
  <c r="I242" i="2"/>
  <c r="W323" i="2" s="1"/>
  <c r="H242" i="2"/>
  <c r="V323" i="2" s="1"/>
  <c r="G242" i="2"/>
  <c r="U323" i="2" s="1"/>
  <c r="F242" i="2"/>
  <c r="T323" i="2" s="1"/>
  <c r="E242" i="2"/>
  <c r="S323" i="2" s="1"/>
  <c r="D242" i="2"/>
  <c r="R323" i="2" s="1"/>
  <c r="C242" i="2"/>
  <c r="Q323" i="2" s="1"/>
  <c r="O241" i="2"/>
  <c r="AC322" i="2" s="1"/>
  <c r="N241" i="2"/>
  <c r="AB322" i="2" s="1"/>
  <c r="M241" i="2"/>
  <c r="AA322" i="2" s="1"/>
  <c r="L241" i="2"/>
  <c r="Z322" i="2" s="1"/>
  <c r="K241" i="2"/>
  <c r="Y322" i="2" s="1"/>
  <c r="J241" i="2"/>
  <c r="X322" i="2" s="1"/>
  <c r="I241" i="2"/>
  <c r="W322" i="2" s="1"/>
  <c r="H241" i="2"/>
  <c r="V322" i="2" s="1"/>
  <c r="G241" i="2"/>
  <c r="U322" i="2" s="1"/>
  <c r="F241" i="2"/>
  <c r="T322" i="2" s="1"/>
  <c r="E241" i="2"/>
  <c r="S322" i="2" s="1"/>
  <c r="D241" i="2"/>
  <c r="R322" i="2" s="1"/>
  <c r="C241" i="2"/>
  <c r="Q322" i="2" s="1"/>
  <c r="O240" i="2"/>
  <c r="AC321" i="2" s="1"/>
  <c r="N240" i="2"/>
  <c r="AB321" i="2" s="1"/>
  <c r="M240" i="2"/>
  <c r="AA321" i="2" s="1"/>
  <c r="L240" i="2"/>
  <c r="Z321" i="2" s="1"/>
  <c r="K240" i="2"/>
  <c r="Y321" i="2" s="1"/>
  <c r="J240" i="2"/>
  <c r="X321" i="2" s="1"/>
  <c r="I240" i="2"/>
  <c r="W321" i="2" s="1"/>
  <c r="H240" i="2"/>
  <c r="V321" i="2" s="1"/>
  <c r="G240" i="2"/>
  <c r="U321" i="2" s="1"/>
  <c r="F240" i="2"/>
  <c r="T321" i="2" s="1"/>
  <c r="E240" i="2"/>
  <c r="S321" i="2" s="1"/>
  <c r="D240" i="2"/>
  <c r="R321" i="2" s="1"/>
  <c r="C240" i="2"/>
  <c r="Q321" i="2" s="1"/>
  <c r="O239" i="2"/>
  <c r="AC320" i="2" s="1"/>
  <c r="N239" i="2"/>
  <c r="AB320" i="2" s="1"/>
  <c r="M239" i="2"/>
  <c r="AA320" i="2" s="1"/>
  <c r="L239" i="2"/>
  <c r="Z320" i="2" s="1"/>
  <c r="K239" i="2"/>
  <c r="Y320" i="2" s="1"/>
  <c r="J239" i="2"/>
  <c r="X320" i="2" s="1"/>
  <c r="I239" i="2"/>
  <c r="W320" i="2" s="1"/>
  <c r="H239" i="2"/>
  <c r="V320" i="2" s="1"/>
  <c r="G239" i="2"/>
  <c r="U320" i="2" s="1"/>
  <c r="F239" i="2"/>
  <c r="T320" i="2" s="1"/>
  <c r="E239" i="2"/>
  <c r="S320" i="2" s="1"/>
  <c r="D239" i="2"/>
  <c r="R320" i="2" s="1"/>
  <c r="C239" i="2"/>
  <c r="Q320" i="2" s="1"/>
  <c r="O238" i="2"/>
  <c r="AC319" i="2" s="1"/>
  <c r="N238" i="2"/>
  <c r="AB319" i="2" s="1"/>
  <c r="M238" i="2"/>
  <c r="AA319" i="2" s="1"/>
  <c r="L238" i="2"/>
  <c r="Z319" i="2" s="1"/>
  <c r="K238" i="2"/>
  <c r="Y319" i="2" s="1"/>
  <c r="J238" i="2"/>
  <c r="X319" i="2" s="1"/>
  <c r="I238" i="2"/>
  <c r="W319" i="2" s="1"/>
  <c r="H238" i="2"/>
  <c r="V319" i="2" s="1"/>
  <c r="G238" i="2"/>
  <c r="U319" i="2" s="1"/>
  <c r="F238" i="2"/>
  <c r="T319" i="2" s="1"/>
  <c r="E238" i="2"/>
  <c r="S319" i="2" s="1"/>
  <c r="D238" i="2"/>
  <c r="R319" i="2" s="1"/>
  <c r="C238" i="2"/>
  <c r="Q319" i="2" s="1"/>
  <c r="O237" i="2"/>
  <c r="AC318" i="2" s="1"/>
  <c r="N237" i="2"/>
  <c r="AB318" i="2" s="1"/>
  <c r="M237" i="2"/>
  <c r="AA318" i="2" s="1"/>
  <c r="L237" i="2"/>
  <c r="Z318" i="2" s="1"/>
  <c r="K237" i="2"/>
  <c r="Y318" i="2" s="1"/>
  <c r="J237" i="2"/>
  <c r="X318" i="2" s="1"/>
  <c r="I237" i="2"/>
  <c r="W318" i="2" s="1"/>
  <c r="H237" i="2"/>
  <c r="V318" i="2" s="1"/>
  <c r="G237" i="2"/>
  <c r="U318" i="2" s="1"/>
  <c r="F237" i="2"/>
  <c r="T318" i="2" s="1"/>
  <c r="E237" i="2"/>
  <c r="S318" i="2" s="1"/>
  <c r="D237" i="2"/>
  <c r="R318" i="2" s="1"/>
  <c r="C237" i="2"/>
  <c r="Q318" i="2" s="1"/>
  <c r="O236" i="2"/>
  <c r="AC317" i="2" s="1"/>
  <c r="N236" i="2"/>
  <c r="AB317" i="2" s="1"/>
  <c r="M236" i="2"/>
  <c r="AA317" i="2" s="1"/>
  <c r="L236" i="2"/>
  <c r="Z317" i="2" s="1"/>
  <c r="K236" i="2"/>
  <c r="Y317" i="2" s="1"/>
  <c r="J236" i="2"/>
  <c r="X317" i="2" s="1"/>
  <c r="I236" i="2"/>
  <c r="W317" i="2" s="1"/>
  <c r="H236" i="2"/>
  <c r="V317" i="2" s="1"/>
  <c r="G236" i="2"/>
  <c r="U317" i="2" s="1"/>
  <c r="F236" i="2"/>
  <c r="T317" i="2" s="1"/>
  <c r="E236" i="2"/>
  <c r="S317" i="2" s="1"/>
  <c r="D236" i="2"/>
  <c r="R317" i="2" s="1"/>
  <c r="C236" i="2"/>
  <c r="Q317" i="2" s="1"/>
  <c r="O235" i="2"/>
  <c r="AC316" i="2" s="1"/>
  <c r="N235" i="2"/>
  <c r="AB316" i="2" s="1"/>
  <c r="M235" i="2"/>
  <c r="AA316" i="2" s="1"/>
  <c r="L235" i="2"/>
  <c r="Z316" i="2" s="1"/>
  <c r="K235" i="2"/>
  <c r="Y316" i="2" s="1"/>
  <c r="J235" i="2"/>
  <c r="X316" i="2" s="1"/>
  <c r="I235" i="2"/>
  <c r="W316" i="2" s="1"/>
  <c r="H235" i="2"/>
  <c r="V316" i="2" s="1"/>
  <c r="G235" i="2"/>
  <c r="U316" i="2" s="1"/>
  <c r="F235" i="2"/>
  <c r="T316" i="2" s="1"/>
  <c r="E235" i="2"/>
  <c r="S316" i="2" s="1"/>
  <c r="D235" i="2"/>
  <c r="R316" i="2" s="1"/>
  <c r="C235" i="2"/>
  <c r="Q316" i="2" s="1"/>
  <c r="O234" i="2"/>
  <c r="AC315" i="2" s="1"/>
  <c r="N234" i="2"/>
  <c r="AB315" i="2" s="1"/>
  <c r="M234" i="2"/>
  <c r="AA315" i="2" s="1"/>
  <c r="L234" i="2"/>
  <c r="Z315" i="2" s="1"/>
  <c r="K234" i="2"/>
  <c r="Y315" i="2" s="1"/>
  <c r="J234" i="2"/>
  <c r="X315" i="2" s="1"/>
  <c r="I234" i="2"/>
  <c r="W315" i="2" s="1"/>
  <c r="H234" i="2"/>
  <c r="V315" i="2" s="1"/>
  <c r="G234" i="2"/>
  <c r="U315" i="2" s="1"/>
  <c r="F234" i="2"/>
  <c r="T315" i="2" s="1"/>
  <c r="E234" i="2"/>
  <c r="S315" i="2" s="1"/>
  <c r="D234" i="2"/>
  <c r="R315" i="2" s="1"/>
  <c r="C234" i="2"/>
  <c r="Q315" i="2" s="1"/>
  <c r="O233" i="2"/>
  <c r="AC314" i="2" s="1"/>
  <c r="N233" i="2"/>
  <c r="AB314" i="2" s="1"/>
  <c r="M233" i="2"/>
  <c r="AA314" i="2" s="1"/>
  <c r="L233" i="2"/>
  <c r="Z314" i="2" s="1"/>
  <c r="K233" i="2"/>
  <c r="Y314" i="2" s="1"/>
  <c r="J233" i="2"/>
  <c r="X314" i="2" s="1"/>
  <c r="I233" i="2"/>
  <c r="W314" i="2" s="1"/>
  <c r="H233" i="2"/>
  <c r="V314" i="2" s="1"/>
  <c r="G233" i="2"/>
  <c r="U314" i="2" s="1"/>
  <c r="F233" i="2"/>
  <c r="T314" i="2" s="1"/>
  <c r="E233" i="2"/>
  <c r="S314" i="2" s="1"/>
  <c r="D233" i="2"/>
  <c r="R314" i="2" s="1"/>
  <c r="C233" i="2"/>
  <c r="Q314" i="2" s="1"/>
  <c r="O232" i="2"/>
  <c r="AC313" i="2" s="1"/>
  <c r="N232" i="2"/>
  <c r="AB313" i="2" s="1"/>
  <c r="M232" i="2"/>
  <c r="AA313" i="2" s="1"/>
  <c r="L232" i="2"/>
  <c r="Z313" i="2" s="1"/>
  <c r="K232" i="2"/>
  <c r="Y313" i="2" s="1"/>
  <c r="J232" i="2"/>
  <c r="X313" i="2" s="1"/>
  <c r="I232" i="2"/>
  <c r="W313" i="2" s="1"/>
  <c r="H232" i="2"/>
  <c r="V313" i="2" s="1"/>
  <c r="G232" i="2"/>
  <c r="U313" i="2" s="1"/>
  <c r="F232" i="2"/>
  <c r="T313" i="2" s="1"/>
  <c r="E232" i="2"/>
  <c r="S313" i="2" s="1"/>
  <c r="D232" i="2"/>
  <c r="R313" i="2" s="1"/>
  <c r="C232" i="2"/>
  <c r="Q313" i="2" s="1"/>
  <c r="O231" i="2"/>
  <c r="AC312" i="2" s="1"/>
  <c r="N231" i="2"/>
  <c r="AB312" i="2" s="1"/>
  <c r="M231" i="2"/>
  <c r="AA312" i="2" s="1"/>
  <c r="L231" i="2"/>
  <c r="Z312" i="2" s="1"/>
  <c r="K231" i="2"/>
  <c r="Y312" i="2" s="1"/>
  <c r="J231" i="2"/>
  <c r="X312" i="2" s="1"/>
  <c r="I231" i="2"/>
  <c r="W312" i="2" s="1"/>
  <c r="H231" i="2"/>
  <c r="V312" i="2" s="1"/>
  <c r="G231" i="2"/>
  <c r="U312" i="2" s="1"/>
  <c r="F231" i="2"/>
  <c r="T312" i="2" s="1"/>
  <c r="E231" i="2"/>
  <c r="S312" i="2" s="1"/>
  <c r="D231" i="2"/>
  <c r="R312" i="2" s="1"/>
  <c r="C231" i="2"/>
  <c r="Q312" i="2" s="1"/>
  <c r="O230" i="2"/>
  <c r="AC311" i="2" s="1"/>
  <c r="N230" i="2"/>
  <c r="AB311" i="2" s="1"/>
  <c r="M230" i="2"/>
  <c r="AA311" i="2" s="1"/>
  <c r="L230" i="2"/>
  <c r="Z311" i="2" s="1"/>
  <c r="K230" i="2"/>
  <c r="Y311" i="2" s="1"/>
  <c r="J230" i="2"/>
  <c r="X311" i="2" s="1"/>
  <c r="I230" i="2"/>
  <c r="W311" i="2" s="1"/>
  <c r="H230" i="2"/>
  <c r="V311" i="2" s="1"/>
  <c r="G230" i="2"/>
  <c r="U311" i="2" s="1"/>
  <c r="F230" i="2"/>
  <c r="T311" i="2" s="1"/>
  <c r="E230" i="2"/>
  <c r="S311" i="2" s="1"/>
  <c r="D230" i="2"/>
  <c r="R311" i="2" s="1"/>
  <c r="C230" i="2"/>
  <c r="Q311" i="2" s="1"/>
  <c r="O229" i="2"/>
  <c r="AC310" i="2" s="1"/>
  <c r="N229" i="2"/>
  <c r="AB310" i="2" s="1"/>
  <c r="M229" i="2"/>
  <c r="AA310" i="2" s="1"/>
  <c r="L229" i="2"/>
  <c r="Z310" i="2" s="1"/>
  <c r="K229" i="2"/>
  <c r="Y310" i="2" s="1"/>
  <c r="J229" i="2"/>
  <c r="X310" i="2" s="1"/>
  <c r="I229" i="2"/>
  <c r="W310" i="2" s="1"/>
  <c r="H229" i="2"/>
  <c r="V310" i="2" s="1"/>
  <c r="G229" i="2"/>
  <c r="U310" i="2" s="1"/>
  <c r="F229" i="2"/>
  <c r="T310" i="2" s="1"/>
  <c r="E229" i="2"/>
  <c r="S310" i="2" s="1"/>
  <c r="D229" i="2"/>
  <c r="R310" i="2" s="1"/>
  <c r="C229" i="2"/>
  <c r="Q310" i="2" s="1"/>
  <c r="O228" i="2"/>
  <c r="AC309" i="2" s="1"/>
  <c r="N228" i="2"/>
  <c r="AB309" i="2" s="1"/>
  <c r="M228" i="2"/>
  <c r="AA309" i="2" s="1"/>
  <c r="L228" i="2"/>
  <c r="Z309" i="2" s="1"/>
  <c r="K228" i="2"/>
  <c r="Y309" i="2" s="1"/>
  <c r="J228" i="2"/>
  <c r="X309" i="2" s="1"/>
  <c r="I228" i="2"/>
  <c r="W309" i="2" s="1"/>
  <c r="H228" i="2"/>
  <c r="V309" i="2" s="1"/>
  <c r="G228" i="2"/>
  <c r="U309" i="2" s="1"/>
  <c r="F228" i="2"/>
  <c r="T309" i="2" s="1"/>
  <c r="E228" i="2"/>
  <c r="S309" i="2" s="1"/>
  <c r="D228" i="2"/>
  <c r="R309" i="2" s="1"/>
  <c r="C228" i="2"/>
  <c r="Q309" i="2" s="1"/>
  <c r="O227" i="2"/>
  <c r="AC308" i="2" s="1"/>
  <c r="N227" i="2"/>
  <c r="AB308" i="2" s="1"/>
  <c r="M227" i="2"/>
  <c r="AA308" i="2" s="1"/>
  <c r="L227" i="2"/>
  <c r="Z308" i="2" s="1"/>
  <c r="K227" i="2"/>
  <c r="Y308" i="2" s="1"/>
  <c r="J227" i="2"/>
  <c r="X308" i="2" s="1"/>
  <c r="I227" i="2"/>
  <c r="W308" i="2" s="1"/>
  <c r="H227" i="2"/>
  <c r="V308" i="2" s="1"/>
  <c r="G227" i="2"/>
  <c r="U308" i="2" s="1"/>
  <c r="F227" i="2"/>
  <c r="T308" i="2" s="1"/>
  <c r="E227" i="2"/>
  <c r="S308" i="2" s="1"/>
  <c r="D227" i="2"/>
  <c r="R308" i="2" s="1"/>
  <c r="C227" i="2"/>
  <c r="Q308" i="2" s="1"/>
  <c r="O226" i="2"/>
  <c r="AC307" i="2" s="1"/>
  <c r="N226" i="2"/>
  <c r="AB307" i="2" s="1"/>
  <c r="M226" i="2"/>
  <c r="AA307" i="2" s="1"/>
  <c r="L226" i="2"/>
  <c r="Z307" i="2" s="1"/>
  <c r="K226" i="2"/>
  <c r="Y307" i="2" s="1"/>
  <c r="J226" i="2"/>
  <c r="X307" i="2" s="1"/>
  <c r="I226" i="2"/>
  <c r="W307" i="2" s="1"/>
  <c r="H226" i="2"/>
  <c r="V307" i="2" s="1"/>
  <c r="G226" i="2"/>
  <c r="U307" i="2" s="1"/>
  <c r="F226" i="2"/>
  <c r="T307" i="2" s="1"/>
  <c r="E226" i="2"/>
  <c r="S307" i="2" s="1"/>
  <c r="D226" i="2"/>
  <c r="R307" i="2" s="1"/>
  <c r="C226" i="2"/>
  <c r="Q307" i="2" s="1"/>
  <c r="O225" i="2"/>
  <c r="AC306" i="2" s="1"/>
  <c r="N225" i="2"/>
  <c r="AB306" i="2" s="1"/>
  <c r="M225" i="2"/>
  <c r="AA306" i="2" s="1"/>
  <c r="L225" i="2"/>
  <c r="Z306" i="2" s="1"/>
  <c r="K225" i="2"/>
  <c r="Y306" i="2" s="1"/>
  <c r="J225" i="2"/>
  <c r="X306" i="2" s="1"/>
  <c r="I225" i="2"/>
  <c r="W306" i="2" s="1"/>
  <c r="H225" i="2"/>
  <c r="V306" i="2" s="1"/>
  <c r="G225" i="2"/>
  <c r="U306" i="2" s="1"/>
  <c r="F225" i="2"/>
  <c r="T306" i="2" s="1"/>
  <c r="E225" i="2"/>
  <c r="S306" i="2" s="1"/>
  <c r="D225" i="2"/>
  <c r="R306" i="2" s="1"/>
  <c r="C225" i="2"/>
  <c r="Q306" i="2" s="1"/>
  <c r="O224" i="2"/>
  <c r="AC305" i="2" s="1"/>
  <c r="N224" i="2"/>
  <c r="AB305" i="2" s="1"/>
  <c r="M224" i="2"/>
  <c r="AA305" i="2" s="1"/>
  <c r="L224" i="2"/>
  <c r="Z305" i="2" s="1"/>
  <c r="K224" i="2"/>
  <c r="Y305" i="2" s="1"/>
  <c r="J224" i="2"/>
  <c r="X305" i="2" s="1"/>
  <c r="I224" i="2"/>
  <c r="W305" i="2" s="1"/>
  <c r="H224" i="2"/>
  <c r="V305" i="2" s="1"/>
  <c r="G224" i="2"/>
  <c r="U305" i="2" s="1"/>
  <c r="F224" i="2"/>
  <c r="T305" i="2" s="1"/>
  <c r="E224" i="2"/>
  <c r="S305" i="2" s="1"/>
  <c r="D224" i="2"/>
  <c r="R305" i="2" s="1"/>
  <c r="C224" i="2"/>
  <c r="Q305" i="2" s="1"/>
  <c r="O223" i="2"/>
  <c r="AC304" i="2" s="1"/>
  <c r="N223" i="2"/>
  <c r="AB304" i="2" s="1"/>
  <c r="M223" i="2"/>
  <c r="AA304" i="2" s="1"/>
  <c r="L223" i="2"/>
  <c r="Z304" i="2" s="1"/>
  <c r="K223" i="2"/>
  <c r="Y304" i="2" s="1"/>
  <c r="J223" i="2"/>
  <c r="X304" i="2" s="1"/>
  <c r="I223" i="2"/>
  <c r="W304" i="2" s="1"/>
  <c r="H223" i="2"/>
  <c r="V304" i="2" s="1"/>
  <c r="G223" i="2"/>
  <c r="U304" i="2" s="1"/>
  <c r="F223" i="2"/>
  <c r="T304" i="2" s="1"/>
  <c r="E223" i="2"/>
  <c r="S304" i="2" s="1"/>
  <c r="D223" i="2"/>
  <c r="R304" i="2" s="1"/>
  <c r="C223" i="2"/>
  <c r="Q304" i="2" s="1"/>
  <c r="O222" i="2"/>
  <c r="AC303" i="2" s="1"/>
  <c r="N222" i="2"/>
  <c r="AB303" i="2" s="1"/>
  <c r="M222" i="2"/>
  <c r="AA303" i="2" s="1"/>
  <c r="L222" i="2"/>
  <c r="Z303" i="2" s="1"/>
  <c r="K222" i="2"/>
  <c r="Y303" i="2" s="1"/>
  <c r="J222" i="2"/>
  <c r="X303" i="2" s="1"/>
  <c r="I222" i="2"/>
  <c r="W303" i="2" s="1"/>
  <c r="H222" i="2"/>
  <c r="V303" i="2" s="1"/>
  <c r="G222" i="2"/>
  <c r="U303" i="2" s="1"/>
  <c r="F222" i="2"/>
  <c r="T303" i="2" s="1"/>
  <c r="E222" i="2"/>
  <c r="S303" i="2" s="1"/>
  <c r="D222" i="2"/>
  <c r="R303" i="2" s="1"/>
  <c r="C222" i="2"/>
  <c r="Q303" i="2" s="1"/>
  <c r="O221" i="2"/>
  <c r="AC302" i="2" s="1"/>
  <c r="N221" i="2"/>
  <c r="AB302" i="2" s="1"/>
  <c r="M221" i="2"/>
  <c r="AA302" i="2" s="1"/>
  <c r="L221" i="2"/>
  <c r="Z302" i="2" s="1"/>
  <c r="K221" i="2"/>
  <c r="Y302" i="2" s="1"/>
  <c r="J221" i="2"/>
  <c r="X302" i="2" s="1"/>
  <c r="I221" i="2"/>
  <c r="W302" i="2" s="1"/>
  <c r="H221" i="2"/>
  <c r="V302" i="2" s="1"/>
  <c r="G221" i="2"/>
  <c r="U302" i="2" s="1"/>
  <c r="F221" i="2"/>
  <c r="T302" i="2" s="1"/>
  <c r="E221" i="2"/>
  <c r="S302" i="2" s="1"/>
  <c r="D221" i="2"/>
  <c r="R302" i="2" s="1"/>
  <c r="C221" i="2"/>
  <c r="Q302" i="2" s="1"/>
  <c r="O220" i="2"/>
  <c r="AC301" i="2" s="1"/>
  <c r="N220" i="2"/>
  <c r="AB301" i="2" s="1"/>
  <c r="M220" i="2"/>
  <c r="AA301" i="2" s="1"/>
  <c r="L220" i="2"/>
  <c r="Z301" i="2" s="1"/>
  <c r="K220" i="2"/>
  <c r="Y301" i="2" s="1"/>
  <c r="J220" i="2"/>
  <c r="X301" i="2" s="1"/>
  <c r="I220" i="2"/>
  <c r="W301" i="2" s="1"/>
  <c r="H220" i="2"/>
  <c r="V301" i="2" s="1"/>
  <c r="G220" i="2"/>
  <c r="U301" i="2" s="1"/>
  <c r="F220" i="2"/>
  <c r="T301" i="2" s="1"/>
  <c r="E220" i="2"/>
  <c r="S301" i="2" s="1"/>
  <c r="D220" i="2"/>
  <c r="R301" i="2" s="1"/>
  <c r="C220" i="2"/>
  <c r="Q301" i="2" s="1"/>
  <c r="O219" i="2"/>
  <c r="AC300" i="2" s="1"/>
  <c r="N219" i="2"/>
  <c r="AB300" i="2" s="1"/>
  <c r="M219" i="2"/>
  <c r="AA300" i="2" s="1"/>
  <c r="L219" i="2"/>
  <c r="Z300" i="2" s="1"/>
  <c r="K219" i="2"/>
  <c r="Y300" i="2" s="1"/>
  <c r="J219" i="2"/>
  <c r="X300" i="2" s="1"/>
  <c r="I219" i="2"/>
  <c r="W300" i="2" s="1"/>
  <c r="H219" i="2"/>
  <c r="V300" i="2" s="1"/>
  <c r="G219" i="2"/>
  <c r="U300" i="2" s="1"/>
  <c r="F219" i="2"/>
  <c r="T300" i="2" s="1"/>
  <c r="E219" i="2"/>
  <c r="S300" i="2" s="1"/>
  <c r="D219" i="2"/>
  <c r="R300" i="2" s="1"/>
  <c r="C219" i="2"/>
  <c r="Q300" i="2" s="1"/>
  <c r="O218" i="2"/>
  <c r="AC299" i="2" s="1"/>
  <c r="N218" i="2"/>
  <c r="AB299" i="2" s="1"/>
  <c r="M218" i="2"/>
  <c r="AA299" i="2" s="1"/>
  <c r="L218" i="2"/>
  <c r="Z299" i="2" s="1"/>
  <c r="K218" i="2"/>
  <c r="Y299" i="2" s="1"/>
  <c r="J218" i="2"/>
  <c r="X299" i="2" s="1"/>
  <c r="I218" i="2"/>
  <c r="W299" i="2" s="1"/>
  <c r="H218" i="2"/>
  <c r="V299" i="2" s="1"/>
  <c r="G218" i="2"/>
  <c r="U299" i="2" s="1"/>
  <c r="F218" i="2"/>
  <c r="T299" i="2" s="1"/>
  <c r="E218" i="2"/>
  <c r="S299" i="2" s="1"/>
  <c r="D218" i="2"/>
  <c r="R299" i="2" s="1"/>
  <c r="C218" i="2"/>
  <c r="Q299" i="2" s="1"/>
  <c r="O217" i="2"/>
  <c r="AC298" i="2" s="1"/>
  <c r="N217" i="2"/>
  <c r="AB298" i="2" s="1"/>
  <c r="M217" i="2"/>
  <c r="AA298" i="2" s="1"/>
  <c r="L217" i="2"/>
  <c r="Z298" i="2" s="1"/>
  <c r="K217" i="2"/>
  <c r="Y298" i="2" s="1"/>
  <c r="J217" i="2"/>
  <c r="X298" i="2" s="1"/>
  <c r="I217" i="2"/>
  <c r="W298" i="2" s="1"/>
  <c r="H217" i="2"/>
  <c r="V298" i="2" s="1"/>
  <c r="G217" i="2"/>
  <c r="U298" i="2" s="1"/>
  <c r="F217" i="2"/>
  <c r="T298" i="2" s="1"/>
  <c r="E217" i="2"/>
  <c r="S298" i="2" s="1"/>
  <c r="D217" i="2"/>
  <c r="R298" i="2" s="1"/>
  <c r="C217" i="2"/>
  <c r="Q298" i="2" s="1"/>
  <c r="O216" i="2"/>
  <c r="AC297" i="2" s="1"/>
  <c r="N216" i="2"/>
  <c r="AB297" i="2" s="1"/>
  <c r="M216" i="2"/>
  <c r="AA297" i="2" s="1"/>
  <c r="L216" i="2"/>
  <c r="Z297" i="2" s="1"/>
  <c r="K216" i="2"/>
  <c r="Y297" i="2" s="1"/>
  <c r="J216" i="2"/>
  <c r="X297" i="2" s="1"/>
  <c r="I216" i="2"/>
  <c r="W297" i="2" s="1"/>
  <c r="H216" i="2"/>
  <c r="V297" i="2" s="1"/>
  <c r="G216" i="2"/>
  <c r="U297" i="2" s="1"/>
  <c r="F216" i="2"/>
  <c r="T297" i="2" s="1"/>
  <c r="E216" i="2"/>
  <c r="S297" i="2" s="1"/>
  <c r="D216" i="2"/>
  <c r="R297" i="2" s="1"/>
  <c r="C216" i="2"/>
  <c r="Q297" i="2" s="1"/>
  <c r="O215" i="2"/>
  <c r="AC296" i="2" s="1"/>
  <c r="N215" i="2"/>
  <c r="AB296" i="2" s="1"/>
  <c r="M215" i="2"/>
  <c r="AA296" i="2" s="1"/>
  <c r="L215" i="2"/>
  <c r="Z296" i="2" s="1"/>
  <c r="K215" i="2"/>
  <c r="Y296" i="2" s="1"/>
  <c r="J215" i="2"/>
  <c r="X296" i="2" s="1"/>
  <c r="I215" i="2"/>
  <c r="W296" i="2" s="1"/>
  <c r="H215" i="2"/>
  <c r="V296" i="2" s="1"/>
  <c r="G215" i="2"/>
  <c r="U296" i="2" s="1"/>
  <c r="F215" i="2"/>
  <c r="T296" i="2" s="1"/>
  <c r="E215" i="2"/>
  <c r="S296" i="2" s="1"/>
  <c r="D215" i="2"/>
  <c r="R296" i="2" s="1"/>
  <c r="C215" i="2"/>
  <c r="Q296" i="2" s="1"/>
  <c r="O214" i="2"/>
  <c r="AC295" i="2" s="1"/>
  <c r="N214" i="2"/>
  <c r="AB295" i="2" s="1"/>
  <c r="M214" i="2"/>
  <c r="AA295" i="2" s="1"/>
  <c r="L214" i="2"/>
  <c r="Z295" i="2" s="1"/>
  <c r="K214" i="2"/>
  <c r="Y295" i="2" s="1"/>
  <c r="J214" i="2"/>
  <c r="X295" i="2" s="1"/>
  <c r="I214" i="2"/>
  <c r="W295" i="2" s="1"/>
  <c r="H214" i="2"/>
  <c r="V295" i="2" s="1"/>
  <c r="G214" i="2"/>
  <c r="U295" i="2" s="1"/>
  <c r="F214" i="2"/>
  <c r="T295" i="2" s="1"/>
  <c r="E214" i="2"/>
  <c r="S295" i="2" s="1"/>
  <c r="D214" i="2"/>
  <c r="R295" i="2" s="1"/>
  <c r="C214" i="2"/>
  <c r="Q295" i="2" s="1"/>
  <c r="O213" i="2"/>
  <c r="AC294" i="2" s="1"/>
  <c r="N213" i="2"/>
  <c r="AB294" i="2" s="1"/>
  <c r="M213" i="2"/>
  <c r="AA294" i="2" s="1"/>
  <c r="L213" i="2"/>
  <c r="Z294" i="2" s="1"/>
  <c r="K213" i="2"/>
  <c r="Y294" i="2" s="1"/>
  <c r="J213" i="2"/>
  <c r="X294" i="2" s="1"/>
  <c r="I213" i="2"/>
  <c r="W294" i="2" s="1"/>
  <c r="H213" i="2"/>
  <c r="V294" i="2" s="1"/>
  <c r="G213" i="2"/>
  <c r="U294" i="2" s="1"/>
  <c r="F213" i="2"/>
  <c r="T294" i="2" s="1"/>
  <c r="E213" i="2"/>
  <c r="S294" i="2" s="1"/>
  <c r="D213" i="2"/>
  <c r="R294" i="2" s="1"/>
  <c r="C213" i="2"/>
  <c r="Q294" i="2" s="1"/>
  <c r="O212" i="2"/>
  <c r="AC293" i="2" s="1"/>
  <c r="N212" i="2"/>
  <c r="AB293" i="2" s="1"/>
  <c r="M212" i="2"/>
  <c r="AA293" i="2" s="1"/>
  <c r="L212" i="2"/>
  <c r="Z293" i="2" s="1"/>
  <c r="K212" i="2"/>
  <c r="Y293" i="2" s="1"/>
  <c r="J212" i="2"/>
  <c r="X293" i="2" s="1"/>
  <c r="I212" i="2"/>
  <c r="W293" i="2" s="1"/>
  <c r="H212" i="2"/>
  <c r="V293" i="2" s="1"/>
  <c r="G212" i="2"/>
  <c r="U293" i="2" s="1"/>
  <c r="F212" i="2"/>
  <c r="T293" i="2" s="1"/>
  <c r="E212" i="2"/>
  <c r="S293" i="2" s="1"/>
  <c r="D212" i="2"/>
  <c r="R293" i="2" s="1"/>
  <c r="C212" i="2"/>
  <c r="Q293" i="2" s="1"/>
  <c r="O211" i="2"/>
  <c r="AC292" i="2" s="1"/>
  <c r="N211" i="2"/>
  <c r="AB292" i="2" s="1"/>
  <c r="M211" i="2"/>
  <c r="AA292" i="2" s="1"/>
  <c r="L211" i="2"/>
  <c r="Z292" i="2" s="1"/>
  <c r="K211" i="2"/>
  <c r="Y292" i="2" s="1"/>
  <c r="J211" i="2"/>
  <c r="X292" i="2" s="1"/>
  <c r="I211" i="2"/>
  <c r="W292" i="2" s="1"/>
  <c r="H211" i="2"/>
  <c r="V292" i="2" s="1"/>
  <c r="G211" i="2"/>
  <c r="U292" i="2" s="1"/>
  <c r="F211" i="2"/>
  <c r="T292" i="2" s="1"/>
  <c r="E211" i="2"/>
  <c r="S292" i="2" s="1"/>
  <c r="D211" i="2"/>
  <c r="R292" i="2" s="1"/>
  <c r="C211" i="2"/>
  <c r="Q292" i="2" s="1"/>
  <c r="O210" i="2"/>
  <c r="AC291" i="2" s="1"/>
  <c r="N210" i="2"/>
  <c r="AB291" i="2" s="1"/>
  <c r="M210" i="2"/>
  <c r="AA291" i="2" s="1"/>
  <c r="L210" i="2"/>
  <c r="Z291" i="2" s="1"/>
  <c r="K210" i="2"/>
  <c r="Y291" i="2" s="1"/>
  <c r="J210" i="2"/>
  <c r="X291" i="2" s="1"/>
  <c r="I210" i="2"/>
  <c r="W291" i="2" s="1"/>
  <c r="H210" i="2"/>
  <c r="V291" i="2" s="1"/>
  <c r="G210" i="2"/>
  <c r="U291" i="2" s="1"/>
  <c r="F210" i="2"/>
  <c r="T291" i="2" s="1"/>
  <c r="E210" i="2"/>
  <c r="S291" i="2" s="1"/>
  <c r="D210" i="2"/>
  <c r="R291" i="2" s="1"/>
  <c r="C210" i="2"/>
  <c r="Q291" i="2" s="1"/>
  <c r="O209" i="2"/>
  <c r="AC290" i="2" s="1"/>
  <c r="N209" i="2"/>
  <c r="AB290" i="2" s="1"/>
  <c r="M209" i="2"/>
  <c r="AA290" i="2" s="1"/>
  <c r="L209" i="2"/>
  <c r="Z290" i="2" s="1"/>
  <c r="K209" i="2"/>
  <c r="Y290" i="2" s="1"/>
  <c r="J209" i="2"/>
  <c r="X290" i="2" s="1"/>
  <c r="I209" i="2"/>
  <c r="W290" i="2" s="1"/>
  <c r="H209" i="2"/>
  <c r="V290" i="2" s="1"/>
  <c r="G209" i="2"/>
  <c r="U290" i="2" s="1"/>
  <c r="F209" i="2"/>
  <c r="T290" i="2" s="1"/>
  <c r="E209" i="2"/>
  <c r="S290" i="2" s="1"/>
  <c r="D209" i="2"/>
  <c r="R290" i="2" s="1"/>
  <c r="C209" i="2"/>
  <c r="Q290" i="2" s="1"/>
  <c r="O208" i="2"/>
  <c r="AC289" i="2" s="1"/>
  <c r="N208" i="2"/>
  <c r="AB289" i="2" s="1"/>
  <c r="M208" i="2"/>
  <c r="AA289" i="2" s="1"/>
  <c r="L208" i="2"/>
  <c r="Z289" i="2" s="1"/>
  <c r="K208" i="2"/>
  <c r="Y289" i="2" s="1"/>
  <c r="J208" i="2"/>
  <c r="X289" i="2" s="1"/>
  <c r="I208" i="2"/>
  <c r="W289" i="2" s="1"/>
  <c r="H208" i="2"/>
  <c r="V289" i="2" s="1"/>
  <c r="G208" i="2"/>
  <c r="U289" i="2" s="1"/>
  <c r="F208" i="2"/>
  <c r="T289" i="2" s="1"/>
  <c r="E208" i="2"/>
  <c r="S289" i="2" s="1"/>
  <c r="D208" i="2"/>
  <c r="R289" i="2" s="1"/>
  <c r="C208" i="2"/>
  <c r="Q289" i="2" s="1"/>
  <c r="O207" i="2"/>
  <c r="AC288" i="2" s="1"/>
  <c r="N207" i="2"/>
  <c r="AB288" i="2" s="1"/>
  <c r="M207" i="2"/>
  <c r="AA288" i="2" s="1"/>
  <c r="L207" i="2"/>
  <c r="Z288" i="2" s="1"/>
  <c r="K207" i="2"/>
  <c r="Y288" i="2" s="1"/>
  <c r="J207" i="2"/>
  <c r="X288" i="2" s="1"/>
  <c r="I207" i="2"/>
  <c r="W288" i="2" s="1"/>
  <c r="H207" i="2"/>
  <c r="V288" i="2" s="1"/>
  <c r="G207" i="2"/>
  <c r="U288" i="2" s="1"/>
  <c r="F207" i="2"/>
  <c r="T288" i="2" s="1"/>
  <c r="E207" i="2"/>
  <c r="S288" i="2" s="1"/>
  <c r="D207" i="2"/>
  <c r="R288" i="2" s="1"/>
  <c r="C207" i="2"/>
  <c r="Q288" i="2" s="1"/>
  <c r="O206" i="2"/>
  <c r="AC287" i="2" s="1"/>
  <c r="N206" i="2"/>
  <c r="AB287" i="2" s="1"/>
  <c r="M206" i="2"/>
  <c r="AA287" i="2" s="1"/>
  <c r="L206" i="2"/>
  <c r="Z287" i="2" s="1"/>
  <c r="K206" i="2"/>
  <c r="Y287" i="2" s="1"/>
  <c r="J206" i="2"/>
  <c r="X287" i="2" s="1"/>
  <c r="I206" i="2"/>
  <c r="W287" i="2" s="1"/>
  <c r="H206" i="2"/>
  <c r="V287" i="2" s="1"/>
  <c r="G206" i="2"/>
  <c r="U287" i="2" s="1"/>
  <c r="F206" i="2"/>
  <c r="T287" i="2" s="1"/>
  <c r="E206" i="2"/>
  <c r="S287" i="2" s="1"/>
  <c r="D206" i="2"/>
  <c r="R287" i="2" s="1"/>
  <c r="C206" i="2"/>
  <c r="Q287" i="2" s="1"/>
  <c r="O205" i="2"/>
  <c r="AC286" i="2" s="1"/>
  <c r="N205" i="2"/>
  <c r="AB286" i="2" s="1"/>
  <c r="M205" i="2"/>
  <c r="AA286" i="2" s="1"/>
  <c r="L205" i="2"/>
  <c r="Z286" i="2" s="1"/>
  <c r="K205" i="2"/>
  <c r="Y286" i="2" s="1"/>
  <c r="J205" i="2"/>
  <c r="X286" i="2" s="1"/>
  <c r="I205" i="2"/>
  <c r="W286" i="2" s="1"/>
  <c r="H205" i="2"/>
  <c r="V286" i="2" s="1"/>
  <c r="G205" i="2"/>
  <c r="U286" i="2" s="1"/>
  <c r="F205" i="2"/>
  <c r="T286" i="2" s="1"/>
  <c r="E205" i="2"/>
  <c r="S286" i="2" s="1"/>
  <c r="D205" i="2"/>
  <c r="R286" i="2" s="1"/>
  <c r="C205" i="2"/>
  <c r="Q286" i="2" s="1"/>
  <c r="O204" i="2"/>
  <c r="AC285" i="2" s="1"/>
  <c r="N204" i="2"/>
  <c r="AB285" i="2" s="1"/>
  <c r="M204" i="2"/>
  <c r="AA285" i="2" s="1"/>
  <c r="L204" i="2"/>
  <c r="Z285" i="2" s="1"/>
  <c r="K204" i="2"/>
  <c r="Y285" i="2" s="1"/>
  <c r="J204" i="2"/>
  <c r="X285" i="2" s="1"/>
  <c r="I204" i="2"/>
  <c r="W285" i="2" s="1"/>
  <c r="H204" i="2"/>
  <c r="V285" i="2" s="1"/>
  <c r="G204" i="2"/>
  <c r="U285" i="2" s="1"/>
  <c r="F204" i="2"/>
  <c r="T285" i="2" s="1"/>
  <c r="E204" i="2"/>
  <c r="S285" i="2" s="1"/>
  <c r="D204" i="2"/>
  <c r="R285" i="2" s="1"/>
  <c r="C204" i="2"/>
  <c r="Q285" i="2" s="1"/>
  <c r="O203" i="2"/>
  <c r="AC284" i="2" s="1"/>
  <c r="N203" i="2"/>
  <c r="AB284" i="2" s="1"/>
  <c r="M203" i="2"/>
  <c r="AA284" i="2" s="1"/>
  <c r="L203" i="2"/>
  <c r="Z284" i="2" s="1"/>
  <c r="K203" i="2"/>
  <c r="Y284" i="2" s="1"/>
  <c r="J203" i="2"/>
  <c r="X284" i="2" s="1"/>
  <c r="I203" i="2"/>
  <c r="W284" i="2" s="1"/>
  <c r="H203" i="2"/>
  <c r="V284" i="2" s="1"/>
  <c r="G203" i="2"/>
  <c r="U284" i="2" s="1"/>
  <c r="F203" i="2"/>
  <c r="T284" i="2" s="1"/>
  <c r="E203" i="2"/>
  <c r="S284" i="2" s="1"/>
  <c r="D203" i="2"/>
  <c r="R284" i="2" s="1"/>
  <c r="C203" i="2"/>
  <c r="Q284" i="2" s="1"/>
  <c r="O202" i="2"/>
  <c r="AC283" i="2" s="1"/>
  <c r="N202" i="2"/>
  <c r="AB283" i="2" s="1"/>
  <c r="M202" i="2"/>
  <c r="AA283" i="2" s="1"/>
  <c r="L202" i="2"/>
  <c r="Z283" i="2" s="1"/>
  <c r="K202" i="2"/>
  <c r="Y283" i="2" s="1"/>
  <c r="J202" i="2"/>
  <c r="X283" i="2" s="1"/>
  <c r="I202" i="2"/>
  <c r="W283" i="2" s="1"/>
  <c r="H202" i="2"/>
  <c r="V283" i="2" s="1"/>
  <c r="G202" i="2"/>
  <c r="U283" i="2" s="1"/>
  <c r="F202" i="2"/>
  <c r="T283" i="2" s="1"/>
  <c r="E202" i="2"/>
  <c r="S283" i="2" s="1"/>
  <c r="D202" i="2"/>
  <c r="R283" i="2" s="1"/>
  <c r="C202" i="2"/>
  <c r="Q283" i="2" s="1"/>
  <c r="O201" i="2"/>
  <c r="AC282" i="2" s="1"/>
  <c r="N201" i="2"/>
  <c r="AB282" i="2" s="1"/>
  <c r="M201" i="2"/>
  <c r="AA282" i="2" s="1"/>
  <c r="L201" i="2"/>
  <c r="Z282" i="2" s="1"/>
  <c r="K201" i="2"/>
  <c r="Y282" i="2" s="1"/>
  <c r="J201" i="2"/>
  <c r="X282" i="2" s="1"/>
  <c r="I201" i="2"/>
  <c r="W282" i="2" s="1"/>
  <c r="H201" i="2"/>
  <c r="V282" i="2" s="1"/>
  <c r="G201" i="2"/>
  <c r="U282" i="2" s="1"/>
  <c r="F201" i="2"/>
  <c r="T282" i="2" s="1"/>
  <c r="E201" i="2"/>
  <c r="S282" i="2" s="1"/>
  <c r="D201" i="2"/>
  <c r="R282" i="2" s="1"/>
  <c r="C201" i="2"/>
  <c r="Q282" i="2" s="1"/>
  <c r="O200" i="2"/>
  <c r="AC281" i="2" s="1"/>
  <c r="N200" i="2"/>
  <c r="AB281" i="2" s="1"/>
  <c r="M200" i="2"/>
  <c r="AA281" i="2" s="1"/>
  <c r="L200" i="2"/>
  <c r="Z281" i="2" s="1"/>
  <c r="K200" i="2"/>
  <c r="Y281" i="2" s="1"/>
  <c r="J200" i="2"/>
  <c r="X281" i="2" s="1"/>
  <c r="I200" i="2"/>
  <c r="W281" i="2" s="1"/>
  <c r="H200" i="2"/>
  <c r="V281" i="2" s="1"/>
  <c r="G200" i="2"/>
  <c r="U281" i="2" s="1"/>
  <c r="F200" i="2"/>
  <c r="T281" i="2" s="1"/>
  <c r="E200" i="2"/>
  <c r="S281" i="2" s="1"/>
  <c r="D200" i="2"/>
  <c r="R281" i="2" s="1"/>
  <c r="C200" i="2"/>
  <c r="Q281" i="2" s="1"/>
  <c r="O199" i="2"/>
  <c r="AC280" i="2" s="1"/>
  <c r="N199" i="2"/>
  <c r="AB280" i="2" s="1"/>
  <c r="M199" i="2"/>
  <c r="AA280" i="2" s="1"/>
  <c r="L199" i="2"/>
  <c r="Z280" i="2" s="1"/>
  <c r="K199" i="2"/>
  <c r="Y280" i="2" s="1"/>
  <c r="J199" i="2"/>
  <c r="X280" i="2" s="1"/>
  <c r="I199" i="2"/>
  <c r="W280" i="2" s="1"/>
  <c r="H199" i="2"/>
  <c r="V280" i="2" s="1"/>
  <c r="G199" i="2"/>
  <c r="U280" i="2" s="1"/>
  <c r="F199" i="2"/>
  <c r="T280" i="2" s="1"/>
  <c r="E199" i="2"/>
  <c r="S280" i="2" s="1"/>
  <c r="D199" i="2"/>
  <c r="R280" i="2" s="1"/>
  <c r="C199" i="2"/>
  <c r="Q280" i="2" s="1"/>
  <c r="O198" i="2"/>
  <c r="AC279" i="2" s="1"/>
  <c r="N198" i="2"/>
  <c r="AB279" i="2" s="1"/>
  <c r="M198" i="2"/>
  <c r="AA279" i="2" s="1"/>
  <c r="L198" i="2"/>
  <c r="Z279" i="2" s="1"/>
  <c r="K198" i="2"/>
  <c r="Y279" i="2" s="1"/>
  <c r="J198" i="2"/>
  <c r="X279" i="2" s="1"/>
  <c r="I198" i="2"/>
  <c r="W279" i="2" s="1"/>
  <c r="H198" i="2"/>
  <c r="V279" i="2" s="1"/>
  <c r="G198" i="2"/>
  <c r="U279" i="2" s="1"/>
  <c r="F198" i="2"/>
  <c r="T279" i="2" s="1"/>
  <c r="E198" i="2"/>
  <c r="S279" i="2" s="1"/>
  <c r="D198" i="2"/>
  <c r="R279" i="2" s="1"/>
  <c r="C198" i="2"/>
  <c r="Q279" i="2" s="1"/>
  <c r="O197" i="2"/>
  <c r="AC278" i="2" s="1"/>
  <c r="N197" i="2"/>
  <c r="AB278" i="2" s="1"/>
  <c r="M197" i="2"/>
  <c r="AA278" i="2" s="1"/>
  <c r="L197" i="2"/>
  <c r="Z278" i="2" s="1"/>
  <c r="K197" i="2"/>
  <c r="Y278" i="2" s="1"/>
  <c r="J197" i="2"/>
  <c r="X278" i="2" s="1"/>
  <c r="I197" i="2"/>
  <c r="W278" i="2" s="1"/>
  <c r="H197" i="2"/>
  <c r="V278" i="2" s="1"/>
  <c r="G197" i="2"/>
  <c r="U278" i="2" s="1"/>
  <c r="F197" i="2"/>
  <c r="T278" i="2" s="1"/>
  <c r="E197" i="2"/>
  <c r="S278" i="2" s="1"/>
  <c r="D197" i="2"/>
  <c r="R278" i="2" s="1"/>
  <c r="C197" i="2"/>
  <c r="Q278" i="2" s="1"/>
  <c r="O196" i="2"/>
  <c r="AC277" i="2" s="1"/>
  <c r="N196" i="2"/>
  <c r="AB277" i="2" s="1"/>
  <c r="M196" i="2"/>
  <c r="AA277" i="2" s="1"/>
  <c r="L196" i="2"/>
  <c r="Z277" i="2" s="1"/>
  <c r="K196" i="2"/>
  <c r="Y277" i="2" s="1"/>
  <c r="J196" i="2"/>
  <c r="X277" i="2" s="1"/>
  <c r="I196" i="2"/>
  <c r="W277" i="2" s="1"/>
  <c r="H196" i="2"/>
  <c r="V277" i="2" s="1"/>
  <c r="G196" i="2"/>
  <c r="U277" i="2" s="1"/>
  <c r="F196" i="2"/>
  <c r="T277" i="2" s="1"/>
  <c r="E196" i="2"/>
  <c r="S277" i="2" s="1"/>
  <c r="D196" i="2"/>
  <c r="R277" i="2" s="1"/>
  <c r="C196" i="2"/>
  <c r="Q277" i="2" s="1"/>
  <c r="O195" i="2"/>
  <c r="AC276" i="2" s="1"/>
  <c r="N195" i="2"/>
  <c r="AB276" i="2" s="1"/>
  <c r="M195" i="2"/>
  <c r="AA276" i="2" s="1"/>
  <c r="L195" i="2"/>
  <c r="Z276" i="2" s="1"/>
  <c r="K195" i="2"/>
  <c r="Y276" i="2" s="1"/>
  <c r="J195" i="2"/>
  <c r="X276" i="2" s="1"/>
  <c r="I195" i="2"/>
  <c r="W276" i="2" s="1"/>
  <c r="H195" i="2"/>
  <c r="V276" i="2" s="1"/>
  <c r="G195" i="2"/>
  <c r="U276" i="2" s="1"/>
  <c r="F195" i="2"/>
  <c r="T276" i="2" s="1"/>
  <c r="E195" i="2"/>
  <c r="S276" i="2" s="1"/>
  <c r="D195" i="2"/>
  <c r="R276" i="2" s="1"/>
  <c r="C195" i="2"/>
  <c r="Q276" i="2" s="1"/>
  <c r="O194" i="2"/>
  <c r="AC275" i="2" s="1"/>
  <c r="N194" i="2"/>
  <c r="AB275" i="2" s="1"/>
  <c r="M194" i="2"/>
  <c r="AA275" i="2" s="1"/>
  <c r="L194" i="2"/>
  <c r="Z275" i="2" s="1"/>
  <c r="K194" i="2"/>
  <c r="Y275" i="2" s="1"/>
  <c r="J194" i="2"/>
  <c r="X275" i="2" s="1"/>
  <c r="I194" i="2"/>
  <c r="W275" i="2" s="1"/>
  <c r="H194" i="2"/>
  <c r="V275" i="2" s="1"/>
  <c r="G194" i="2"/>
  <c r="U275" i="2" s="1"/>
  <c r="F194" i="2"/>
  <c r="T275" i="2" s="1"/>
  <c r="E194" i="2"/>
  <c r="S275" i="2" s="1"/>
  <c r="D194" i="2"/>
  <c r="R275" i="2" s="1"/>
  <c r="C194" i="2"/>
  <c r="Q275" i="2" s="1"/>
  <c r="O193" i="2"/>
  <c r="AC274" i="2" s="1"/>
  <c r="N193" i="2"/>
  <c r="AB274" i="2" s="1"/>
  <c r="M193" i="2"/>
  <c r="AA274" i="2" s="1"/>
  <c r="L193" i="2"/>
  <c r="Z274" i="2" s="1"/>
  <c r="K193" i="2"/>
  <c r="Y274" i="2" s="1"/>
  <c r="J193" i="2"/>
  <c r="X274" i="2" s="1"/>
  <c r="I193" i="2"/>
  <c r="W274" i="2" s="1"/>
  <c r="H193" i="2"/>
  <c r="V274" i="2" s="1"/>
  <c r="G193" i="2"/>
  <c r="U274" i="2" s="1"/>
  <c r="F193" i="2"/>
  <c r="T274" i="2" s="1"/>
  <c r="E193" i="2"/>
  <c r="S274" i="2" s="1"/>
  <c r="D193" i="2"/>
  <c r="R274" i="2" s="1"/>
  <c r="C193" i="2"/>
  <c r="Q274" i="2" s="1"/>
  <c r="O192" i="2"/>
  <c r="AC273" i="2" s="1"/>
  <c r="N192" i="2"/>
  <c r="AB273" i="2" s="1"/>
  <c r="M192" i="2"/>
  <c r="AA273" i="2" s="1"/>
  <c r="L192" i="2"/>
  <c r="Z273" i="2" s="1"/>
  <c r="K192" i="2"/>
  <c r="Y273" i="2" s="1"/>
  <c r="J192" i="2"/>
  <c r="X273" i="2" s="1"/>
  <c r="I192" i="2"/>
  <c r="W273" i="2" s="1"/>
  <c r="H192" i="2"/>
  <c r="V273" i="2" s="1"/>
  <c r="G192" i="2"/>
  <c r="U273" i="2" s="1"/>
  <c r="F192" i="2"/>
  <c r="T273" i="2" s="1"/>
  <c r="E192" i="2"/>
  <c r="S273" i="2" s="1"/>
  <c r="D192" i="2"/>
  <c r="R273" i="2" s="1"/>
  <c r="C192" i="2"/>
  <c r="Q273" i="2" s="1"/>
  <c r="O191" i="2"/>
  <c r="AC272" i="2" s="1"/>
  <c r="N191" i="2"/>
  <c r="AB272" i="2" s="1"/>
  <c r="M191" i="2"/>
  <c r="AA272" i="2" s="1"/>
  <c r="L191" i="2"/>
  <c r="Z272" i="2" s="1"/>
  <c r="K191" i="2"/>
  <c r="Y272" i="2" s="1"/>
  <c r="J191" i="2"/>
  <c r="X272" i="2" s="1"/>
  <c r="I191" i="2"/>
  <c r="W272" i="2" s="1"/>
  <c r="H191" i="2"/>
  <c r="V272" i="2" s="1"/>
  <c r="G191" i="2"/>
  <c r="U272" i="2" s="1"/>
  <c r="F191" i="2"/>
  <c r="T272" i="2" s="1"/>
  <c r="E191" i="2"/>
  <c r="S272" i="2" s="1"/>
  <c r="D191" i="2"/>
  <c r="R272" i="2" s="1"/>
  <c r="C191" i="2"/>
  <c r="Q272" i="2" s="1"/>
  <c r="O190" i="2"/>
  <c r="AC271" i="2" s="1"/>
  <c r="N190" i="2"/>
  <c r="AB271" i="2" s="1"/>
  <c r="M190" i="2"/>
  <c r="AA271" i="2" s="1"/>
  <c r="L190" i="2"/>
  <c r="Z271" i="2" s="1"/>
  <c r="K190" i="2"/>
  <c r="Y271" i="2" s="1"/>
  <c r="J190" i="2"/>
  <c r="X271" i="2" s="1"/>
  <c r="I190" i="2"/>
  <c r="W271" i="2" s="1"/>
  <c r="H190" i="2"/>
  <c r="V271" i="2" s="1"/>
  <c r="G190" i="2"/>
  <c r="U271" i="2" s="1"/>
  <c r="F190" i="2"/>
  <c r="T271" i="2" s="1"/>
  <c r="E190" i="2"/>
  <c r="S271" i="2" s="1"/>
  <c r="D190" i="2"/>
  <c r="R271" i="2" s="1"/>
  <c r="C190" i="2"/>
  <c r="Q271" i="2" s="1"/>
  <c r="O189" i="2"/>
  <c r="AC270" i="2" s="1"/>
  <c r="N189" i="2"/>
  <c r="AB270" i="2" s="1"/>
  <c r="M189" i="2"/>
  <c r="AA270" i="2" s="1"/>
  <c r="L189" i="2"/>
  <c r="Z270" i="2" s="1"/>
  <c r="K189" i="2"/>
  <c r="Y270" i="2" s="1"/>
  <c r="J189" i="2"/>
  <c r="X270" i="2" s="1"/>
  <c r="I189" i="2"/>
  <c r="W270" i="2" s="1"/>
  <c r="H189" i="2"/>
  <c r="V270" i="2" s="1"/>
  <c r="G189" i="2"/>
  <c r="U270" i="2" s="1"/>
  <c r="F189" i="2"/>
  <c r="T270" i="2" s="1"/>
  <c r="E189" i="2"/>
  <c r="S270" i="2" s="1"/>
  <c r="D189" i="2"/>
  <c r="R270" i="2" s="1"/>
  <c r="C189" i="2"/>
  <c r="Q270" i="2" s="1"/>
  <c r="O188" i="2"/>
  <c r="AC269" i="2" s="1"/>
  <c r="N188" i="2"/>
  <c r="AB269" i="2" s="1"/>
  <c r="M188" i="2"/>
  <c r="AA269" i="2" s="1"/>
  <c r="L188" i="2"/>
  <c r="Z269" i="2" s="1"/>
  <c r="K188" i="2"/>
  <c r="Y269" i="2" s="1"/>
  <c r="J188" i="2"/>
  <c r="X269" i="2" s="1"/>
  <c r="I188" i="2"/>
  <c r="W269" i="2" s="1"/>
  <c r="H188" i="2"/>
  <c r="V269" i="2" s="1"/>
  <c r="G188" i="2"/>
  <c r="U269" i="2" s="1"/>
  <c r="F188" i="2"/>
  <c r="T269" i="2" s="1"/>
  <c r="E188" i="2"/>
  <c r="S269" i="2" s="1"/>
  <c r="D188" i="2"/>
  <c r="R269" i="2" s="1"/>
  <c r="C188" i="2"/>
  <c r="Q269" i="2" s="1"/>
  <c r="O187" i="2"/>
  <c r="AC268" i="2" s="1"/>
  <c r="N187" i="2"/>
  <c r="AB268" i="2" s="1"/>
  <c r="M187" i="2"/>
  <c r="AA268" i="2" s="1"/>
  <c r="L187" i="2"/>
  <c r="Z268" i="2" s="1"/>
  <c r="K187" i="2"/>
  <c r="Y268" i="2" s="1"/>
  <c r="J187" i="2"/>
  <c r="X268" i="2" s="1"/>
  <c r="I187" i="2"/>
  <c r="W268" i="2" s="1"/>
  <c r="H187" i="2"/>
  <c r="V268" i="2" s="1"/>
  <c r="G187" i="2"/>
  <c r="U268" i="2" s="1"/>
  <c r="F187" i="2"/>
  <c r="T268" i="2" s="1"/>
  <c r="E187" i="2"/>
  <c r="S268" i="2" s="1"/>
  <c r="D187" i="2"/>
  <c r="R268" i="2" s="1"/>
  <c r="C187" i="2"/>
  <c r="Q268" i="2" s="1"/>
  <c r="O186" i="2"/>
  <c r="AC267" i="2" s="1"/>
  <c r="N186" i="2"/>
  <c r="AB267" i="2" s="1"/>
  <c r="M186" i="2"/>
  <c r="AA267" i="2" s="1"/>
  <c r="L186" i="2"/>
  <c r="Z267" i="2" s="1"/>
  <c r="K186" i="2"/>
  <c r="Y267" i="2" s="1"/>
  <c r="J186" i="2"/>
  <c r="X267" i="2" s="1"/>
  <c r="I186" i="2"/>
  <c r="W267" i="2" s="1"/>
  <c r="H186" i="2"/>
  <c r="V267" i="2" s="1"/>
  <c r="G186" i="2"/>
  <c r="U267" i="2" s="1"/>
  <c r="F186" i="2"/>
  <c r="T267" i="2" s="1"/>
  <c r="E186" i="2"/>
  <c r="S267" i="2" s="1"/>
  <c r="D186" i="2"/>
  <c r="R267" i="2" s="1"/>
  <c r="C186" i="2"/>
  <c r="Q267" i="2" s="1"/>
  <c r="O185" i="2"/>
  <c r="AC266" i="2" s="1"/>
  <c r="N185" i="2"/>
  <c r="AB266" i="2" s="1"/>
  <c r="M185" i="2"/>
  <c r="AA266" i="2" s="1"/>
  <c r="L185" i="2"/>
  <c r="Z266" i="2" s="1"/>
  <c r="K185" i="2"/>
  <c r="Y266" i="2" s="1"/>
  <c r="J185" i="2"/>
  <c r="X266" i="2" s="1"/>
  <c r="I185" i="2"/>
  <c r="W266" i="2" s="1"/>
  <c r="H185" i="2"/>
  <c r="V266" i="2" s="1"/>
  <c r="G185" i="2"/>
  <c r="U266" i="2" s="1"/>
  <c r="F185" i="2"/>
  <c r="T266" i="2" s="1"/>
  <c r="E185" i="2"/>
  <c r="S266" i="2" s="1"/>
  <c r="D185" i="2"/>
  <c r="R266" i="2" s="1"/>
  <c r="C185" i="2"/>
  <c r="Q266" i="2" s="1"/>
  <c r="O184" i="2"/>
  <c r="AC265" i="2" s="1"/>
  <c r="N184" i="2"/>
  <c r="AB265" i="2" s="1"/>
  <c r="M184" i="2"/>
  <c r="AA265" i="2" s="1"/>
  <c r="L184" i="2"/>
  <c r="Z265" i="2" s="1"/>
  <c r="K184" i="2"/>
  <c r="Y265" i="2" s="1"/>
  <c r="J184" i="2"/>
  <c r="X265" i="2" s="1"/>
  <c r="I184" i="2"/>
  <c r="W265" i="2" s="1"/>
  <c r="H184" i="2"/>
  <c r="V265" i="2" s="1"/>
  <c r="G184" i="2"/>
  <c r="U265" i="2" s="1"/>
  <c r="F184" i="2"/>
  <c r="T265" i="2" s="1"/>
  <c r="E184" i="2"/>
  <c r="S265" i="2" s="1"/>
  <c r="D184" i="2"/>
  <c r="R265" i="2" s="1"/>
  <c r="C184" i="2"/>
  <c r="Q265" i="2" s="1"/>
  <c r="O183" i="2"/>
  <c r="AC264" i="2" s="1"/>
  <c r="N183" i="2"/>
  <c r="AB264" i="2" s="1"/>
  <c r="M183" i="2"/>
  <c r="AA264" i="2" s="1"/>
  <c r="L183" i="2"/>
  <c r="Z264" i="2" s="1"/>
  <c r="K183" i="2"/>
  <c r="Y264" i="2" s="1"/>
  <c r="J183" i="2"/>
  <c r="X264" i="2" s="1"/>
  <c r="I183" i="2"/>
  <c r="W264" i="2" s="1"/>
  <c r="H183" i="2"/>
  <c r="V264" i="2" s="1"/>
  <c r="G183" i="2"/>
  <c r="U264" i="2" s="1"/>
  <c r="F183" i="2"/>
  <c r="T264" i="2" s="1"/>
  <c r="E183" i="2"/>
  <c r="S264" i="2" s="1"/>
  <c r="D183" i="2"/>
  <c r="R264" i="2" s="1"/>
  <c r="C183" i="2"/>
  <c r="Q264" i="2" s="1"/>
  <c r="O182" i="2"/>
  <c r="AC263" i="2" s="1"/>
  <c r="N182" i="2"/>
  <c r="AB263" i="2" s="1"/>
  <c r="M182" i="2"/>
  <c r="AA263" i="2" s="1"/>
  <c r="L182" i="2"/>
  <c r="Z263" i="2" s="1"/>
  <c r="K182" i="2"/>
  <c r="Y263" i="2" s="1"/>
  <c r="J182" i="2"/>
  <c r="X263" i="2" s="1"/>
  <c r="I182" i="2"/>
  <c r="W263" i="2" s="1"/>
  <c r="H182" i="2"/>
  <c r="V263" i="2" s="1"/>
  <c r="G182" i="2"/>
  <c r="U263" i="2" s="1"/>
  <c r="F182" i="2"/>
  <c r="T263" i="2" s="1"/>
  <c r="E182" i="2"/>
  <c r="S263" i="2" s="1"/>
  <c r="D182" i="2"/>
  <c r="R263" i="2" s="1"/>
  <c r="C182" i="2"/>
  <c r="Q263" i="2" s="1"/>
  <c r="O181" i="2"/>
  <c r="AC262" i="2" s="1"/>
  <c r="N181" i="2"/>
  <c r="AB262" i="2" s="1"/>
  <c r="M181" i="2"/>
  <c r="AA262" i="2" s="1"/>
  <c r="L181" i="2"/>
  <c r="Z262" i="2" s="1"/>
  <c r="K181" i="2"/>
  <c r="Y262" i="2" s="1"/>
  <c r="J181" i="2"/>
  <c r="X262" i="2" s="1"/>
  <c r="I181" i="2"/>
  <c r="W262" i="2" s="1"/>
  <c r="H181" i="2"/>
  <c r="V262" i="2" s="1"/>
  <c r="G181" i="2"/>
  <c r="U262" i="2" s="1"/>
  <c r="F181" i="2"/>
  <c r="T262" i="2" s="1"/>
  <c r="E181" i="2"/>
  <c r="S262" i="2" s="1"/>
  <c r="D181" i="2"/>
  <c r="R262" i="2" s="1"/>
  <c r="C181" i="2"/>
  <c r="Q262" i="2" s="1"/>
  <c r="O180" i="2"/>
  <c r="AC261" i="2" s="1"/>
  <c r="N180" i="2"/>
  <c r="AB261" i="2" s="1"/>
  <c r="M180" i="2"/>
  <c r="AA261" i="2" s="1"/>
  <c r="L180" i="2"/>
  <c r="Z261" i="2" s="1"/>
  <c r="K180" i="2"/>
  <c r="Y261" i="2" s="1"/>
  <c r="J180" i="2"/>
  <c r="X261" i="2" s="1"/>
  <c r="I180" i="2"/>
  <c r="W261" i="2" s="1"/>
  <c r="H180" i="2"/>
  <c r="V261" i="2" s="1"/>
  <c r="G180" i="2"/>
  <c r="U261" i="2" s="1"/>
  <c r="F180" i="2"/>
  <c r="T261" i="2" s="1"/>
  <c r="E180" i="2"/>
  <c r="S261" i="2" s="1"/>
  <c r="D180" i="2"/>
  <c r="R261" i="2" s="1"/>
  <c r="C180" i="2"/>
  <c r="Q261" i="2" s="1"/>
  <c r="O179" i="2"/>
  <c r="AC260" i="2" s="1"/>
  <c r="N179" i="2"/>
  <c r="AB260" i="2" s="1"/>
  <c r="M179" i="2"/>
  <c r="AA260" i="2" s="1"/>
  <c r="L179" i="2"/>
  <c r="Z260" i="2" s="1"/>
  <c r="K179" i="2"/>
  <c r="Y260" i="2" s="1"/>
  <c r="J179" i="2"/>
  <c r="X260" i="2" s="1"/>
  <c r="I179" i="2"/>
  <c r="W260" i="2" s="1"/>
  <c r="H179" i="2"/>
  <c r="V260" i="2" s="1"/>
  <c r="G179" i="2"/>
  <c r="U260" i="2" s="1"/>
  <c r="F179" i="2"/>
  <c r="T260" i="2" s="1"/>
  <c r="E179" i="2"/>
  <c r="S260" i="2" s="1"/>
  <c r="D179" i="2"/>
  <c r="R260" i="2" s="1"/>
  <c r="C179" i="2"/>
  <c r="Q260" i="2" s="1"/>
  <c r="O178" i="2"/>
  <c r="AC259" i="2" s="1"/>
  <c r="N178" i="2"/>
  <c r="AB259" i="2" s="1"/>
  <c r="M178" i="2"/>
  <c r="AA259" i="2" s="1"/>
  <c r="L178" i="2"/>
  <c r="Z259" i="2" s="1"/>
  <c r="K178" i="2"/>
  <c r="Y259" i="2" s="1"/>
  <c r="J178" i="2"/>
  <c r="X259" i="2" s="1"/>
  <c r="I178" i="2"/>
  <c r="W259" i="2" s="1"/>
  <c r="H178" i="2"/>
  <c r="V259" i="2" s="1"/>
  <c r="G178" i="2"/>
  <c r="U259" i="2" s="1"/>
  <c r="F178" i="2"/>
  <c r="T259" i="2" s="1"/>
  <c r="E178" i="2"/>
  <c r="S259" i="2" s="1"/>
  <c r="D178" i="2"/>
  <c r="R259" i="2" s="1"/>
  <c r="C178" i="2"/>
  <c r="Q259" i="2" s="1"/>
  <c r="O177" i="2"/>
  <c r="AC258" i="2" s="1"/>
  <c r="N177" i="2"/>
  <c r="AB258" i="2" s="1"/>
  <c r="M177" i="2"/>
  <c r="AA258" i="2" s="1"/>
  <c r="L177" i="2"/>
  <c r="Z258" i="2" s="1"/>
  <c r="K177" i="2"/>
  <c r="Y258" i="2" s="1"/>
  <c r="J177" i="2"/>
  <c r="X258" i="2" s="1"/>
  <c r="I177" i="2"/>
  <c r="W258" i="2" s="1"/>
  <c r="H177" i="2"/>
  <c r="V258" i="2" s="1"/>
  <c r="G177" i="2"/>
  <c r="U258" i="2" s="1"/>
  <c r="F177" i="2"/>
  <c r="T258" i="2" s="1"/>
  <c r="E177" i="2"/>
  <c r="S258" i="2" s="1"/>
  <c r="D177" i="2"/>
  <c r="R258" i="2" s="1"/>
  <c r="C177" i="2"/>
  <c r="Q258" i="2" s="1"/>
  <c r="O176" i="2"/>
  <c r="AC257" i="2" s="1"/>
  <c r="N176" i="2"/>
  <c r="AB257" i="2" s="1"/>
  <c r="M176" i="2"/>
  <c r="AA257" i="2" s="1"/>
  <c r="L176" i="2"/>
  <c r="Z257" i="2" s="1"/>
  <c r="K176" i="2"/>
  <c r="Y257" i="2" s="1"/>
  <c r="J176" i="2"/>
  <c r="X257" i="2" s="1"/>
  <c r="I176" i="2"/>
  <c r="W257" i="2" s="1"/>
  <c r="H176" i="2"/>
  <c r="V257" i="2" s="1"/>
  <c r="G176" i="2"/>
  <c r="U257" i="2" s="1"/>
  <c r="F176" i="2"/>
  <c r="T257" i="2" s="1"/>
  <c r="E176" i="2"/>
  <c r="S257" i="2" s="1"/>
  <c r="D176" i="2"/>
  <c r="R257" i="2" s="1"/>
  <c r="C176" i="2"/>
  <c r="Q257" i="2" s="1"/>
  <c r="O175" i="2"/>
  <c r="AC256" i="2" s="1"/>
  <c r="N175" i="2"/>
  <c r="AB256" i="2" s="1"/>
  <c r="M175" i="2"/>
  <c r="AA256" i="2" s="1"/>
  <c r="L175" i="2"/>
  <c r="Z256" i="2" s="1"/>
  <c r="K175" i="2"/>
  <c r="Y256" i="2" s="1"/>
  <c r="J175" i="2"/>
  <c r="X256" i="2" s="1"/>
  <c r="I175" i="2"/>
  <c r="W256" i="2" s="1"/>
  <c r="H175" i="2"/>
  <c r="V256" i="2" s="1"/>
  <c r="G175" i="2"/>
  <c r="U256" i="2" s="1"/>
  <c r="F175" i="2"/>
  <c r="T256" i="2" s="1"/>
  <c r="E175" i="2"/>
  <c r="S256" i="2" s="1"/>
  <c r="D175" i="2"/>
  <c r="R256" i="2" s="1"/>
  <c r="C175" i="2"/>
  <c r="Q256" i="2" s="1"/>
  <c r="O174" i="2"/>
  <c r="AC255" i="2" s="1"/>
  <c r="N174" i="2"/>
  <c r="AB255" i="2" s="1"/>
  <c r="M174" i="2"/>
  <c r="AA255" i="2" s="1"/>
  <c r="L174" i="2"/>
  <c r="Z255" i="2" s="1"/>
  <c r="K174" i="2"/>
  <c r="Y255" i="2" s="1"/>
  <c r="J174" i="2"/>
  <c r="X255" i="2" s="1"/>
  <c r="I174" i="2"/>
  <c r="W255" i="2" s="1"/>
  <c r="H174" i="2"/>
  <c r="V255" i="2" s="1"/>
  <c r="G174" i="2"/>
  <c r="U255" i="2" s="1"/>
  <c r="F174" i="2"/>
  <c r="T255" i="2" s="1"/>
  <c r="E174" i="2"/>
  <c r="S255" i="2" s="1"/>
  <c r="D174" i="2"/>
  <c r="R255" i="2" s="1"/>
  <c r="C174" i="2"/>
  <c r="Q255" i="2" s="1"/>
  <c r="O173" i="2"/>
  <c r="AC254" i="2" s="1"/>
  <c r="N173" i="2"/>
  <c r="AB254" i="2" s="1"/>
  <c r="M173" i="2"/>
  <c r="AA254" i="2" s="1"/>
  <c r="L173" i="2"/>
  <c r="Z254" i="2" s="1"/>
  <c r="K173" i="2"/>
  <c r="Y254" i="2" s="1"/>
  <c r="J173" i="2"/>
  <c r="X254" i="2" s="1"/>
  <c r="I173" i="2"/>
  <c r="W254" i="2" s="1"/>
  <c r="H173" i="2"/>
  <c r="V254" i="2" s="1"/>
  <c r="G173" i="2"/>
  <c r="U254" i="2" s="1"/>
  <c r="F173" i="2"/>
  <c r="T254" i="2" s="1"/>
  <c r="E173" i="2"/>
  <c r="S254" i="2" s="1"/>
  <c r="D173" i="2"/>
  <c r="R254" i="2" s="1"/>
  <c r="C173" i="2"/>
  <c r="Q254" i="2" s="1"/>
  <c r="O172" i="2"/>
  <c r="AC253" i="2" s="1"/>
  <c r="N172" i="2"/>
  <c r="AB253" i="2" s="1"/>
  <c r="M172" i="2"/>
  <c r="AA253" i="2" s="1"/>
  <c r="L172" i="2"/>
  <c r="Z253" i="2" s="1"/>
  <c r="K172" i="2"/>
  <c r="Y253" i="2" s="1"/>
  <c r="J172" i="2"/>
  <c r="X253" i="2" s="1"/>
  <c r="I172" i="2"/>
  <c r="W253" i="2" s="1"/>
  <c r="H172" i="2"/>
  <c r="V253" i="2" s="1"/>
  <c r="G172" i="2"/>
  <c r="U253" i="2" s="1"/>
  <c r="F172" i="2"/>
  <c r="T253" i="2" s="1"/>
  <c r="E172" i="2"/>
  <c r="S253" i="2" s="1"/>
  <c r="D172" i="2"/>
  <c r="R253" i="2" s="1"/>
  <c r="C172" i="2"/>
  <c r="Q253" i="2" s="1"/>
  <c r="O171" i="2"/>
  <c r="AC252" i="2" s="1"/>
  <c r="N171" i="2"/>
  <c r="AB252" i="2" s="1"/>
  <c r="M171" i="2"/>
  <c r="AA252" i="2" s="1"/>
  <c r="L171" i="2"/>
  <c r="Z252" i="2" s="1"/>
  <c r="K171" i="2"/>
  <c r="Y252" i="2" s="1"/>
  <c r="J171" i="2"/>
  <c r="X252" i="2" s="1"/>
  <c r="I171" i="2"/>
  <c r="W252" i="2" s="1"/>
  <c r="H171" i="2"/>
  <c r="V252" i="2" s="1"/>
  <c r="G171" i="2"/>
  <c r="U252" i="2" s="1"/>
  <c r="F171" i="2"/>
  <c r="T252" i="2" s="1"/>
  <c r="E171" i="2"/>
  <c r="S252" i="2" s="1"/>
  <c r="D171" i="2"/>
  <c r="R252" i="2" s="1"/>
  <c r="C171" i="2"/>
  <c r="Q252" i="2" s="1"/>
  <c r="O170" i="2"/>
  <c r="AC251" i="2" s="1"/>
  <c r="N170" i="2"/>
  <c r="AB251" i="2" s="1"/>
  <c r="M170" i="2"/>
  <c r="AA251" i="2" s="1"/>
  <c r="L170" i="2"/>
  <c r="Z251" i="2" s="1"/>
  <c r="K170" i="2"/>
  <c r="Y251" i="2" s="1"/>
  <c r="J170" i="2"/>
  <c r="X251" i="2" s="1"/>
  <c r="I170" i="2"/>
  <c r="W251" i="2" s="1"/>
  <c r="H170" i="2"/>
  <c r="V251" i="2" s="1"/>
  <c r="G170" i="2"/>
  <c r="U251" i="2" s="1"/>
  <c r="F170" i="2"/>
  <c r="T251" i="2" s="1"/>
  <c r="E170" i="2"/>
  <c r="S251" i="2" s="1"/>
  <c r="D170" i="2"/>
  <c r="R251" i="2" s="1"/>
  <c r="C170" i="2"/>
  <c r="Q251" i="2" s="1"/>
  <c r="O169" i="2"/>
  <c r="AC250" i="2" s="1"/>
  <c r="N169" i="2"/>
  <c r="AB250" i="2" s="1"/>
  <c r="M169" i="2"/>
  <c r="AA250" i="2" s="1"/>
  <c r="L169" i="2"/>
  <c r="Z250" i="2" s="1"/>
  <c r="K169" i="2"/>
  <c r="Y250" i="2" s="1"/>
  <c r="J169" i="2"/>
  <c r="X250" i="2" s="1"/>
  <c r="I169" i="2"/>
  <c r="W250" i="2" s="1"/>
  <c r="H169" i="2"/>
  <c r="V250" i="2" s="1"/>
  <c r="G169" i="2"/>
  <c r="U250" i="2" s="1"/>
  <c r="F169" i="2"/>
  <c r="T250" i="2" s="1"/>
  <c r="E169" i="2"/>
  <c r="S250" i="2" s="1"/>
  <c r="D169" i="2"/>
  <c r="R250" i="2" s="1"/>
  <c r="C169" i="2"/>
  <c r="Q250" i="2" s="1"/>
  <c r="O168" i="2"/>
  <c r="AC249" i="2" s="1"/>
  <c r="N168" i="2"/>
  <c r="AB249" i="2" s="1"/>
  <c r="M168" i="2"/>
  <c r="AA249" i="2" s="1"/>
  <c r="L168" i="2"/>
  <c r="Z249" i="2" s="1"/>
  <c r="K168" i="2"/>
  <c r="Y249" i="2" s="1"/>
  <c r="J168" i="2"/>
  <c r="X249" i="2" s="1"/>
  <c r="I168" i="2"/>
  <c r="W249" i="2" s="1"/>
  <c r="H168" i="2"/>
  <c r="V249" i="2" s="1"/>
  <c r="G168" i="2"/>
  <c r="U249" i="2" s="1"/>
  <c r="F168" i="2"/>
  <c r="T249" i="2" s="1"/>
  <c r="E168" i="2"/>
  <c r="S249" i="2" s="1"/>
  <c r="D168" i="2"/>
  <c r="R249" i="2" s="1"/>
  <c r="C168" i="2"/>
  <c r="Q249" i="2" s="1"/>
  <c r="O167" i="2"/>
  <c r="AC248" i="2" s="1"/>
  <c r="N167" i="2"/>
  <c r="AB248" i="2" s="1"/>
  <c r="M167" i="2"/>
  <c r="AA248" i="2" s="1"/>
  <c r="L167" i="2"/>
  <c r="Z248" i="2" s="1"/>
  <c r="K167" i="2"/>
  <c r="Y248" i="2" s="1"/>
  <c r="J167" i="2"/>
  <c r="X248" i="2" s="1"/>
  <c r="I167" i="2"/>
  <c r="W248" i="2" s="1"/>
  <c r="H167" i="2"/>
  <c r="V248" i="2" s="1"/>
  <c r="G167" i="2"/>
  <c r="U248" i="2" s="1"/>
  <c r="F167" i="2"/>
  <c r="T248" i="2" s="1"/>
  <c r="E167" i="2"/>
  <c r="S248" i="2" s="1"/>
  <c r="D167" i="2"/>
  <c r="R248" i="2" s="1"/>
  <c r="C167" i="2"/>
  <c r="Q248" i="2" s="1"/>
  <c r="O166" i="2"/>
  <c r="AC247" i="2" s="1"/>
  <c r="N166" i="2"/>
  <c r="AB247" i="2" s="1"/>
  <c r="M166" i="2"/>
  <c r="AA247" i="2" s="1"/>
  <c r="L166" i="2"/>
  <c r="Z247" i="2" s="1"/>
  <c r="K166" i="2"/>
  <c r="Y247" i="2" s="1"/>
  <c r="J166" i="2"/>
  <c r="X247" i="2" s="1"/>
  <c r="I166" i="2"/>
  <c r="W247" i="2" s="1"/>
  <c r="H166" i="2"/>
  <c r="V247" i="2" s="1"/>
  <c r="G166" i="2"/>
  <c r="U247" i="2" s="1"/>
  <c r="F166" i="2"/>
  <c r="T247" i="2" s="1"/>
  <c r="E166" i="2"/>
  <c r="S247" i="2" s="1"/>
  <c r="D166" i="2"/>
  <c r="R247" i="2" s="1"/>
  <c r="C166" i="2"/>
  <c r="Q247" i="2" s="1"/>
  <c r="O165" i="2"/>
  <c r="AC246" i="2" s="1"/>
  <c r="N165" i="2"/>
  <c r="AB246" i="2" s="1"/>
  <c r="M165" i="2"/>
  <c r="AA246" i="2" s="1"/>
  <c r="L165" i="2"/>
  <c r="Z246" i="2" s="1"/>
  <c r="K165" i="2"/>
  <c r="Y246" i="2" s="1"/>
  <c r="J165" i="2"/>
  <c r="X246" i="2" s="1"/>
  <c r="I165" i="2"/>
  <c r="W246" i="2" s="1"/>
  <c r="H165" i="2"/>
  <c r="V246" i="2" s="1"/>
  <c r="G165" i="2"/>
  <c r="U246" i="2" s="1"/>
  <c r="F165" i="2"/>
  <c r="T246" i="2" s="1"/>
  <c r="E165" i="2"/>
  <c r="S246" i="2" s="1"/>
  <c r="D165" i="2"/>
  <c r="R246" i="2" s="1"/>
  <c r="C165" i="2"/>
  <c r="Q246" i="2" s="1"/>
  <c r="O164" i="2"/>
  <c r="AC245" i="2" s="1"/>
  <c r="N164" i="2"/>
  <c r="AB245" i="2" s="1"/>
  <c r="M164" i="2"/>
  <c r="AA245" i="2" s="1"/>
  <c r="L164" i="2"/>
  <c r="Z245" i="2" s="1"/>
  <c r="K164" i="2"/>
  <c r="Y245" i="2" s="1"/>
  <c r="J164" i="2"/>
  <c r="X245" i="2" s="1"/>
  <c r="I164" i="2"/>
  <c r="W245" i="2" s="1"/>
  <c r="H164" i="2"/>
  <c r="V245" i="2" s="1"/>
  <c r="G164" i="2"/>
  <c r="U245" i="2" s="1"/>
  <c r="F164" i="2"/>
  <c r="T245" i="2" s="1"/>
  <c r="E164" i="2"/>
  <c r="S245" i="2" s="1"/>
  <c r="D164" i="2"/>
  <c r="R245" i="2" s="1"/>
  <c r="C164" i="2"/>
  <c r="Q245" i="2" s="1"/>
  <c r="O163" i="2"/>
  <c r="AC244" i="2" s="1"/>
  <c r="N163" i="2"/>
  <c r="AB244" i="2" s="1"/>
  <c r="M163" i="2"/>
  <c r="AA244" i="2" s="1"/>
  <c r="L163" i="2"/>
  <c r="Z244" i="2" s="1"/>
  <c r="K163" i="2"/>
  <c r="Y244" i="2" s="1"/>
  <c r="J163" i="2"/>
  <c r="X244" i="2" s="1"/>
  <c r="I163" i="2"/>
  <c r="W244" i="2" s="1"/>
  <c r="H163" i="2"/>
  <c r="V244" i="2" s="1"/>
  <c r="G163" i="2"/>
  <c r="U244" i="2" s="1"/>
  <c r="F163" i="2"/>
  <c r="T244" i="2" s="1"/>
  <c r="E163" i="2"/>
  <c r="S244" i="2" s="1"/>
  <c r="D163" i="2"/>
  <c r="R244" i="2" s="1"/>
  <c r="C163" i="2"/>
  <c r="Q244" i="2" s="1"/>
  <c r="O162" i="2"/>
  <c r="AC243" i="2" s="1"/>
  <c r="N162" i="2"/>
  <c r="AB243" i="2" s="1"/>
  <c r="M162" i="2"/>
  <c r="AA243" i="2" s="1"/>
  <c r="L162" i="2"/>
  <c r="Z243" i="2" s="1"/>
  <c r="K162" i="2"/>
  <c r="Y243" i="2" s="1"/>
  <c r="J162" i="2"/>
  <c r="X243" i="2" s="1"/>
  <c r="I162" i="2"/>
  <c r="W243" i="2" s="1"/>
  <c r="H162" i="2"/>
  <c r="V243" i="2" s="1"/>
  <c r="G162" i="2"/>
  <c r="U243" i="2" s="1"/>
  <c r="F162" i="2"/>
  <c r="T243" i="2" s="1"/>
  <c r="E162" i="2"/>
  <c r="S243" i="2" s="1"/>
  <c r="D162" i="2"/>
  <c r="R243" i="2" s="1"/>
  <c r="C162" i="2"/>
  <c r="Q243" i="2" s="1"/>
  <c r="O161" i="2"/>
  <c r="AC242" i="2" s="1"/>
  <c r="N161" i="2"/>
  <c r="AB242" i="2" s="1"/>
  <c r="M161" i="2"/>
  <c r="AA242" i="2" s="1"/>
  <c r="L161" i="2"/>
  <c r="Z242" i="2" s="1"/>
  <c r="K161" i="2"/>
  <c r="Y242" i="2" s="1"/>
  <c r="J161" i="2"/>
  <c r="X242" i="2" s="1"/>
  <c r="I161" i="2"/>
  <c r="W242" i="2" s="1"/>
  <c r="H161" i="2"/>
  <c r="V242" i="2" s="1"/>
  <c r="G161" i="2"/>
  <c r="U242" i="2" s="1"/>
  <c r="F161" i="2"/>
  <c r="T242" i="2" s="1"/>
  <c r="E161" i="2"/>
  <c r="S242" i="2" s="1"/>
  <c r="D161" i="2"/>
  <c r="R242" i="2" s="1"/>
  <c r="C161" i="2"/>
  <c r="Q242" i="2" s="1"/>
  <c r="O160" i="2"/>
  <c r="AC241" i="2" s="1"/>
  <c r="N160" i="2"/>
  <c r="AB241" i="2" s="1"/>
  <c r="M160" i="2"/>
  <c r="AA241" i="2" s="1"/>
  <c r="L160" i="2"/>
  <c r="Z241" i="2" s="1"/>
  <c r="K160" i="2"/>
  <c r="Y241" i="2" s="1"/>
  <c r="J160" i="2"/>
  <c r="X241" i="2" s="1"/>
  <c r="I160" i="2"/>
  <c r="W241" i="2" s="1"/>
  <c r="H160" i="2"/>
  <c r="V241" i="2" s="1"/>
  <c r="G160" i="2"/>
  <c r="U241" i="2" s="1"/>
  <c r="F160" i="2"/>
  <c r="T241" i="2" s="1"/>
  <c r="E160" i="2"/>
  <c r="S241" i="2" s="1"/>
  <c r="D160" i="2"/>
  <c r="R241" i="2" s="1"/>
  <c r="C160" i="2"/>
  <c r="Q241" i="2" s="1"/>
  <c r="O159" i="2"/>
  <c r="AC240" i="2" s="1"/>
  <c r="N159" i="2"/>
  <c r="AB240" i="2" s="1"/>
  <c r="M159" i="2"/>
  <c r="AA240" i="2" s="1"/>
  <c r="L159" i="2"/>
  <c r="Z240" i="2" s="1"/>
  <c r="K159" i="2"/>
  <c r="Y240" i="2" s="1"/>
  <c r="J159" i="2"/>
  <c r="X240" i="2" s="1"/>
  <c r="I159" i="2"/>
  <c r="W240" i="2" s="1"/>
  <c r="H159" i="2"/>
  <c r="V240" i="2" s="1"/>
  <c r="G159" i="2"/>
  <c r="U240" i="2" s="1"/>
  <c r="F159" i="2"/>
  <c r="T240" i="2" s="1"/>
  <c r="E159" i="2"/>
  <c r="S240" i="2" s="1"/>
  <c r="D159" i="2"/>
  <c r="R240" i="2" s="1"/>
  <c r="C159" i="2"/>
  <c r="Q240" i="2" s="1"/>
  <c r="O158" i="2"/>
  <c r="AC239" i="2" s="1"/>
  <c r="N158" i="2"/>
  <c r="AB239" i="2" s="1"/>
  <c r="M158" i="2"/>
  <c r="AA239" i="2" s="1"/>
  <c r="L158" i="2"/>
  <c r="Z239" i="2" s="1"/>
  <c r="K158" i="2"/>
  <c r="Y239" i="2" s="1"/>
  <c r="J158" i="2"/>
  <c r="X239" i="2" s="1"/>
  <c r="I158" i="2"/>
  <c r="W239" i="2" s="1"/>
  <c r="H158" i="2"/>
  <c r="V239" i="2" s="1"/>
  <c r="G158" i="2"/>
  <c r="U239" i="2" s="1"/>
  <c r="F158" i="2"/>
  <c r="T239" i="2" s="1"/>
  <c r="E158" i="2"/>
  <c r="S239" i="2" s="1"/>
  <c r="D158" i="2"/>
  <c r="R239" i="2" s="1"/>
  <c r="C158" i="2"/>
  <c r="Q239" i="2" s="1"/>
  <c r="O157" i="2"/>
  <c r="AC238" i="2" s="1"/>
  <c r="N157" i="2"/>
  <c r="AB238" i="2" s="1"/>
  <c r="M157" i="2"/>
  <c r="AA238" i="2" s="1"/>
  <c r="L157" i="2"/>
  <c r="Z238" i="2" s="1"/>
  <c r="K157" i="2"/>
  <c r="Y238" i="2" s="1"/>
  <c r="J157" i="2"/>
  <c r="X238" i="2" s="1"/>
  <c r="I157" i="2"/>
  <c r="W238" i="2" s="1"/>
  <c r="H157" i="2"/>
  <c r="V238" i="2" s="1"/>
  <c r="G157" i="2"/>
  <c r="U238" i="2" s="1"/>
  <c r="F157" i="2"/>
  <c r="T238" i="2" s="1"/>
  <c r="E157" i="2"/>
  <c r="S238" i="2" s="1"/>
  <c r="D157" i="2"/>
  <c r="R238" i="2" s="1"/>
  <c r="C157" i="2"/>
  <c r="Q238" i="2" s="1"/>
  <c r="O156" i="2"/>
  <c r="AC237" i="2" s="1"/>
  <c r="N156" i="2"/>
  <c r="AB237" i="2" s="1"/>
  <c r="M156" i="2"/>
  <c r="AA237" i="2" s="1"/>
  <c r="L156" i="2"/>
  <c r="Z237" i="2" s="1"/>
  <c r="K156" i="2"/>
  <c r="Y237" i="2" s="1"/>
  <c r="J156" i="2"/>
  <c r="X237" i="2" s="1"/>
  <c r="I156" i="2"/>
  <c r="W237" i="2" s="1"/>
  <c r="H156" i="2"/>
  <c r="V237" i="2" s="1"/>
  <c r="G156" i="2"/>
  <c r="U237" i="2" s="1"/>
  <c r="F156" i="2"/>
  <c r="T237" i="2" s="1"/>
  <c r="E156" i="2"/>
  <c r="S237" i="2" s="1"/>
  <c r="D156" i="2"/>
  <c r="R237" i="2" s="1"/>
  <c r="C156" i="2"/>
  <c r="Q237" i="2" s="1"/>
  <c r="O155" i="2"/>
  <c r="AC236" i="2" s="1"/>
  <c r="N155" i="2"/>
  <c r="AB236" i="2" s="1"/>
  <c r="M155" i="2"/>
  <c r="AA236" i="2" s="1"/>
  <c r="L155" i="2"/>
  <c r="Z236" i="2" s="1"/>
  <c r="K155" i="2"/>
  <c r="Y236" i="2" s="1"/>
  <c r="J155" i="2"/>
  <c r="X236" i="2" s="1"/>
  <c r="I155" i="2"/>
  <c r="W236" i="2" s="1"/>
  <c r="H155" i="2"/>
  <c r="V236" i="2" s="1"/>
  <c r="G155" i="2"/>
  <c r="U236" i="2" s="1"/>
  <c r="F155" i="2"/>
  <c r="T236" i="2" s="1"/>
  <c r="E155" i="2"/>
  <c r="S236" i="2" s="1"/>
  <c r="D155" i="2"/>
  <c r="R236" i="2" s="1"/>
  <c r="C155" i="2"/>
  <c r="Q236" i="2" s="1"/>
  <c r="O154" i="2"/>
  <c r="AC235" i="2" s="1"/>
  <c r="N154" i="2"/>
  <c r="AB235" i="2" s="1"/>
  <c r="M154" i="2"/>
  <c r="AA235" i="2" s="1"/>
  <c r="L154" i="2"/>
  <c r="Z235" i="2" s="1"/>
  <c r="K154" i="2"/>
  <c r="Y235" i="2" s="1"/>
  <c r="J154" i="2"/>
  <c r="X235" i="2" s="1"/>
  <c r="I154" i="2"/>
  <c r="W235" i="2" s="1"/>
  <c r="H154" i="2"/>
  <c r="V235" i="2" s="1"/>
  <c r="G154" i="2"/>
  <c r="U235" i="2" s="1"/>
  <c r="F154" i="2"/>
  <c r="T235" i="2" s="1"/>
  <c r="E154" i="2"/>
  <c r="S235" i="2" s="1"/>
  <c r="D154" i="2"/>
  <c r="R235" i="2" s="1"/>
  <c r="C154" i="2"/>
  <c r="Q235" i="2" s="1"/>
  <c r="O153" i="2"/>
  <c r="AC234" i="2" s="1"/>
  <c r="N153" i="2"/>
  <c r="AB234" i="2" s="1"/>
  <c r="M153" i="2"/>
  <c r="AA234" i="2" s="1"/>
  <c r="L153" i="2"/>
  <c r="Z234" i="2" s="1"/>
  <c r="K153" i="2"/>
  <c r="Y234" i="2" s="1"/>
  <c r="J153" i="2"/>
  <c r="X234" i="2" s="1"/>
  <c r="I153" i="2"/>
  <c r="W234" i="2" s="1"/>
  <c r="H153" i="2"/>
  <c r="V234" i="2" s="1"/>
  <c r="G153" i="2"/>
  <c r="U234" i="2" s="1"/>
  <c r="F153" i="2"/>
  <c r="T234" i="2" s="1"/>
  <c r="E153" i="2"/>
  <c r="S234" i="2" s="1"/>
  <c r="D153" i="2"/>
  <c r="R234" i="2" s="1"/>
  <c r="C153" i="2"/>
  <c r="Q234" i="2" s="1"/>
  <c r="O152" i="2"/>
  <c r="AC233" i="2" s="1"/>
  <c r="N152" i="2"/>
  <c r="AB233" i="2" s="1"/>
  <c r="M152" i="2"/>
  <c r="AA233" i="2" s="1"/>
  <c r="L152" i="2"/>
  <c r="Z233" i="2" s="1"/>
  <c r="K152" i="2"/>
  <c r="Y233" i="2" s="1"/>
  <c r="J152" i="2"/>
  <c r="X233" i="2" s="1"/>
  <c r="I152" i="2"/>
  <c r="W233" i="2" s="1"/>
  <c r="H152" i="2"/>
  <c r="V233" i="2" s="1"/>
  <c r="G152" i="2"/>
  <c r="U233" i="2" s="1"/>
  <c r="F152" i="2"/>
  <c r="T233" i="2" s="1"/>
  <c r="E152" i="2"/>
  <c r="S233" i="2" s="1"/>
  <c r="D152" i="2"/>
  <c r="R233" i="2" s="1"/>
  <c r="C152" i="2"/>
  <c r="Q233" i="2" s="1"/>
  <c r="O151" i="2"/>
  <c r="AC232" i="2" s="1"/>
  <c r="N151" i="2"/>
  <c r="AB232" i="2" s="1"/>
  <c r="M151" i="2"/>
  <c r="AA232" i="2" s="1"/>
  <c r="L151" i="2"/>
  <c r="Z232" i="2" s="1"/>
  <c r="K151" i="2"/>
  <c r="Y232" i="2" s="1"/>
  <c r="J151" i="2"/>
  <c r="X232" i="2" s="1"/>
  <c r="I151" i="2"/>
  <c r="W232" i="2" s="1"/>
  <c r="H151" i="2"/>
  <c r="V232" i="2" s="1"/>
  <c r="G151" i="2"/>
  <c r="U232" i="2" s="1"/>
  <c r="F151" i="2"/>
  <c r="T232" i="2" s="1"/>
  <c r="E151" i="2"/>
  <c r="S232" i="2" s="1"/>
  <c r="D151" i="2"/>
  <c r="R232" i="2" s="1"/>
  <c r="C151" i="2"/>
  <c r="Q232" i="2" s="1"/>
  <c r="O150" i="2"/>
  <c r="AC231" i="2" s="1"/>
  <c r="N150" i="2"/>
  <c r="AB231" i="2" s="1"/>
  <c r="M150" i="2"/>
  <c r="AA231" i="2" s="1"/>
  <c r="L150" i="2"/>
  <c r="Z231" i="2" s="1"/>
  <c r="K150" i="2"/>
  <c r="Y231" i="2" s="1"/>
  <c r="J150" i="2"/>
  <c r="X231" i="2" s="1"/>
  <c r="I150" i="2"/>
  <c r="W231" i="2" s="1"/>
  <c r="H150" i="2"/>
  <c r="V231" i="2" s="1"/>
  <c r="G150" i="2"/>
  <c r="U231" i="2" s="1"/>
  <c r="F150" i="2"/>
  <c r="T231" i="2" s="1"/>
  <c r="E150" i="2"/>
  <c r="S231" i="2" s="1"/>
  <c r="D150" i="2"/>
  <c r="R231" i="2" s="1"/>
  <c r="C150" i="2"/>
  <c r="Q231" i="2" s="1"/>
  <c r="O149" i="2"/>
  <c r="AC230" i="2" s="1"/>
  <c r="N149" i="2"/>
  <c r="AB230" i="2" s="1"/>
  <c r="M149" i="2"/>
  <c r="AA230" i="2" s="1"/>
  <c r="L149" i="2"/>
  <c r="Z230" i="2" s="1"/>
  <c r="K149" i="2"/>
  <c r="Y230" i="2" s="1"/>
  <c r="J149" i="2"/>
  <c r="X230" i="2" s="1"/>
  <c r="I149" i="2"/>
  <c r="W230" i="2" s="1"/>
  <c r="H149" i="2"/>
  <c r="V230" i="2" s="1"/>
  <c r="G149" i="2"/>
  <c r="U230" i="2" s="1"/>
  <c r="F149" i="2"/>
  <c r="T230" i="2" s="1"/>
  <c r="E149" i="2"/>
  <c r="S230" i="2" s="1"/>
  <c r="D149" i="2"/>
  <c r="R230" i="2" s="1"/>
  <c r="C149" i="2"/>
  <c r="Q230" i="2" s="1"/>
  <c r="O148" i="2"/>
  <c r="AC229" i="2" s="1"/>
  <c r="N148" i="2"/>
  <c r="AB229" i="2" s="1"/>
  <c r="M148" i="2"/>
  <c r="AA229" i="2" s="1"/>
  <c r="L148" i="2"/>
  <c r="Z229" i="2" s="1"/>
  <c r="K148" i="2"/>
  <c r="Y229" i="2" s="1"/>
  <c r="J148" i="2"/>
  <c r="X229" i="2" s="1"/>
  <c r="I148" i="2"/>
  <c r="W229" i="2" s="1"/>
  <c r="H148" i="2"/>
  <c r="V229" i="2" s="1"/>
  <c r="G148" i="2"/>
  <c r="U229" i="2" s="1"/>
  <c r="F148" i="2"/>
  <c r="T229" i="2" s="1"/>
  <c r="E148" i="2"/>
  <c r="S229" i="2" s="1"/>
  <c r="D148" i="2"/>
  <c r="R229" i="2" s="1"/>
  <c r="C148" i="2"/>
  <c r="Q229" i="2" s="1"/>
  <c r="O147" i="2"/>
  <c r="AC228" i="2" s="1"/>
  <c r="N147" i="2"/>
  <c r="AB228" i="2" s="1"/>
  <c r="M147" i="2"/>
  <c r="AA228" i="2" s="1"/>
  <c r="L147" i="2"/>
  <c r="Z228" i="2" s="1"/>
  <c r="K147" i="2"/>
  <c r="Y228" i="2" s="1"/>
  <c r="J147" i="2"/>
  <c r="X228" i="2" s="1"/>
  <c r="I147" i="2"/>
  <c r="W228" i="2" s="1"/>
  <c r="H147" i="2"/>
  <c r="V228" i="2" s="1"/>
  <c r="G147" i="2"/>
  <c r="U228" i="2" s="1"/>
  <c r="F147" i="2"/>
  <c r="T228" i="2" s="1"/>
  <c r="E147" i="2"/>
  <c r="S228" i="2" s="1"/>
  <c r="D147" i="2"/>
  <c r="R228" i="2" s="1"/>
  <c r="C147" i="2"/>
  <c r="Q228" i="2" s="1"/>
  <c r="O146" i="2"/>
  <c r="AC227" i="2" s="1"/>
  <c r="N146" i="2"/>
  <c r="AB227" i="2" s="1"/>
  <c r="M146" i="2"/>
  <c r="AA227" i="2" s="1"/>
  <c r="L146" i="2"/>
  <c r="Z227" i="2" s="1"/>
  <c r="K146" i="2"/>
  <c r="Y227" i="2" s="1"/>
  <c r="J146" i="2"/>
  <c r="X227" i="2" s="1"/>
  <c r="I146" i="2"/>
  <c r="W227" i="2" s="1"/>
  <c r="H146" i="2"/>
  <c r="V227" i="2" s="1"/>
  <c r="G146" i="2"/>
  <c r="U227" i="2" s="1"/>
  <c r="F146" i="2"/>
  <c r="T227" i="2" s="1"/>
  <c r="E146" i="2"/>
  <c r="S227" i="2" s="1"/>
  <c r="D146" i="2"/>
  <c r="R227" i="2" s="1"/>
  <c r="C146" i="2"/>
  <c r="Q227" i="2" s="1"/>
  <c r="O145" i="2"/>
  <c r="AC226" i="2" s="1"/>
  <c r="N145" i="2"/>
  <c r="AB226" i="2" s="1"/>
  <c r="M145" i="2"/>
  <c r="AA226" i="2" s="1"/>
  <c r="L145" i="2"/>
  <c r="Z226" i="2" s="1"/>
  <c r="K145" i="2"/>
  <c r="Y226" i="2" s="1"/>
  <c r="J145" i="2"/>
  <c r="X226" i="2" s="1"/>
  <c r="I145" i="2"/>
  <c r="W226" i="2" s="1"/>
  <c r="H145" i="2"/>
  <c r="V226" i="2" s="1"/>
  <c r="G145" i="2"/>
  <c r="U226" i="2" s="1"/>
  <c r="F145" i="2"/>
  <c r="T226" i="2" s="1"/>
  <c r="E145" i="2"/>
  <c r="S226" i="2" s="1"/>
  <c r="D145" i="2"/>
  <c r="R226" i="2" s="1"/>
  <c r="C145" i="2"/>
  <c r="Q226" i="2" s="1"/>
  <c r="O144" i="2"/>
  <c r="AC225" i="2" s="1"/>
  <c r="N144" i="2"/>
  <c r="AB225" i="2" s="1"/>
  <c r="M144" i="2"/>
  <c r="AA225" i="2" s="1"/>
  <c r="L144" i="2"/>
  <c r="Z225" i="2" s="1"/>
  <c r="K144" i="2"/>
  <c r="Y225" i="2" s="1"/>
  <c r="J144" i="2"/>
  <c r="X225" i="2" s="1"/>
  <c r="I144" i="2"/>
  <c r="W225" i="2" s="1"/>
  <c r="H144" i="2"/>
  <c r="V225" i="2" s="1"/>
  <c r="G144" i="2"/>
  <c r="U225" i="2" s="1"/>
  <c r="F144" i="2"/>
  <c r="T225" i="2" s="1"/>
  <c r="E144" i="2"/>
  <c r="S225" i="2" s="1"/>
  <c r="D144" i="2"/>
  <c r="R225" i="2" s="1"/>
  <c r="C144" i="2"/>
  <c r="Q225" i="2" s="1"/>
  <c r="O143" i="2"/>
  <c r="AC224" i="2" s="1"/>
  <c r="N143" i="2"/>
  <c r="AB224" i="2" s="1"/>
  <c r="M143" i="2"/>
  <c r="AA224" i="2" s="1"/>
  <c r="L143" i="2"/>
  <c r="Z224" i="2" s="1"/>
  <c r="K143" i="2"/>
  <c r="Y224" i="2" s="1"/>
  <c r="J143" i="2"/>
  <c r="X224" i="2" s="1"/>
  <c r="I143" i="2"/>
  <c r="W224" i="2" s="1"/>
  <c r="H143" i="2"/>
  <c r="V224" i="2" s="1"/>
  <c r="G143" i="2"/>
  <c r="U224" i="2" s="1"/>
  <c r="F143" i="2"/>
  <c r="T224" i="2" s="1"/>
  <c r="E143" i="2"/>
  <c r="S224" i="2" s="1"/>
  <c r="D143" i="2"/>
  <c r="R224" i="2" s="1"/>
  <c r="C143" i="2"/>
  <c r="Q224" i="2" s="1"/>
  <c r="O142" i="2"/>
  <c r="AC223" i="2" s="1"/>
  <c r="N142" i="2"/>
  <c r="AB223" i="2" s="1"/>
  <c r="M142" i="2"/>
  <c r="AA223" i="2" s="1"/>
  <c r="L142" i="2"/>
  <c r="Z223" i="2" s="1"/>
  <c r="K142" i="2"/>
  <c r="Y223" i="2" s="1"/>
  <c r="J142" i="2"/>
  <c r="X223" i="2" s="1"/>
  <c r="I142" i="2"/>
  <c r="W223" i="2" s="1"/>
  <c r="H142" i="2"/>
  <c r="V223" i="2" s="1"/>
  <c r="G142" i="2"/>
  <c r="U223" i="2" s="1"/>
  <c r="F142" i="2"/>
  <c r="T223" i="2" s="1"/>
  <c r="E142" i="2"/>
  <c r="S223" i="2" s="1"/>
  <c r="D142" i="2"/>
  <c r="R223" i="2" s="1"/>
  <c r="C142" i="2"/>
  <c r="Q223" i="2" s="1"/>
  <c r="O141" i="2"/>
  <c r="AC222" i="2" s="1"/>
  <c r="N141" i="2"/>
  <c r="AB222" i="2" s="1"/>
  <c r="M141" i="2"/>
  <c r="AA222" i="2" s="1"/>
  <c r="L141" i="2"/>
  <c r="Z222" i="2" s="1"/>
  <c r="K141" i="2"/>
  <c r="Y222" i="2" s="1"/>
  <c r="J141" i="2"/>
  <c r="X222" i="2" s="1"/>
  <c r="I141" i="2"/>
  <c r="W222" i="2" s="1"/>
  <c r="H141" i="2"/>
  <c r="V222" i="2" s="1"/>
  <c r="G141" i="2"/>
  <c r="U222" i="2" s="1"/>
  <c r="F141" i="2"/>
  <c r="T222" i="2" s="1"/>
  <c r="E141" i="2"/>
  <c r="S222" i="2" s="1"/>
  <c r="D141" i="2"/>
  <c r="R222" i="2" s="1"/>
  <c r="C141" i="2"/>
  <c r="Q222" i="2" s="1"/>
  <c r="O140" i="2"/>
  <c r="AC221" i="2" s="1"/>
  <c r="N140" i="2"/>
  <c r="AB221" i="2" s="1"/>
  <c r="M140" i="2"/>
  <c r="AA221" i="2" s="1"/>
  <c r="L140" i="2"/>
  <c r="Z221" i="2" s="1"/>
  <c r="K140" i="2"/>
  <c r="Y221" i="2" s="1"/>
  <c r="J140" i="2"/>
  <c r="X221" i="2" s="1"/>
  <c r="I140" i="2"/>
  <c r="W221" i="2" s="1"/>
  <c r="H140" i="2"/>
  <c r="V221" i="2" s="1"/>
  <c r="G140" i="2"/>
  <c r="U221" i="2" s="1"/>
  <c r="F140" i="2"/>
  <c r="T221" i="2" s="1"/>
  <c r="E140" i="2"/>
  <c r="S221" i="2" s="1"/>
  <c r="D140" i="2"/>
  <c r="R221" i="2" s="1"/>
  <c r="C140" i="2"/>
  <c r="Q221" i="2" s="1"/>
  <c r="O139" i="2"/>
  <c r="AC220" i="2" s="1"/>
  <c r="N139" i="2"/>
  <c r="AB220" i="2" s="1"/>
  <c r="M139" i="2"/>
  <c r="AA220" i="2" s="1"/>
  <c r="L139" i="2"/>
  <c r="Z220" i="2" s="1"/>
  <c r="K139" i="2"/>
  <c r="Y220" i="2" s="1"/>
  <c r="J139" i="2"/>
  <c r="X220" i="2" s="1"/>
  <c r="I139" i="2"/>
  <c r="W220" i="2" s="1"/>
  <c r="H139" i="2"/>
  <c r="V220" i="2" s="1"/>
  <c r="G139" i="2"/>
  <c r="U220" i="2" s="1"/>
  <c r="F139" i="2"/>
  <c r="T220" i="2" s="1"/>
  <c r="E139" i="2"/>
  <c r="S220" i="2" s="1"/>
  <c r="D139" i="2"/>
  <c r="R220" i="2" s="1"/>
  <c r="C139" i="2"/>
  <c r="Q220" i="2" s="1"/>
  <c r="O138" i="2"/>
  <c r="AC219" i="2" s="1"/>
  <c r="N138" i="2"/>
  <c r="AB219" i="2" s="1"/>
  <c r="M138" i="2"/>
  <c r="AA219" i="2" s="1"/>
  <c r="L138" i="2"/>
  <c r="Z219" i="2" s="1"/>
  <c r="K138" i="2"/>
  <c r="Y219" i="2" s="1"/>
  <c r="J138" i="2"/>
  <c r="X219" i="2" s="1"/>
  <c r="I138" i="2"/>
  <c r="W219" i="2" s="1"/>
  <c r="H138" i="2"/>
  <c r="V219" i="2" s="1"/>
  <c r="G138" i="2"/>
  <c r="U219" i="2" s="1"/>
  <c r="F138" i="2"/>
  <c r="T219" i="2" s="1"/>
  <c r="E138" i="2"/>
  <c r="S219" i="2" s="1"/>
  <c r="D138" i="2"/>
  <c r="R219" i="2" s="1"/>
  <c r="C138" i="2"/>
  <c r="Q219" i="2" s="1"/>
  <c r="O137" i="2"/>
  <c r="AC218" i="2" s="1"/>
  <c r="N137" i="2"/>
  <c r="AB218" i="2" s="1"/>
  <c r="M137" i="2"/>
  <c r="AA218" i="2" s="1"/>
  <c r="L137" i="2"/>
  <c r="Z218" i="2" s="1"/>
  <c r="K137" i="2"/>
  <c r="Y218" i="2" s="1"/>
  <c r="J137" i="2"/>
  <c r="X218" i="2" s="1"/>
  <c r="I137" i="2"/>
  <c r="W218" i="2" s="1"/>
  <c r="H137" i="2"/>
  <c r="V218" i="2" s="1"/>
  <c r="G137" i="2"/>
  <c r="U218" i="2" s="1"/>
  <c r="F137" i="2"/>
  <c r="T218" i="2" s="1"/>
  <c r="E137" i="2"/>
  <c r="S218" i="2" s="1"/>
  <c r="D137" i="2"/>
  <c r="R218" i="2" s="1"/>
  <c r="C137" i="2"/>
  <c r="Q218" i="2" s="1"/>
  <c r="O136" i="2"/>
  <c r="AC217" i="2" s="1"/>
  <c r="N136" i="2"/>
  <c r="AB217" i="2" s="1"/>
  <c r="M136" i="2"/>
  <c r="AA217" i="2" s="1"/>
  <c r="L136" i="2"/>
  <c r="Z217" i="2" s="1"/>
  <c r="K136" i="2"/>
  <c r="Y217" i="2" s="1"/>
  <c r="J136" i="2"/>
  <c r="X217" i="2" s="1"/>
  <c r="I136" i="2"/>
  <c r="W217" i="2" s="1"/>
  <c r="H136" i="2"/>
  <c r="V217" i="2" s="1"/>
  <c r="G136" i="2"/>
  <c r="U217" i="2" s="1"/>
  <c r="F136" i="2"/>
  <c r="T217" i="2" s="1"/>
  <c r="E136" i="2"/>
  <c r="S217" i="2" s="1"/>
  <c r="D136" i="2"/>
  <c r="R217" i="2" s="1"/>
  <c r="C136" i="2"/>
  <c r="Q217" i="2" s="1"/>
  <c r="O135" i="2"/>
  <c r="AC216" i="2" s="1"/>
  <c r="N135" i="2"/>
  <c r="AB216" i="2" s="1"/>
  <c r="M135" i="2"/>
  <c r="AA216" i="2" s="1"/>
  <c r="L135" i="2"/>
  <c r="Z216" i="2" s="1"/>
  <c r="K135" i="2"/>
  <c r="Y216" i="2" s="1"/>
  <c r="J135" i="2"/>
  <c r="X216" i="2" s="1"/>
  <c r="I135" i="2"/>
  <c r="W216" i="2" s="1"/>
  <c r="H135" i="2"/>
  <c r="V216" i="2" s="1"/>
  <c r="G135" i="2"/>
  <c r="U216" i="2" s="1"/>
  <c r="F135" i="2"/>
  <c r="T216" i="2" s="1"/>
  <c r="E135" i="2"/>
  <c r="S216" i="2" s="1"/>
  <c r="D135" i="2"/>
  <c r="R216" i="2" s="1"/>
  <c r="C135" i="2"/>
  <c r="Q216" i="2" s="1"/>
  <c r="O134" i="2"/>
  <c r="AC215" i="2" s="1"/>
  <c r="N134" i="2"/>
  <c r="AB215" i="2" s="1"/>
  <c r="M134" i="2"/>
  <c r="AA215" i="2" s="1"/>
  <c r="L134" i="2"/>
  <c r="Z215" i="2" s="1"/>
  <c r="K134" i="2"/>
  <c r="Y215" i="2" s="1"/>
  <c r="J134" i="2"/>
  <c r="X215" i="2" s="1"/>
  <c r="I134" i="2"/>
  <c r="W215" i="2" s="1"/>
  <c r="H134" i="2"/>
  <c r="V215" i="2" s="1"/>
  <c r="G134" i="2"/>
  <c r="U215" i="2" s="1"/>
  <c r="F134" i="2"/>
  <c r="T215" i="2" s="1"/>
  <c r="E134" i="2"/>
  <c r="S215" i="2" s="1"/>
  <c r="D134" i="2"/>
  <c r="R215" i="2" s="1"/>
  <c r="C134" i="2"/>
  <c r="Q215" i="2" s="1"/>
  <c r="O133" i="2"/>
  <c r="AC214" i="2" s="1"/>
  <c r="N133" i="2"/>
  <c r="AB214" i="2" s="1"/>
  <c r="M133" i="2"/>
  <c r="AA214" i="2" s="1"/>
  <c r="L133" i="2"/>
  <c r="Z214" i="2" s="1"/>
  <c r="K133" i="2"/>
  <c r="Y214" i="2" s="1"/>
  <c r="J133" i="2"/>
  <c r="X214" i="2" s="1"/>
  <c r="I133" i="2"/>
  <c r="W214" i="2" s="1"/>
  <c r="H133" i="2"/>
  <c r="V214" i="2" s="1"/>
  <c r="G133" i="2"/>
  <c r="U214" i="2" s="1"/>
  <c r="F133" i="2"/>
  <c r="T214" i="2" s="1"/>
  <c r="E133" i="2"/>
  <c r="S214" i="2" s="1"/>
  <c r="D133" i="2"/>
  <c r="R214" i="2" s="1"/>
  <c r="C133" i="2"/>
  <c r="Q214" i="2" s="1"/>
  <c r="O132" i="2"/>
  <c r="AC213" i="2" s="1"/>
  <c r="N132" i="2"/>
  <c r="AB213" i="2" s="1"/>
  <c r="M132" i="2"/>
  <c r="AA213" i="2" s="1"/>
  <c r="L132" i="2"/>
  <c r="Z213" i="2" s="1"/>
  <c r="K132" i="2"/>
  <c r="Y213" i="2" s="1"/>
  <c r="J132" i="2"/>
  <c r="X213" i="2" s="1"/>
  <c r="I132" i="2"/>
  <c r="W213" i="2" s="1"/>
  <c r="H132" i="2"/>
  <c r="V213" i="2" s="1"/>
  <c r="G132" i="2"/>
  <c r="U213" i="2" s="1"/>
  <c r="F132" i="2"/>
  <c r="T213" i="2" s="1"/>
  <c r="E132" i="2"/>
  <c r="S213" i="2" s="1"/>
  <c r="D132" i="2"/>
  <c r="R213" i="2" s="1"/>
  <c r="C132" i="2"/>
  <c r="Q213" i="2" s="1"/>
  <c r="O131" i="2"/>
  <c r="AC212" i="2" s="1"/>
  <c r="N131" i="2"/>
  <c r="AB212" i="2" s="1"/>
  <c r="M131" i="2"/>
  <c r="AA212" i="2" s="1"/>
  <c r="L131" i="2"/>
  <c r="Z212" i="2" s="1"/>
  <c r="K131" i="2"/>
  <c r="Y212" i="2" s="1"/>
  <c r="J131" i="2"/>
  <c r="X212" i="2" s="1"/>
  <c r="I131" i="2"/>
  <c r="W212" i="2" s="1"/>
  <c r="H131" i="2"/>
  <c r="V212" i="2" s="1"/>
  <c r="G131" i="2"/>
  <c r="U212" i="2" s="1"/>
  <c r="F131" i="2"/>
  <c r="T212" i="2" s="1"/>
  <c r="E131" i="2"/>
  <c r="S212" i="2" s="1"/>
  <c r="D131" i="2"/>
  <c r="R212" i="2" s="1"/>
  <c r="C131" i="2"/>
  <c r="Q212" i="2" s="1"/>
  <c r="O130" i="2"/>
  <c r="AC211" i="2" s="1"/>
  <c r="N130" i="2"/>
  <c r="AB211" i="2" s="1"/>
  <c r="M130" i="2"/>
  <c r="AA211" i="2" s="1"/>
  <c r="L130" i="2"/>
  <c r="Z211" i="2" s="1"/>
  <c r="K130" i="2"/>
  <c r="Y211" i="2" s="1"/>
  <c r="J130" i="2"/>
  <c r="X211" i="2" s="1"/>
  <c r="I130" i="2"/>
  <c r="W211" i="2" s="1"/>
  <c r="H130" i="2"/>
  <c r="V211" i="2" s="1"/>
  <c r="G130" i="2"/>
  <c r="U211" i="2" s="1"/>
  <c r="F130" i="2"/>
  <c r="T211" i="2" s="1"/>
  <c r="E130" i="2"/>
  <c r="S211" i="2" s="1"/>
  <c r="D130" i="2"/>
  <c r="R211" i="2" s="1"/>
  <c r="C130" i="2"/>
  <c r="Q211" i="2" s="1"/>
  <c r="O129" i="2"/>
  <c r="AC210" i="2" s="1"/>
  <c r="N129" i="2"/>
  <c r="AB210" i="2" s="1"/>
  <c r="M129" i="2"/>
  <c r="AA210" i="2" s="1"/>
  <c r="L129" i="2"/>
  <c r="Z210" i="2" s="1"/>
  <c r="K129" i="2"/>
  <c r="Y210" i="2" s="1"/>
  <c r="J129" i="2"/>
  <c r="X210" i="2" s="1"/>
  <c r="I129" i="2"/>
  <c r="W210" i="2" s="1"/>
  <c r="H129" i="2"/>
  <c r="V210" i="2" s="1"/>
  <c r="G129" i="2"/>
  <c r="U210" i="2" s="1"/>
  <c r="F129" i="2"/>
  <c r="T210" i="2" s="1"/>
  <c r="E129" i="2"/>
  <c r="S210" i="2" s="1"/>
  <c r="D129" i="2"/>
  <c r="R210" i="2" s="1"/>
  <c r="C129" i="2"/>
  <c r="Q210" i="2" s="1"/>
  <c r="O128" i="2"/>
  <c r="AC209" i="2" s="1"/>
  <c r="N128" i="2"/>
  <c r="AB209" i="2" s="1"/>
  <c r="M128" i="2"/>
  <c r="AA209" i="2" s="1"/>
  <c r="L128" i="2"/>
  <c r="Z209" i="2" s="1"/>
  <c r="K128" i="2"/>
  <c r="Y209" i="2" s="1"/>
  <c r="J128" i="2"/>
  <c r="X209" i="2" s="1"/>
  <c r="I128" i="2"/>
  <c r="W209" i="2" s="1"/>
  <c r="H128" i="2"/>
  <c r="V209" i="2" s="1"/>
  <c r="G128" i="2"/>
  <c r="U209" i="2" s="1"/>
  <c r="F128" i="2"/>
  <c r="T209" i="2" s="1"/>
  <c r="E128" i="2"/>
  <c r="S209" i="2" s="1"/>
  <c r="D128" i="2"/>
  <c r="R209" i="2" s="1"/>
  <c r="C128" i="2"/>
  <c r="Q209" i="2" s="1"/>
  <c r="O127" i="2"/>
  <c r="AC208" i="2" s="1"/>
  <c r="N127" i="2"/>
  <c r="AB208" i="2" s="1"/>
  <c r="M127" i="2"/>
  <c r="AA208" i="2" s="1"/>
  <c r="L127" i="2"/>
  <c r="Z208" i="2" s="1"/>
  <c r="K127" i="2"/>
  <c r="Y208" i="2" s="1"/>
  <c r="J127" i="2"/>
  <c r="X208" i="2" s="1"/>
  <c r="I127" i="2"/>
  <c r="W208" i="2" s="1"/>
  <c r="H127" i="2"/>
  <c r="V208" i="2" s="1"/>
  <c r="G127" i="2"/>
  <c r="U208" i="2" s="1"/>
  <c r="F127" i="2"/>
  <c r="T208" i="2" s="1"/>
  <c r="E127" i="2"/>
  <c r="S208" i="2" s="1"/>
  <c r="D127" i="2"/>
  <c r="R208" i="2" s="1"/>
  <c r="C127" i="2"/>
  <c r="Q208" i="2" s="1"/>
  <c r="O126" i="2"/>
  <c r="AC207" i="2" s="1"/>
  <c r="N126" i="2"/>
  <c r="AB207" i="2" s="1"/>
  <c r="M126" i="2"/>
  <c r="AA207" i="2" s="1"/>
  <c r="L126" i="2"/>
  <c r="Z207" i="2" s="1"/>
  <c r="K126" i="2"/>
  <c r="Y207" i="2" s="1"/>
  <c r="J126" i="2"/>
  <c r="X207" i="2" s="1"/>
  <c r="I126" i="2"/>
  <c r="W207" i="2" s="1"/>
  <c r="H126" i="2"/>
  <c r="V207" i="2" s="1"/>
  <c r="G126" i="2"/>
  <c r="U207" i="2" s="1"/>
  <c r="F126" i="2"/>
  <c r="T207" i="2" s="1"/>
  <c r="E126" i="2"/>
  <c r="S207" i="2" s="1"/>
  <c r="D126" i="2"/>
  <c r="R207" i="2" s="1"/>
  <c r="C126" i="2"/>
  <c r="Q207" i="2" s="1"/>
  <c r="O125" i="2"/>
  <c r="AC206" i="2" s="1"/>
  <c r="N125" i="2"/>
  <c r="AB206" i="2" s="1"/>
  <c r="M125" i="2"/>
  <c r="AA206" i="2" s="1"/>
  <c r="L125" i="2"/>
  <c r="Z206" i="2" s="1"/>
  <c r="K125" i="2"/>
  <c r="Y206" i="2" s="1"/>
  <c r="J125" i="2"/>
  <c r="X206" i="2" s="1"/>
  <c r="I125" i="2"/>
  <c r="W206" i="2" s="1"/>
  <c r="H125" i="2"/>
  <c r="V206" i="2" s="1"/>
  <c r="G125" i="2"/>
  <c r="U206" i="2" s="1"/>
  <c r="F125" i="2"/>
  <c r="T206" i="2" s="1"/>
  <c r="E125" i="2"/>
  <c r="S206" i="2" s="1"/>
  <c r="D125" i="2"/>
  <c r="R206" i="2" s="1"/>
  <c r="C125" i="2"/>
  <c r="Q206" i="2" s="1"/>
  <c r="O124" i="2"/>
  <c r="AC205" i="2" s="1"/>
  <c r="N124" i="2"/>
  <c r="AB205" i="2" s="1"/>
  <c r="M124" i="2"/>
  <c r="AA205" i="2" s="1"/>
  <c r="L124" i="2"/>
  <c r="Z205" i="2" s="1"/>
  <c r="K124" i="2"/>
  <c r="Y205" i="2" s="1"/>
  <c r="J124" i="2"/>
  <c r="X205" i="2" s="1"/>
  <c r="I124" i="2"/>
  <c r="W205" i="2" s="1"/>
  <c r="H124" i="2"/>
  <c r="V205" i="2" s="1"/>
  <c r="G124" i="2"/>
  <c r="U205" i="2" s="1"/>
  <c r="F124" i="2"/>
  <c r="T205" i="2" s="1"/>
  <c r="E124" i="2"/>
  <c r="S205" i="2" s="1"/>
  <c r="D124" i="2"/>
  <c r="R205" i="2" s="1"/>
  <c r="C124" i="2"/>
  <c r="Q205" i="2" s="1"/>
  <c r="O123" i="2"/>
  <c r="AC204" i="2" s="1"/>
  <c r="N123" i="2"/>
  <c r="AB204" i="2" s="1"/>
  <c r="M123" i="2"/>
  <c r="AA204" i="2" s="1"/>
  <c r="L123" i="2"/>
  <c r="Z204" i="2" s="1"/>
  <c r="K123" i="2"/>
  <c r="Y204" i="2" s="1"/>
  <c r="J123" i="2"/>
  <c r="X204" i="2" s="1"/>
  <c r="I123" i="2"/>
  <c r="W204" i="2" s="1"/>
  <c r="H123" i="2"/>
  <c r="V204" i="2" s="1"/>
  <c r="G123" i="2"/>
  <c r="U204" i="2" s="1"/>
  <c r="F123" i="2"/>
  <c r="T204" i="2" s="1"/>
  <c r="E123" i="2"/>
  <c r="S204" i="2" s="1"/>
  <c r="D123" i="2"/>
  <c r="R204" i="2" s="1"/>
  <c r="C123" i="2"/>
  <c r="Q204" i="2" s="1"/>
  <c r="O122" i="2"/>
  <c r="AC203" i="2" s="1"/>
  <c r="N122" i="2"/>
  <c r="AB203" i="2" s="1"/>
  <c r="M122" i="2"/>
  <c r="AA203" i="2" s="1"/>
  <c r="L122" i="2"/>
  <c r="Z203" i="2" s="1"/>
  <c r="K122" i="2"/>
  <c r="Y203" i="2" s="1"/>
  <c r="J122" i="2"/>
  <c r="X203" i="2" s="1"/>
  <c r="I122" i="2"/>
  <c r="W203" i="2" s="1"/>
  <c r="H122" i="2"/>
  <c r="V203" i="2" s="1"/>
  <c r="G122" i="2"/>
  <c r="U203" i="2" s="1"/>
  <c r="F122" i="2"/>
  <c r="T203" i="2" s="1"/>
  <c r="E122" i="2"/>
  <c r="S203" i="2" s="1"/>
  <c r="D122" i="2"/>
  <c r="R203" i="2" s="1"/>
  <c r="C122" i="2"/>
  <c r="Q203" i="2" s="1"/>
  <c r="O120" i="2"/>
  <c r="AC201" i="2" s="1"/>
  <c r="N120" i="2"/>
  <c r="AB201" i="2" s="1"/>
  <c r="M120" i="2"/>
  <c r="AA201" i="2" s="1"/>
  <c r="L120" i="2"/>
  <c r="Z201" i="2" s="1"/>
  <c r="K120" i="2"/>
  <c r="Y201" i="2" s="1"/>
  <c r="J120" i="2"/>
  <c r="X201" i="2" s="1"/>
  <c r="I120" i="2"/>
  <c r="W201" i="2" s="1"/>
  <c r="H120" i="2"/>
  <c r="V201" i="2" s="1"/>
  <c r="G120" i="2"/>
  <c r="U201" i="2" s="1"/>
  <c r="F120" i="2"/>
  <c r="T201" i="2" s="1"/>
  <c r="E120" i="2"/>
  <c r="S201" i="2" s="1"/>
  <c r="D120" i="2"/>
  <c r="R201" i="2" s="1"/>
  <c r="C120" i="2"/>
  <c r="Q201" i="2" s="1"/>
  <c r="O119" i="2"/>
  <c r="AC200" i="2" s="1"/>
  <c r="N119" i="2"/>
  <c r="AB200" i="2" s="1"/>
  <c r="M119" i="2"/>
  <c r="AA200" i="2" s="1"/>
  <c r="L119" i="2"/>
  <c r="Z200" i="2" s="1"/>
  <c r="K119" i="2"/>
  <c r="Y200" i="2" s="1"/>
  <c r="J119" i="2"/>
  <c r="X200" i="2" s="1"/>
  <c r="I119" i="2"/>
  <c r="W200" i="2" s="1"/>
  <c r="H119" i="2"/>
  <c r="V200" i="2" s="1"/>
  <c r="G119" i="2"/>
  <c r="U200" i="2" s="1"/>
  <c r="F119" i="2"/>
  <c r="T200" i="2" s="1"/>
  <c r="E119" i="2"/>
  <c r="S200" i="2" s="1"/>
  <c r="D119" i="2"/>
  <c r="R200" i="2" s="1"/>
  <c r="C119" i="2"/>
  <c r="Q200" i="2" s="1"/>
  <c r="O118" i="2"/>
  <c r="AC199" i="2" s="1"/>
  <c r="N118" i="2"/>
  <c r="AB199" i="2" s="1"/>
  <c r="M118" i="2"/>
  <c r="AA199" i="2" s="1"/>
  <c r="L118" i="2"/>
  <c r="Z199" i="2" s="1"/>
  <c r="K118" i="2"/>
  <c r="Y199" i="2" s="1"/>
  <c r="J118" i="2"/>
  <c r="X199" i="2" s="1"/>
  <c r="I118" i="2"/>
  <c r="W199" i="2" s="1"/>
  <c r="H118" i="2"/>
  <c r="V199" i="2" s="1"/>
  <c r="G118" i="2"/>
  <c r="U199" i="2" s="1"/>
  <c r="F118" i="2"/>
  <c r="T199" i="2" s="1"/>
  <c r="E118" i="2"/>
  <c r="S199" i="2" s="1"/>
  <c r="D118" i="2"/>
  <c r="R199" i="2" s="1"/>
  <c r="C118" i="2"/>
  <c r="Q199" i="2" s="1"/>
  <c r="O117" i="2"/>
  <c r="AC198" i="2" s="1"/>
  <c r="N117" i="2"/>
  <c r="AB198" i="2" s="1"/>
  <c r="M117" i="2"/>
  <c r="AA198" i="2" s="1"/>
  <c r="L117" i="2"/>
  <c r="Z198" i="2" s="1"/>
  <c r="K117" i="2"/>
  <c r="Y198" i="2" s="1"/>
  <c r="J117" i="2"/>
  <c r="X198" i="2" s="1"/>
  <c r="I117" i="2"/>
  <c r="W198" i="2" s="1"/>
  <c r="H117" i="2"/>
  <c r="V198" i="2" s="1"/>
  <c r="G117" i="2"/>
  <c r="U198" i="2" s="1"/>
  <c r="F117" i="2"/>
  <c r="T198" i="2" s="1"/>
  <c r="E117" i="2"/>
  <c r="S198" i="2" s="1"/>
  <c r="D117" i="2"/>
  <c r="R198" i="2" s="1"/>
  <c r="C117" i="2"/>
  <c r="Q198" i="2" s="1"/>
  <c r="O116" i="2"/>
  <c r="AC197" i="2" s="1"/>
  <c r="N116" i="2"/>
  <c r="AB197" i="2" s="1"/>
  <c r="M116" i="2"/>
  <c r="AA197" i="2" s="1"/>
  <c r="L116" i="2"/>
  <c r="Z197" i="2" s="1"/>
  <c r="K116" i="2"/>
  <c r="Y197" i="2" s="1"/>
  <c r="J116" i="2"/>
  <c r="X197" i="2" s="1"/>
  <c r="I116" i="2"/>
  <c r="W197" i="2" s="1"/>
  <c r="H116" i="2"/>
  <c r="V197" i="2" s="1"/>
  <c r="G116" i="2"/>
  <c r="U197" i="2" s="1"/>
  <c r="F116" i="2"/>
  <c r="T197" i="2" s="1"/>
  <c r="E116" i="2"/>
  <c r="S197" i="2" s="1"/>
  <c r="D116" i="2"/>
  <c r="R197" i="2" s="1"/>
  <c r="C116" i="2"/>
  <c r="Q197" i="2" s="1"/>
  <c r="O115" i="2"/>
  <c r="AC196" i="2" s="1"/>
  <c r="N115" i="2"/>
  <c r="AB196" i="2" s="1"/>
  <c r="M115" i="2"/>
  <c r="AA196" i="2" s="1"/>
  <c r="L115" i="2"/>
  <c r="Z196" i="2" s="1"/>
  <c r="K115" i="2"/>
  <c r="Y196" i="2" s="1"/>
  <c r="J115" i="2"/>
  <c r="X196" i="2" s="1"/>
  <c r="I115" i="2"/>
  <c r="W196" i="2" s="1"/>
  <c r="H115" i="2"/>
  <c r="V196" i="2" s="1"/>
  <c r="G115" i="2"/>
  <c r="U196" i="2" s="1"/>
  <c r="F115" i="2"/>
  <c r="T196" i="2" s="1"/>
  <c r="E115" i="2"/>
  <c r="S196" i="2" s="1"/>
  <c r="D115" i="2"/>
  <c r="R196" i="2" s="1"/>
  <c r="C115" i="2"/>
  <c r="Q196" i="2" s="1"/>
  <c r="O114" i="2"/>
  <c r="AC195" i="2" s="1"/>
  <c r="N114" i="2"/>
  <c r="AB195" i="2" s="1"/>
  <c r="M114" i="2"/>
  <c r="AA195" i="2" s="1"/>
  <c r="L114" i="2"/>
  <c r="Z195" i="2" s="1"/>
  <c r="K114" i="2"/>
  <c r="Y195" i="2" s="1"/>
  <c r="J114" i="2"/>
  <c r="X195" i="2" s="1"/>
  <c r="I114" i="2"/>
  <c r="W195" i="2" s="1"/>
  <c r="H114" i="2"/>
  <c r="V195" i="2" s="1"/>
  <c r="G114" i="2"/>
  <c r="U195" i="2" s="1"/>
  <c r="F114" i="2"/>
  <c r="T195" i="2" s="1"/>
  <c r="E114" i="2"/>
  <c r="S195" i="2" s="1"/>
  <c r="D114" i="2"/>
  <c r="R195" i="2" s="1"/>
  <c r="C114" i="2"/>
  <c r="Q195" i="2" s="1"/>
  <c r="O113" i="2"/>
  <c r="AC194" i="2" s="1"/>
  <c r="N113" i="2"/>
  <c r="AB194" i="2" s="1"/>
  <c r="M113" i="2"/>
  <c r="AA194" i="2" s="1"/>
  <c r="L113" i="2"/>
  <c r="Z194" i="2" s="1"/>
  <c r="K113" i="2"/>
  <c r="Y194" i="2" s="1"/>
  <c r="J113" i="2"/>
  <c r="X194" i="2" s="1"/>
  <c r="I113" i="2"/>
  <c r="W194" i="2" s="1"/>
  <c r="H113" i="2"/>
  <c r="V194" i="2" s="1"/>
  <c r="G113" i="2"/>
  <c r="U194" i="2" s="1"/>
  <c r="F113" i="2"/>
  <c r="T194" i="2" s="1"/>
  <c r="E113" i="2"/>
  <c r="S194" i="2" s="1"/>
  <c r="D113" i="2"/>
  <c r="R194" i="2" s="1"/>
  <c r="C113" i="2"/>
  <c r="Q194" i="2" s="1"/>
  <c r="O112" i="2"/>
  <c r="AC193" i="2" s="1"/>
  <c r="N112" i="2"/>
  <c r="AB193" i="2" s="1"/>
  <c r="M112" i="2"/>
  <c r="AA193" i="2" s="1"/>
  <c r="L112" i="2"/>
  <c r="Z193" i="2" s="1"/>
  <c r="K112" i="2"/>
  <c r="Y193" i="2" s="1"/>
  <c r="J112" i="2"/>
  <c r="X193" i="2" s="1"/>
  <c r="I112" i="2"/>
  <c r="W193" i="2" s="1"/>
  <c r="H112" i="2"/>
  <c r="V193" i="2" s="1"/>
  <c r="G112" i="2"/>
  <c r="U193" i="2" s="1"/>
  <c r="F112" i="2"/>
  <c r="T193" i="2" s="1"/>
  <c r="E112" i="2"/>
  <c r="S193" i="2" s="1"/>
  <c r="D112" i="2"/>
  <c r="R193" i="2" s="1"/>
  <c r="C112" i="2"/>
  <c r="Q193" i="2" s="1"/>
  <c r="O111" i="2"/>
  <c r="AC192" i="2" s="1"/>
  <c r="N111" i="2"/>
  <c r="AB192" i="2" s="1"/>
  <c r="M111" i="2"/>
  <c r="AA192" i="2" s="1"/>
  <c r="L111" i="2"/>
  <c r="Z192" i="2" s="1"/>
  <c r="K111" i="2"/>
  <c r="Y192" i="2" s="1"/>
  <c r="J111" i="2"/>
  <c r="X192" i="2" s="1"/>
  <c r="I111" i="2"/>
  <c r="W192" i="2" s="1"/>
  <c r="H111" i="2"/>
  <c r="V192" i="2" s="1"/>
  <c r="G111" i="2"/>
  <c r="U192" i="2" s="1"/>
  <c r="F111" i="2"/>
  <c r="T192" i="2" s="1"/>
  <c r="E111" i="2"/>
  <c r="S192" i="2" s="1"/>
  <c r="D111" i="2"/>
  <c r="R192" i="2" s="1"/>
  <c r="C111" i="2"/>
  <c r="Q192" i="2" s="1"/>
  <c r="O110" i="2"/>
  <c r="AC191" i="2" s="1"/>
  <c r="N110" i="2"/>
  <c r="AB191" i="2" s="1"/>
  <c r="M110" i="2"/>
  <c r="AA191" i="2" s="1"/>
  <c r="L110" i="2"/>
  <c r="Z191" i="2" s="1"/>
  <c r="K110" i="2"/>
  <c r="Y191" i="2" s="1"/>
  <c r="J110" i="2"/>
  <c r="X191" i="2" s="1"/>
  <c r="I110" i="2"/>
  <c r="W191" i="2" s="1"/>
  <c r="H110" i="2"/>
  <c r="V191" i="2" s="1"/>
  <c r="G110" i="2"/>
  <c r="U191" i="2" s="1"/>
  <c r="F110" i="2"/>
  <c r="T191" i="2" s="1"/>
  <c r="E110" i="2"/>
  <c r="S191" i="2" s="1"/>
  <c r="D110" i="2"/>
  <c r="R191" i="2" s="1"/>
  <c r="C110" i="2"/>
  <c r="Q191" i="2" s="1"/>
  <c r="O109" i="2"/>
  <c r="AC190" i="2" s="1"/>
  <c r="N109" i="2"/>
  <c r="AB190" i="2" s="1"/>
  <c r="M109" i="2"/>
  <c r="AA190" i="2" s="1"/>
  <c r="L109" i="2"/>
  <c r="Z190" i="2" s="1"/>
  <c r="K109" i="2"/>
  <c r="Y190" i="2" s="1"/>
  <c r="J109" i="2"/>
  <c r="X190" i="2" s="1"/>
  <c r="I109" i="2"/>
  <c r="W190" i="2" s="1"/>
  <c r="H109" i="2"/>
  <c r="V190" i="2" s="1"/>
  <c r="G109" i="2"/>
  <c r="U190" i="2" s="1"/>
  <c r="F109" i="2"/>
  <c r="T190" i="2" s="1"/>
  <c r="E109" i="2"/>
  <c r="S190" i="2" s="1"/>
  <c r="D109" i="2"/>
  <c r="R190" i="2" s="1"/>
  <c r="C109" i="2"/>
  <c r="Q190" i="2" s="1"/>
  <c r="O108" i="2"/>
  <c r="AC189" i="2" s="1"/>
  <c r="N108" i="2"/>
  <c r="AB189" i="2" s="1"/>
  <c r="M108" i="2"/>
  <c r="AA189" i="2" s="1"/>
  <c r="L108" i="2"/>
  <c r="Z189" i="2" s="1"/>
  <c r="K108" i="2"/>
  <c r="Y189" i="2" s="1"/>
  <c r="J108" i="2"/>
  <c r="X189" i="2" s="1"/>
  <c r="I108" i="2"/>
  <c r="W189" i="2" s="1"/>
  <c r="H108" i="2"/>
  <c r="V189" i="2" s="1"/>
  <c r="G108" i="2"/>
  <c r="U189" i="2" s="1"/>
  <c r="F108" i="2"/>
  <c r="T189" i="2" s="1"/>
  <c r="E108" i="2"/>
  <c r="S189" i="2" s="1"/>
  <c r="D108" i="2"/>
  <c r="R189" i="2" s="1"/>
  <c r="C108" i="2"/>
  <c r="Q189" i="2" s="1"/>
  <c r="O107" i="2"/>
  <c r="AC188" i="2" s="1"/>
  <c r="N107" i="2"/>
  <c r="AB188" i="2" s="1"/>
  <c r="M107" i="2"/>
  <c r="AA188" i="2" s="1"/>
  <c r="L107" i="2"/>
  <c r="Z188" i="2" s="1"/>
  <c r="K107" i="2"/>
  <c r="Y188" i="2" s="1"/>
  <c r="J107" i="2"/>
  <c r="X188" i="2" s="1"/>
  <c r="I107" i="2"/>
  <c r="W188" i="2" s="1"/>
  <c r="H107" i="2"/>
  <c r="V188" i="2" s="1"/>
  <c r="G107" i="2"/>
  <c r="U188" i="2" s="1"/>
  <c r="F107" i="2"/>
  <c r="T188" i="2" s="1"/>
  <c r="E107" i="2"/>
  <c r="S188" i="2" s="1"/>
  <c r="D107" i="2"/>
  <c r="R188" i="2" s="1"/>
  <c r="C107" i="2"/>
  <c r="Q188" i="2" s="1"/>
  <c r="O106" i="2"/>
  <c r="AC187" i="2" s="1"/>
  <c r="N106" i="2"/>
  <c r="AB187" i="2" s="1"/>
  <c r="M106" i="2"/>
  <c r="AA187" i="2" s="1"/>
  <c r="L106" i="2"/>
  <c r="Z187" i="2" s="1"/>
  <c r="K106" i="2"/>
  <c r="Y187" i="2" s="1"/>
  <c r="J106" i="2"/>
  <c r="X187" i="2" s="1"/>
  <c r="I106" i="2"/>
  <c r="W187" i="2" s="1"/>
  <c r="H106" i="2"/>
  <c r="V187" i="2" s="1"/>
  <c r="G106" i="2"/>
  <c r="U187" i="2" s="1"/>
  <c r="F106" i="2"/>
  <c r="T187" i="2" s="1"/>
  <c r="E106" i="2"/>
  <c r="S187" i="2" s="1"/>
  <c r="D106" i="2"/>
  <c r="R187" i="2" s="1"/>
  <c r="C106" i="2"/>
  <c r="Q187" i="2" s="1"/>
  <c r="O105" i="2"/>
  <c r="AC186" i="2" s="1"/>
  <c r="N105" i="2"/>
  <c r="AB186" i="2" s="1"/>
  <c r="M105" i="2"/>
  <c r="AA186" i="2" s="1"/>
  <c r="L105" i="2"/>
  <c r="Z186" i="2" s="1"/>
  <c r="K105" i="2"/>
  <c r="Y186" i="2" s="1"/>
  <c r="J105" i="2"/>
  <c r="X186" i="2" s="1"/>
  <c r="I105" i="2"/>
  <c r="W186" i="2" s="1"/>
  <c r="H105" i="2"/>
  <c r="V186" i="2" s="1"/>
  <c r="G105" i="2"/>
  <c r="U186" i="2" s="1"/>
  <c r="F105" i="2"/>
  <c r="T186" i="2" s="1"/>
  <c r="E105" i="2"/>
  <c r="S186" i="2" s="1"/>
  <c r="D105" i="2"/>
  <c r="R186" i="2" s="1"/>
  <c r="C105" i="2"/>
  <c r="Q186" i="2" s="1"/>
  <c r="O104" i="2"/>
  <c r="AC185" i="2" s="1"/>
  <c r="N104" i="2"/>
  <c r="AB185" i="2" s="1"/>
  <c r="M104" i="2"/>
  <c r="AA185" i="2" s="1"/>
  <c r="L104" i="2"/>
  <c r="Z185" i="2" s="1"/>
  <c r="K104" i="2"/>
  <c r="Y185" i="2" s="1"/>
  <c r="J104" i="2"/>
  <c r="X185" i="2" s="1"/>
  <c r="I104" i="2"/>
  <c r="W185" i="2" s="1"/>
  <c r="H104" i="2"/>
  <c r="V185" i="2" s="1"/>
  <c r="G104" i="2"/>
  <c r="U185" i="2" s="1"/>
  <c r="F104" i="2"/>
  <c r="T185" i="2" s="1"/>
  <c r="E104" i="2"/>
  <c r="S185" i="2" s="1"/>
  <c r="D104" i="2"/>
  <c r="R185" i="2" s="1"/>
  <c r="C104" i="2"/>
  <c r="Q185" i="2" s="1"/>
  <c r="O103" i="2"/>
  <c r="AC184" i="2" s="1"/>
  <c r="N103" i="2"/>
  <c r="AB184" i="2" s="1"/>
  <c r="M103" i="2"/>
  <c r="AA184" i="2" s="1"/>
  <c r="L103" i="2"/>
  <c r="Z184" i="2" s="1"/>
  <c r="K103" i="2"/>
  <c r="Y184" i="2" s="1"/>
  <c r="J103" i="2"/>
  <c r="X184" i="2" s="1"/>
  <c r="I103" i="2"/>
  <c r="W184" i="2" s="1"/>
  <c r="H103" i="2"/>
  <c r="V184" i="2" s="1"/>
  <c r="G103" i="2"/>
  <c r="U184" i="2" s="1"/>
  <c r="F103" i="2"/>
  <c r="T184" i="2" s="1"/>
  <c r="E103" i="2"/>
  <c r="S184" i="2" s="1"/>
  <c r="D103" i="2"/>
  <c r="R184" i="2" s="1"/>
  <c r="C103" i="2"/>
  <c r="Q184" i="2" s="1"/>
  <c r="O102" i="2"/>
  <c r="AC183" i="2" s="1"/>
  <c r="N102" i="2"/>
  <c r="AB183" i="2" s="1"/>
  <c r="M102" i="2"/>
  <c r="AA183" i="2" s="1"/>
  <c r="L102" i="2"/>
  <c r="Z183" i="2" s="1"/>
  <c r="K102" i="2"/>
  <c r="Y183" i="2" s="1"/>
  <c r="J102" i="2"/>
  <c r="X183" i="2" s="1"/>
  <c r="I102" i="2"/>
  <c r="W183" i="2" s="1"/>
  <c r="H102" i="2"/>
  <c r="V183" i="2" s="1"/>
  <c r="G102" i="2"/>
  <c r="U183" i="2" s="1"/>
  <c r="F102" i="2"/>
  <c r="T183" i="2" s="1"/>
  <c r="E102" i="2"/>
  <c r="S183" i="2" s="1"/>
  <c r="D102" i="2"/>
  <c r="R183" i="2" s="1"/>
  <c r="C102" i="2"/>
  <c r="Q183" i="2" s="1"/>
  <c r="O101" i="2"/>
  <c r="AC182" i="2" s="1"/>
  <c r="N101" i="2"/>
  <c r="AB182" i="2" s="1"/>
  <c r="M101" i="2"/>
  <c r="AA182" i="2" s="1"/>
  <c r="L101" i="2"/>
  <c r="Z182" i="2" s="1"/>
  <c r="K101" i="2"/>
  <c r="Y182" i="2" s="1"/>
  <c r="J101" i="2"/>
  <c r="X182" i="2" s="1"/>
  <c r="I101" i="2"/>
  <c r="W182" i="2" s="1"/>
  <c r="H101" i="2"/>
  <c r="V182" i="2" s="1"/>
  <c r="G101" i="2"/>
  <c r="U182" i="2" s="1"/>
  <c r="F101" i="2"/>
  <c r="T182" i="2" s="1"/>
  <c r="E101" i="2"/>
  <c r="S182" i="2" s="1"/>
  <c r="D101" i="2"/>
  <c r="R182" i="2" s="1"/>
  <c r="C101" i="2"/>
  <c r="Q182" i="2" s="1"/>
  <c r="O100" i="2"/>
  <c r="AC181" i="2" s="1"/>
  <c r="N100" i="2"/>
  <c r="AB181" i="2" s="1"/>
  <c r="M100" i="2"/>
  <c r="AA181" i="2" s="1"/>
  <c r="L100" i="2"/>
  <c r="Z181" i="2" s="1"/>
  <c r="K100" i="2"/>
  <c r="Y181" i="2" s="1"/>
  <c r="J100" i="2"/>
  <c r="X181" i="2" s="1"/>
  <c r="I100" i="2"/>
  <c r="W181" i="2" s="1"/>
  <c r="H100" i="2"/>
  <c r="V181" i="2" s="1"/>
  <c r="G100" i="2"/>
  <c r="U181" i="2" s="1"/>
  <c r="F100" i="2"/>
  <c r="T181" i="2" s="1"/>
  <c r="E100" i="2"/>
  <c r="S181" i="2" s="1"/>
  <c r="D100" i="2"/>
  <c r="R181" i="2" s="1"/>
  <c r="C100" i="2"/>
  <c r="Q181" i="2" s="1"/>
  <c r="O99" i="2"/>
  <c r="AC180" i="2" s="1"/>
  <c r="N99" i="2"/>
  <c r="AB180" i="2" s="1"/>
  <c r="M99" i="2"/>
  <c r="AA180" i="2" s="1"/>
  <c r="L99" i="2"/>
  <c r="Z180" i="2" s="1"/>
  <c r="K99" i="2"/>
  <c r="Y180" i="2" s="1"/>
  <c r="J99" i="2"/>
  <c r="X180" i="2" s="1"/>
  <c r="I99" i="2"/>
  <c r="W180" i="2" s="1"/>
  <c r="H99" i="2"/>
  <c r="V180" i="2" s="1"/>
  <c r="G99" i="2"/>
  <c r="U180" i="2" s="1"/>
  <c r="F99" i="2"/>
  <c r="T180" i="2" s="1"/>
  <c r="E99" i="2"/>
  <c r="S180" i="2" s="1"/>
  <c r="D99" i="2"/>
  <c r="R180" i="2" s="1"/>
  <c r="C99" i="2"/>
  <c r="Q180" i="2" s="1"/>
  <c r="O98" i="2"/>
  <c r="AC179" i="2" s="1"/>
  <c r="N98" i="2"/>
  <c r="AB179" i="2" s="1"/>
  <c r="M98" i="2"/>
  <c r="AA179" i="2" s="1"/>
  <c r="L98" i="2"/>
  <c r="Z179" i="2" s="1"/>
  <c r="K98" i="2"/>
  <c r="Y179" i="2" s="1"/>
  <c r="J98" i="2"/>
  <c r="X179" i="2" s="1"/>
  <c r="I98" i="2"/>
  <c r="W179" i="2" s="1"/>
  <c r="H98" i="2"/>
  <c r="V179" i="2" s="1"/>
  <c r="G98" i="2"/>
  <c r="U179" i="2" s="1"/>
  <c r="F98" i="2"/>
  <c r="T179" i="2" s="1"/>
  <c r="E98" i="2"/>
  <c r="S179" i="2" s="1"/>
  <c r="D98" i="2"/>
  <c r="R179" i="2" s="1"/>
  <c r="C98" i="2"/>
  <c r="Q179" i="2" s="1"/>
  <c r="O97" i="2"/>
  <c r="AC178" i="2" s="1"/>
  <c r="N97" i="2"/>
  <c r="AB178" i="2" s="1"/>
  <c r="M97" i="2"/>
  <c r="AA178" i="2" s="1"/>
  <c r="L97" i="2"/>
  <c r="Z178" i="2" s="1"/>
  <c r="K97" i="2"/>
  <c r="Y178" i="2" s="1"/>
  <c r="J97" i="2"/>
  <c r="X178" i="2" s="1"/>
  <c r="I97" i="2"/>
  <c r="W178" i="2" s="1"/>
  <c r="H97" i="2"/>
  <c r="V178" i="2" s="1"/>
  <c r="G97" i="2"/>
  <c r="U178" i="2" s="1"/>
  <c r="F97" i="2"/>
  <c r="T178" i="2" s="1"/>
  <c r="E97" i="2"/>
  <c r="S178" i="2" s="1"/>
  <c r="D97" i="2"/>
  <c r="R178" i="2" s="1"/>
  <c r="C97" i="2"/>
  <c r="Q178" i="2" s="1"/>
  <c r="O96" i="2"/>
  <c r="AC177" i="2" s="1"/>
  <c r="N96" i="2"/>
  <c r="AB177" i="2" s="1"/>
  <c r="M96" i="2"/>
  <c r="AA177" i="2" s="1"/>
  <c r="L96" i="2"/>
  <c r="Z177" i="2" s="1"/>
  <c r="K96" i="2"/>
  <c r="Y177" i="2" s="1"/>
  <c r="J96" i="2"/>
  <c r="X177" i="2" s="1"/>
  <c r="I96" i="2"/>
  <c r="W177" i="2" s="1"/>
  <c r="H96" i="2"/>
  <c r="V177" i="2" s="1"/>
  <c r="G96" i="2"/>
  <c r="U177" i="2" s="1"/>
  <c r="F96" i="2"/>
  <c r="T177" i="2" s="1"/>
  <c r="E96" i="2"/>
  <c r="S177" i="2" s="1"/>
  <c r="D96" i="2"/>
  <c r="R177" i="2" s="1"/>
  <c r="C96" i="2"/>
  <c r="Q177" i="2" s="1"/>
  <c r="O95" i="2"/>
  <c r="AC176" i="2" s="1"/>
  <c r="N95" i="2"/>
  <c r="AB176" i="2" s="1"/>
  <c r="M95" i="2"/>
  <c r="AA176" i="2" s="1"/>
  <c r="L95" i="2"/>
  <c r="Z176" i="2" s="1"/>
  <c r="K95" i="2"/>
  <c r="Y176" i="2" s="1"/>
  <c r="J95" i="2"/>
  <c r="X176" i="2" s="1"/>
  <c r="I95" i="2"/>
  <c r="W176" i="2" s="1"/>
  <c r="H95" i="2"/>
  <c r="V176" i="2" s="1"/>
  <c r="G95" i="2"/>
  <c r="U176" i="2" s="1"/>
  <c r="F95" i="2"/>
  <c r="T176" i="2" s="1"/>
  <c r="E95" i="2"/>
  <c r="S176" i="2" s="1"/>
  <c r="D95" i="2"/>
  <c r="R176" i="2" s="1"/>
  <c r="C95" i="2"/>
  <c r="Q176" i="2" s="1"/>
  <c r="O94" i="2"/>
  <c r="AC175" i="2" s="1"/>
  <c r="N94" i="2"/>
  <c r="AB175" i="2" s="1"/>
  <c r="M94" i="2"/>
  <c r="AA175" i="2" s="1"/>
  <c r="L94" i="2"/>
  <c r="Z175" i="2" s="1"/>
  <c r="K94" i="2"/>
  <c r="Y175" i="2" s="1"/>
  <c r="J94" i="2"/>
  <c r="X175" i="2" s="1"/>
  <c r="I94" i="2"/>
  <c r="W175" i="2" s="1"/>
  <c r="H94" i="2"/>
  <c r="V175" i="2" s="1"/>
  <c r="G94" i="2"/>
  <c r="U175" i="2" s="1"/>
  <c r="F94" i="2"/>
  <c r="T175" i="2" s="1"/>
  <c r="E94" i="2"/>
  <c r="S175" i="2" s="1"/>
  <c r="D94" i="2"/>
  <c r="R175" i="2" s="1"/>
  <c r="C94" i="2"/>
  <c r="Q175" i="2" s="1"/>
  <c r="O93" i="2"/>
  <c r="AC174" i="2" s="1"/>
  <c r="N93" i="2"/>
  <c r="AB174" i="2" s="1"/>
  <c r="M93" i="2"/>
  <c r="AA174" i="2" s="1"/>
  <c r="L93" i="2"/>
  <c r="Z174" i="2" s="1"/>
  <c r="K93" i="2"/>
  <c r="Y174" i="2" s="1"/>
  <c r="J93" i="2"/>
  <c r="X174" i="2" s="1"/>
  <c r="I93" i="2"/>
  <c r="W174" i="2" s="1"/>
  <c r="H93" i="2"/>
  <c r="V174" i="2" s="1"/>
  <c r="G93" i="2"/>
  <c r="U174" i="2" s="1"/>
  <c r="F93" i="2"/>
  <c r="T174" i="2" s="1"/>
  <c r="E93" i="2"/>
  <c r="S174" i="2" s="1"/>
  <c r="D93" i="2"/>
  <c r="R174" i="2" s="1"/>
  <c r="C93" i="2"/>
  <c r="Q174" i="2" s="1"/>
  <c r="O92" i="2"/>
  <c r="AC173" i="2" s="1"/>
  <c r="N92" i="2"/>
  <c r="AB173" i="2" s="1"/>
  <c r="M92" i="2"/>
  <c r="AA173" i="2" s="1"/>
  <c r="L92" i="2"/>
  <c r="Z173" i="2" s="1"/>
  <c r="K92" i="2"/>
  <c r="Y173" i="2" s="1"/>
  <c r="J92" i="2"/>
  <c r="X173" i="2" s="1"/>
  <c r="I92" i="2"/>
  <c r="W173" i="2" s="1"/>
  <c r="H92" i="2"/>
  <c r="V173" i="2" s="1"/>
  <c r="G92" i="2"/>
  <c r="U173" i="2" s="1"/>
  <c r="F92" i="2"/>
  <c r="T173" i="2" s="1"/>
  <c r="E92" i="2"/>
  <c r="S173" i="2" s="1"/>
  <c r="D92" i="2"/>
  <c r="R173" i="2" s="1"/>
  <c r="C92" i="2"/>
  <c r="Q173" i="2" s="1"/>
  <c r="O91" i="2"/>
  <c r="AC172" i="2" s="1"/>
  <c r="N91" i="2"/>
  <c r="AB172" i="2" s="1"/>
  <c r="M91" i="2"/>
  <c r="AA172" i="2" s="1"/>
  <c r="L91" i="2"/>
  <c r="Z172" i="2" s="1"/>
  <c r="K91" i="2"/>
  <c r="Y172" i="2" s="1"/>
  <c r="J91" i="2"/>
  <c r="X172" i="2" s="1"/>
  <c r="I91" i="2"/>
  <c r="W172" i="2" s="1"/>
  <c r="H91" i="2"/>
  <c r="V172" i="2" s="1"/>
  <c r="G91" i="2"/>
  <c r="U172" i="2" s="1"/>
  <c r="F91" i="2"/>
  <c r="T172" i="2" s="1"/>
  <c r="E91" i="2"/>
  <c r="S172" i="2" s="1"/>
  <c r="D91" i="2"/>
  <c r="R172" i="2" s="1"/>
  <c r="C91" i="2"/>
  <c r="Q172" i="2" s="1"/>
  <c r="O90" i="2"/>
  <c r="AC171" i="2" s="1"/>
  <c r="N90" i="2"/>
  <c r="AB171" i="2" s="1"/>
  <c r="M90" i="2"/>
  <c r="AA171" i="2" s="1"/>
  <c r="L90" i="2"/>
  <c r="Z171" i="2" s="1"/>
  <c r="K90" i="2"/>
  <c r="Y171" i="2" s="1"/>
  <c r="J90" i="2"/>
  <c r="X171" i="2" s="1"/>
  <c r="I90" i="2"/>
  <c r="W171" i="2" s="1"/>
  <c r="H90" i="2"/>
  <c r="V171" i="2" s="1"/>
  <c r="G90" i="2"/>
  <c r="U171" i="2" s="1"/>
  <c r="F90" i="2"/>
  <c r="T171" i="2" s="1"/>
  <c r="E90" i="2"/>
  <c r="S171" i="2" s="1"/>
  <c r="D90" i="2"/>
  <c r="R171" i="2" s="1"/>
  <c r="C90" i="2"/>
  <c r="Q171" i="2" s="1"/>
  <c r="O89" i="2"/>
  <c r="AC170" i="2" s="1"/>
  <c r="N89" i="2"/>
  <c r="AB170" i="2" s="1"/>
  <c r="M89" i="2"/>
  <c r="AA170" i="2" s="1"/>
  <c r="L89" i="2"/>
  <c r="Z170" i="2" s="1"/>
  <c r="K89" i="2"/>
  <c r="Y170" i="2" s="1"/>
  <c r="J89" i="2"/>
  <c r="X170" i="2" s="1"/>
  <c r="I89" i="2"/>
  <c r="W170" i="2" s="1"/>
  <c r="H89" i="2"/>
  <c r="V170" i="2" s="1"/>
  <c r="G89" i="2"/>
  <c r="U170" i="2" s="1"/>
  <c r="F89" i="2"/>
  <c r="T170" i="2" s="1"/>
  <c r="E89" i="2"/>
  <c r="S170" i="2" s="1"/>
  <c r="D89" i="2"/>
  <c r="R170" i="2" s="1"/>
  <c r="C89" i="2"/>
  <c r="Q170" i="2" s="1"/>
  <c r="O88" i="2"/>
  <c r="AC169" i="2" s="1"/>
  <c r="N88" i="2"/>
  <c r="AB169" i="2" s="1"/>
  <c r="M88" i="2"/>
  <c r="AA169" i="2" s="1"/>
  <c r="L88" i="2"/>
  <c r="Z169" i="2" s="1"/>
  <c r="K88" i="2"/>
  <c r="Y169" i="2" s="1"/>
  <c r="J88" i="2"/>
  <c r="X169" i="2" s="1"/>
  <c r="I88" i="2"/>
  <c r="W169" i="2" s="1"/>
  <c r="H88" i="2"/>
  <c r="V169" i="2" s="1"/>
  <c r="G88" i="2"/>
  <c r="U169" i="2" s="1"/>
  <c r="F88" i="2"/>
  <c r="T169" i="2" s="1"/>
  <c r="E88" i="2"/>
  <c r="S169" i="2" s="1"/>
  <c r="D88" i="2"/>
  <c r="R169" i="2" s="1"/>
  <c r="C88" i="2"/>
  <c r="Q169" i="2" s="1"/>
  <c r="O87" i="2"/>
  <c r="AC168" i="2" s="1"/>
  <c r="N87" i="2"/>
  <c r="AB168" i="2" s="1"/>
  <c r="M87" i="2"/>
  <c r="AA168" i="2" s="1"/>
  <c r="L87" i="2"/>
  <c r="Z168" i="2" s="1"/>
  <c r="K87" i="2"/>
  <c r="Y168" i="2" s="1"/>
  <c r="J87" i="2"/>
  <c r="X168" i="2" s="1"/>
  <c r="I87" i="2"/>
  <c r="W168" i="2" s="1"/>
  <c r="H87" i="2"/>
  <c r="V168" i="2" s="1"/>
  <c r="G87" i="2"/>
  <c r="U168" i="2" s="1"/>
  <c r="F87" i="2"/>
  <c r="T168" i="2" s="1"/>
  <c r="E87" i="2"/>
  <c r="S168" i="2" s="1"/>
  <c r="D87" i="2"/>
  <c r="R168" i="2" s="1"/>
  <c r="C87" i="2"/>
  <c r="Q168" i="2" s="1"/>
  <c r="O86" i="2"/>
  <c r="AC167" i="2" s="1"/>
  <c r="N86" i="2"/>
  <c r="AB167" i="2" s="1"/>
  <c r="M86" i="2"/>
  <c r="AA167" i="2" s="1"/>
  <c r="L86" i="2"/>
  <c r="Z167" i="2" s="1"/>
  <c r="K86" i="2"/>
  <c r="Y167" i="2" s="1"/>
  <c r="J86" i="2"/>
  <c r="X167" i="2" s="1"/>
  <c r="I86" i="2"/>
  <c r="W167" i="2" s="1"/>
  <c r="H86" i="2"/>
  <c r="V167" i="2" s="1"/>
  <c r="G86" i="2"/>
  <c r="U167" i="2" s="1"/>
  <c r="F86" i="2"/>
  <c r="T167" i="2" s="1"/>
  <c r="E86" i="2"/>
  <c r="S167" i="2" s="1"/>
  <c r="D86" i="2"/>
  <c r="R167" i="2" s="1"/>
  <c r="C86" i="2"/>
  <c r="Q167" i="2" s="1"/>
  <c r="O85" i="2"/>
  <c r="AC166" i="2" s="1"/>
  <c r="N85" i="2"/>
  <c r="AB166" i="2" s="1"/>
  <c r="M85" i="2"/>
  <c r="AA166" i="2" s="1"/>
  <c r="L85" i="2"/>
  <c r="Z166" i="2" s="1"/>
  <c r="K85" i="2"/>
  <c r="Y166" i="2" s="1"/>
  <c r="J85" i="2"/>
  <c r="X166" i="2" s="1"/>
  <c r="I85" i="2"/>
  <c r="W166" i="2" s="1"/>
  <c r="H85" i="2"/>
  <c r="V166" i="2" s="1"/>
  <c r="G85" i="2"/>
  <c r="U166" i="2" s="1"/>
  <c r="F85" i="2"/>
  <c r="T166" i="2" s="1"/>
  <c r="E85" i="2"/>
  <c r="S166" i="2" s="1"/>
  <c r="D85" i="2"/>
  <c r="R166" i="2" s="1"/>
  <c r="C85" i="2"/>
  <c r="Q166" i="2" s="1"/>
  <c r="O84" i="2"/>
  <c r="AC165" i="2" s="1"/>
  <c r="N84" i="2"/>
  <c r="AB165" i="2" s="1"/>
  <c r="M84" i="2"/>
  <c r="AA165" i="2" s="1"/>
  <c r="L84" i="2"/>
  <c r="Z165" i="2" s="1"/>
  <c r="K84" i="2"/>
  <c r="Y165" i="2" s="1"/>
  <c r="J84" i="2"/>
  <c r="X165" i="2" s="1"/>
  <c r="I84" i="2"/>
  <c r="W165" i="2" s="1"/>
  <c r="H84" i="2"/>
  <c r="V165" i="2" s="1"/>
  <c r="G84" i="2"/>
  <c r="U165" i="2" s="1"/>
  <c r="F84" i="2"/>
  <c r="T165" i="2" s="1"/>
  <c r="E84" i="2"/>
  <c r="S165" i="2" s="1"/>
  <c r="D84" i="2"/>
  <c r="R165" i="2" s="1"/>
  <c r="C84" i="2"/>
  <c r="Q165" i="2" s="1"/>
  <c r="O83" i="2"/>
  <c r="AC164" i="2" s="1"/>
  <c r="N83" i="2"/>
  <c r="AB164" i="2" s="1"/>
  <c r="M83" i="2"/>
  <c r="AA164" i="2" s="1"/>
  <c r="L83" i="2"/>
  <c r="Z164" i="2" s="1"/>
  <c r="K83" i="2"/>
  <c r="Y164" i="2" s="1"/>
  <c r="J83" i="2"/>
  <c r="X164" i="2" s="1"/>
  <c r="I83" i="2"/>
  <c r="W164" i="2" s="1"/>
  <c r="H83" i="2"/>
  <c r="V164" i="2" s="1"/>
  <c r="G83" i="2"/>
  <c r="U164" i="2" s="1"/>
  <c r="F83" i="2"/>
  <c r="T164" i="2" s="1"/>
  <c r="E83" i="2"/>
  <c r="S164" i="2" s="1"/>
  <c r="D83" i="2"/>
  <c r="R164" i="2" s="1"/>
  <c r="C83" i="2"/>
  <c r="Q164" i="2" s="1"/>
  <c r="O82" i="2"/>
  <c r="AC163" i="2" s="1"/>
  <c r="N82" i="2"/>
  <c r="AB163" i="2" s="1"/>
  <c r="M82" i="2"/>
  <c r="AA163" i="2" s="1"/>
  <c r="L82" i="2"/>
  <c r="Z163" i="2" s="1"/>
  <c r="K82" i="2"/>
  <c r="Y163" i="2" s="1"/>
  <c r="J82" i="2"/>
  <c r="X163" i="2" s="1"/>
  <c r="I82" i="2"/>
  <c r="W163" i="2" s="1"/>
  <c r="H82" i="2"/>
  <c r="V163" i="2" s="1"/>
  <c r="G82" i="2"/>
  <c r="U163" i="2" s="1"/>
  <c r="F82" i="2"/>
  <c r="T163" i="2" s="1"/>
  <c r="E82" i="2"/>
  <c r="S163" i="2" s="1"/>
  <c r="D82" i="2"/>
  <c r="R163" i="2" s="1"/>
  <c r="C82" i="2"/>
  <c r="Q163" i="2" s="1"/>
  <c r="O81" i="2"/>
  <c r="AC162" i="2" s="1"/>
  <c r="N81" i="2"/>
  <c r="AB162" i="2" s="1"/>
  <c r="M81" i="2"/>
  <c r="AA162" i="2" s="1"/>
  <c r="L81" i="2"/>
  <c r="Z162" i="2" s="1"/>
  <c r="K81" i="2"/>
  <c r="Y162" i="2" s="1"/>
  <c r="J81" i="2"/>
  <c r="X162" i="2" s="1"/>
  <c r="I81" i="2"/>
  <c r="W162" i="2" s="1"/>
  <c r="H81" i="2"/>
  <c r="V162" i="2" s="1"/>
  <c r="G81" i="2"/>
  <c r="U162" i="2" s="1"/>
  <c r="F81" i="2"/>
  <c r="T162" i="2" s="1"/>
  <c r="E81" i="2"/>
  <c r="S162" i="2" s="1"/>
  <c r="D81" i="2"/>
  <c r="R162" i="2" s="1"/>
  <c r="C81" i="2"/>
  <c r="Q162" i="2" s="1"/>
  <c r="O80" i="2"/>
  <c r="AC161" i="2" s="1"/>
  <c r="N80" i="2"/>
  <c r="AB161" i="2" s="1"/>
  <c r="M80" i="2"/>
  <c r="AA161" i="2" s="1"/>
  <c r="L80" i="2"/>
  <c r="Z161" i="2" s="1"/>
  <c r="K80" i="2"/>
  <c r="Y161" i="2" s="1"/>
  <c r="J80" i="2"/>
  <c r="X161" i="2" s="1"/>
  <c r="I80" i="2"/>
  <c r="W161" i="2" s="1"/>
  <c r="H80" i="2"/>
  <c r="V161" i="2" s="1"/>
  <c r="G80" i="2"/>
  <c r="U161" i="2" s="1"/>
  <c r="F80" i="2"/>
  <c r="T161" i="2" s="1"/>
  <c r="E80" i="2"/>
  <c r="S161" i="2" s="1"/>
  <c r="D80" i="2"/>
  <c r="R161" i="2" s="1"/>
  <c r="C80" i="2"/>
  <c r="Q161" i="2" s="1"/>
  <c r="O79" i="2"/>
  <c r="AC160" i="2" s="1"/>
  <c r="N79" i="2"/>
  <c r="AB160" i="2" s="1"/>
  <c r="M79" i="2"/>
  <c r="AA160" i="2" s="1"/>
  <c r="L79" i="2"/>
  <c r="Z160" i="2" s="1"/>
  <c r="K79" i="2"/>
  <c r="Y160" i="2" s="1"/>
  <c r="J79" i="2"/>
  <c r="X160" i="2" s="1"/>
  <c r="I79" i="2"/>
  <c r="W160" i="2" s="1"/>
  <c r="H79" i="2"/>
  <c r="V160" i="2" s="1"/>
  <c r="G79" i="2"/>
  <c r="U160" i="2" s="1"/>
  <c r="F79" i="2"/>
  <c r="T160" i="2" s="1"/>
  <c r="E79" i="2"/>
  <c r="S160" i="2" s="1"/>
  <c r="D79" i="2"/>
  <c r="R160" i="2" s="1"/>
  <c r="C79" i="2"/>
  <c r="Q160" i="2" s="1"/>
  <c r="O78" i="2"/>
  <c r="AC159" i="2" s="1"/>
  <c r="N78" i="2"/>
  <c r="AB159" i="2" s="1"/>
  <c r="M78" i="2"/>
  <c r="AA159" i="2" s="1"/>
  <c r="L78" i="2"/>
  <c r="Z159" i="2" s="1"/>
  <c r="K78" i="2"/>
  <c r="Y159" i="2" s="1"/>
  <c r="J78" i="2"/>
  <c r="X159" i="2" s="1"/>
  <c r="I78" i="2"/>
  <c r="W159" i="2" s="1"/>
  <c r="H78" i="2"/>
  <c r="V159" i="2" s="1"/>
  <c r="G78" i="2"/>
  <c r="U159" i="2" s="1"/>
  <c r="F78" i="2"/>
  <c r="T159" i="2" s="1"/>
  <c r="E78" i="2"/>
  <c r="S159" i="2" s="1"/>
  <c r="D78" i="2"/>
  <c r="R159" i="2" s="1"/>
  <c r="C78" i="2"/>
  <c r="Q159" i="2" s="1"/>
  <c r="O77" i="2"/>
  <c r="AC158" i="2" s="1"/>
  <c r="N77" i="2"/>
  <c r="AB158" i="2" s="1"/>
  <c r="M77" i="2"/>
  <c r="AA158" i="2" s="1"/>
  <c r="L77" i="2"/>
  <c r="Z158" i="2" s="1"/>
  <c r="K77" i="2"/>
  <c r="Y158" i="2" s="1"/>
  <c r="J77" i="2"/>
  <c r="X158" i="2" s="1"/>
  <c r="I77" i="2"/>
  <c r="W158" i="2" s="1"/>
  <c r="H77" i="2"/>
  <c r="V158" i="2" s="1"/>
  <c r="G77" i="2"/>
  <c r="U158" i="2" s="1"/>
  <c r="F77" i="2"/>
  <c r="T158" i="2" s="1"/>
  <c r="E77" i="2"/>
  <c r="S158" i="2" s="1"/>
  <c r="D77" i="2"/>
  <c r="R158" i="2" s="1"/>
  <c r="C77" i="2"/>
  <c r="Q158" i="2" s="1"/>
  <c r="O76" i="2"/>
  <c r="AC157" i="2" s="1"/>
  <c r="N76" i="2"/>
  <c r="AB157" i="2" s="1"/>
  <c r="M76" i="2"/>
  <c r="AA157" i="2" s="1"/>
  <c r="L76" i="2"/>
  <c r="Z157" i="2" s="1"/>
  <c r="K76" i="2"/>
  <c r="Y157" i="2" s="1"/>
  <c r="J76" i="2"/>
  <c r="X157" i="2" s="1"/>
  <c r="I76" i="2"/>
  <c r="W157" i="2" s="1"/>
  <c r="H76" i="2"/>
  <c r="V157" i="2" s="1"/>
  <c r="G76" i="2"/>
  <c r="U157" i="2" s="1"/>
  <c r="F76" i="2"/>
  <c r="T157" i="2" s="1"/>
  <c r="E76" i="2"/>
  <c r="S157" i="2" s="1"/>
  <c r="D76" i="2"/>
  <c r="R157" i="2" s="1"/>
  <c r="C76" i="2"/>
  <c r="Q157" i="2" s="1"/>
  <c r="O75" i="2"/>
  <c r="AC156" i="2" s="1"/>
  <c r="N75" i="2"/>
  <c r="AB156" i="2" s="1"/>
  <c r="M75" i="2"/>
  <c r="AA156" i="2" s="1"/>
  <c r="L75" i="2"/>
  <c r="Z156" i="2" s="1"/>
  <c r="K75" i="2"/>
  <c r="Y156" i="2" s="1"/>
  <c r="J75" i="2"/>
  <c r="X156" i="2" s="1"/>
  <c r="I75" i="2"/>
  <c r="W156" i="2" s="1"/>
  <c r="H75" i="2"/>
  <c r="V156" i="2" s="1"/>
  <c r="G75" i="2"/>
  <c r="U156" i="2" s="1"/>
  <c r="F75" i="2"/>
  <c r="T156" i="2" s="1"/>
  <c r="E75" i="2"/>
  <c r="S156" i="2" s="1"/>
  <c r="D75" i="2"/>
  <c r="R156" i="2" s="1"/>
  <c r="C75" i="2"/>
  <c r="Q156" i="2" s="1"/>
  <c r="O74" i="2"/>
  <c r="AC155" i="2" s="1"/>
  <c r="N74" i="2"/>
  <c r="AB155" i="2" s="1"/>
  <c r="M74" i="2"/>
  <c r="AA155" i="2" s="1"/>
  <c r="L74" i="2"/>
  <c r="Z155" i="2" s="1"/>
  <c r="K74" i="2"/>
  <c r="Y155" i="2" s="1"/>
  <c r="J74" i="2"/>
  <c r="X155" i="2" s="1"/>
  <c r="I74" i="2"/>
  <c r="W155" i="2" s="1"/>
  <c r="H74" i="2"/>
  <c r="V155" i="2" s="1"/>
  <c r="G74" i="2"/>
  <c r="U155" i="2" s="1"/>
  <c r="F74" i="2"/>
  <c r="T155" i="2" s="1"/>
  <c r="E74" i="2"/>
  <c r="S155" i="2" s="1"/>
  <c r="D74" i="2"/>
  <c r="R155" i="2" s="1"/>
  <c r="C74" i="2"/>
  <c r="Q155" i="2" s="1"/>
  <c r="O73" i="2"/>
  <c r="AC154" i="2" s="1"/>
  <c r="N73" i="2"/>
  <c r="AB154" i="2" s="1"/>
  <c r="M73" i="2"/>
  <c r="AA154" i="2" s="1"/>
  <c r="L73" i="2"/>
  <c r="Z154" i="2" s="1"/>
  <c r="K73" i="2"/>
  <c r="Y154" i="2" s="1"/>
  <c r="J73" i="2"/>
  <c r="X154" i="2" s="1"/>
  <c r="I73" i="2"/>
  <c r="W154" i="2" s="1"/>
  <c r="H73" i="2"/>
  <c r="V154" i="2" s="1"/>
  <c r="G73" i="2"/>
  <c r="U154" i="2" s="1"/>
  <c r="F73" i="2"/>
  <c r="T154" i="2" s="1"/>
  <c r="E73" i="2"/>
  <c r="S154" i="2" s="1"/>
  <c r="D73" i="2"/>
  <c r="R154" i="2" s="1"/>
  <c r="C73" i="2"/>
  <c r="Q154" i="2" s="1"/>
  <c r="O72" i="2"/>
  <c r="AC153" i="2" s="1"/>
  <c r="N72" i="2"/>
  <c r="AB153" i="2" s="1"/>
  <c r="M72" i="2"/>
  <c r="AA153" i="2" s="1"/>
  <c r="L72" i="2"/>
  <c r="Z153" i="2" s="1"/>
  <c r="K72" i="2"/>
  <c r="Y153" i="2" s="1"/>
  <c r="J72" i="2"/>
  <c r="X153" i="2" s="1"/>
  <c r="I72" i="2"/>
  <c r="W153" i="2" s="1"/>
  <c r="H72" i="2"/>
  <c r="V153" i="2" s="1"/>
  <c r="G72" i="2"/>
  <c r="U153" i="2" s="1"/>
  <c r="F72" i="2"/>
  <c r="T153" i="2" s="1"/>
  <c r="E72" i="2"/>
  <c r="S153" i="2" s="1"/>
  <c r="D72" i="2"/>
  <c r="R153" i="2" s="1"/>
  <c r="C72" i="2"/>
  <c r="Q153" i="2" s="1"/>
  <c r="O71" i="2"/>
  <c r="AC152" i="2" s="1"/>
  <c r="N71" i="2"/>
  <c r="AB152" i="2" s="1"/>
  <c r="M71" i="2"/>
  <c r="AA152" i="2" s="1"/>
  <c r="L71" i="2"/>
  <c r="Z152" i="2" s="1"/>
  <c r="K71" i="2"/>
  <c r="Y152" i="2" s="1"/>
  <c r="J71" i="2"/>
  <c r="X152" i="2" s="1"/>
  <c r="I71" i="2"/>
  <c r="W152" i="2" s="1"/>
  <c r="H71" i="2"/>
  <c r="V152" i="2" s="1"/>
  <c r="G71" i="2"/>
  <c r="U152" i="2" s="1"/>
  <c r="F71" i="2"/>
  <c r="T152" i="2" s="1"/>
  <c r="E71" i="2"/>
  <c r="S152" i="2" s="1"/>
  <c r="D71" i="2"/>
  <c r="R152" i="2" s="1"/>
  <c r="C71" i="2"/>
  <c r="Q152" i="2" s="1"/>
  <c r="O70" i="2"/>
  <c r="AC151" i="2" s="1"/>
  <c r="N70" i="2"/>
  <c r="AB151" i="2" s="1"/>
  <c r="M70" i="2"/>
  <c r="AA151" i="2" s="1"/>
  <c r="L70" i="2"/>
  <c r="Z151" i="2" s="1"/>
  <c r="K70" i="2"/>
  <c r="Y151" i="2" s="1"/>
  <c r="J70" i="2"/>
  <c r="X151" i="2" s="1"/>
  <c r="I70" i="2"/>
  <c r="W151" i="2" s="1"/>
  <c r="H70" i="2"/>
  <c r="V151" i="2" s="1"/>
  <c r="G70" i="2"/>
  <c r="U151" i="2" s="1"/>
  <c r="F70" i="2"/>
  <c r="T151" i="2" s="1"/>
  <c r="E70" i="2"/>
  <c r="S151" i="2" s="1"/>
  <c r="D70" i="2"/>
  <c r="R151" i="2" s="1"/>
  <c r="C70" i="2"/>
  <c r="Q151" i="2" s="1"/>
  <c r="O69" i="2"/>
  <c r="AC150" i="2" s="1"/>
  <c r="N69" i="2"/>
  <c r="AB150" i="2" s="1"/>
  <c r="M69" i="2"/>
  <c r="AA150" i="2" s="1"/>
  <c r="L69" i="2"/>
  <c r="Z150" i="2" s="1"/>
  <c r="K69" i="2"/>
  <c r="Y150" i="2" s="1"/>
  <c r="J69" i="2"/>
  <c r="X150" i="2" s="1"/>
  <c r="I69" i="2"/>
  <c r="W150" i="2" s="1"/>
  <c r="H69" i="2"/>
  <c r="V150" i="2" s="1"/>
  <c r="G69" i="2"/>
  <c r="U150" i="2" s="1"/>
  <c r="F69" i="2"/>
  <c r="T150" i="2" s="1"/>
  <c r="E69" i="2"/>
  <c r="S150" i="2" s="1"/>
  <c r="D69" i="2"/>
  <c r="R150" i="2" s="1"/>
  <c r="C69" i="2"/>
  <c r="Q150" i="2" s="1"/>
  <c r="O68" i="2"/>
  <c r="AC149" i="2" s="1"/>
  <c r="N68" i="2"/>
  <c r="AB149" i="2" s="1"/>
  <c r="M68" i="2"/>
  <c r="AA149" i="2" s="1"/>
  <c r="L68" i="2"/>
  <c r="Z149" i="2" s="1"/>
  <c r="K68" i="2"/>
  <c r="Y149" i="2" s="1"/>
  <c r="J68" i="2"/>
  <c r="X149" i="2" s="1"/>
  <c r="I68" i="2"/>
  <c r="W149" i="2" s="1"/>
  <c r="H68" i="2"/>
  <c r="V149" i="2" s="1"/>
  <c r="G68" i="2"/>
  <c r="U149" i="2" s="1"/>
  <c r="F68" i="2"/>
  <c r="T149" i="2" s="1"/>
  <c r="E68" i="2"/>
  <c r="S149" i="2" s="1"/>
  <c r="D68" i="2"/>
  <c r="R149" i="2" s="1"/>
  <c r="C68" i="2"/>
  <c r="Q149" i="2" s="1"/>
  <c r="O67" i="2"/>
  <c r="AC148" i="2" s="1"/>
  <c r="N67" i="2"/>
  <c r="AB148" i="2" s="1"/>
  <c r="M67" i="2"/>
  <c r="AA148" i="2" s="1"/>
  <c r="L67" i="2"/>
  <c r="Z148" i="2" s="1"/>
  <c r="K67" i="2"/>
  <c r="Y148" i="2" s="1"/>
  <c r="J67" i="2"/>
  <c r="X148" i="2" s="1"/>
  <c r="I67" i="2"/>
  <c r="W148" i="2" s="1"/>
  <c r="H67" i="2"/>
  <c r="V148" i="2" s="1"/>
  <c r="G67" i="2"/>
  <c r="U148" i="2" s="1"/>
  <c r="F67" i="2"/>
  <c r="T148" i="2" s="1"/>
  <c r="E67" i="2"/>
  <c r="S148" i="2" s="1"/>
  <c r="D67" i="2"/>
  <c r="R148" i="2" s="1"/>
  <c r="C67" i="2"/>
  <c r="Q148" i="2" s="1"/>
  <c r="O66" i="2"/>
  <c r="AC147" i="2" s="1"/>
  <c r="N66" i="2"/>
  <c r="AB147" i="2" s="1"/>
  <c r="M66" i="2"/>
  <c r="AA147" i="2" s="1"/>
  <c r="L66" i="2"/>
  <c r="Z147" i="2" s="1"/>
  <c r="K66" i="2"/>
  <c r="Y147" i="2" s="1"/>
  <c r="J66" i="2"/>
  <c r="X147" i="2" s="1"/>
  <c r="I66" i="2"/>
  <c r="W147" i="2" s="1"/>
  <c r="H66" i="2"/>
  <c r="V147" i="2" s="1"/>
  <c r="G66" i="2"/>
  <c r="U147" i="2" s="1"/>
  <c r="F66" i="2"/>
  <c r="T147" i="2" s="1"/>
  <c r="E66" i="2"/>
  <c r="S147" i="2" s="1"/>
  <c r="D66" i="2"/>
  <c r="R147" i="2" s="1"/>
  <c r="C66" i="2"/>
  <c r="Q147" i="2" s="1"/>
  <c r="O65" i="2"/>
  <c r="AC146" i="2" s="1"/>
  <c r="N65" i="2"/>
  <c r="AB146" i="2" s="1"/>
  <c r="M65" i="2"/>
  <c r="AA146" i="2" s="1"/>
  <c r="L65" i="2"/>
  <c r="Z146" i="2" s="1"/>
  <c r="K65" i="2"/>
  <c r="Y146" i="2" s="1"/>
  <c r="J65" i="2"/>
  <c r="X146" i="2" s="1"/>
  <c r="I65" i="2"/>
  <c r="W146" i="2" s="1"/>
  <c r="H65" i="2"/>
  <c r="V146" i="2" s="1"/>
  <c r="G65" i="2"/>
  <c r="U146" i="2" s="1"/>
  <c r="F65" i="2"/>
  <c r="T146" i="2" s="1"/>
  <c r="E65" i="2"/>
  <c r="S146" i="2" s="1"/>
  <c r="D65" i="2"/>
  <c r="R146" i="2" s="1"/>
  <c r="C65" i="2"/>
  <c r="Q146" i="2" s="1"/>
  <c r="O64" i="2"/>
  <c r="AC145" i="2" s="1"/>
  <c r="N64" i="2"/>
  <c r="AB145" i="2" s="1"/>
  <c r="M64" i="2"/>
  <c r="AA145" i="2" s="1"/>
  <c r="L64" i="2"/>
  <c r="Z145" i="2" s="1"/>
  <c r="K64" i="2"/>
  <c r="Y145" i="2" s="1"/>
  <c r="J64" i="2"/>
  <c r="X145" i="2" s="1"/>
  <c r="I64" i="2"/>
  <c r="W145" i="2" s="1"/>
  <c r="H64" i="2"/>
  <c r="V145" i="2" s="1"/>
  <c r="G64" i="2"/>
  <c r="U145" i="2" s="1"/>
  <c r="F64" i="2"/>
  <c r="T145" i="2" s="1"/>
  <c r="E64" i="2"/>
  <c r="S145" i="2" s="1"/>
  <c r="D64" i="2"/>
  <c r="R145" i="2" s="1"/>
  <c r="C64" i="2"/>
  <c r="Q145" i="2" s="1"/>
  <c r="O63" i="2"/>
  <c r="AC144" i="2" s="1"/>
  <c r="N63" i="2"/>
  <c r="AB144" i="2" s="1"/>
  <c r="M63" i="2"/>
  <c r="AA144" i="2" s="1"/>
  <c r="L63" i="2"/>
  <c r="Z144" i="2" s="1"/>
  <c r="K63" i="2"/>
  <c r="Y144" i="2" s="1"/>
  <c r="J63" i="2"/>
  <c r="X144" i="2" s="1"/>
  <c r="I63" i="2"/>
  <c r="W144" i="2" s="1"/>
  <c r="H63" i="2"/>
  <c r="V144" i="2" s="1"/>
  <c r="G63" i="2"/>
  <c r="U144" i="2" s="1"/>
  <c r="F63" i="2"/>
  <c r="T144" i="2" s="1"/>
  <c r="E63" i="2"/>
  <c r="S144" i="2" s="1"/>
  <c r="D63" i="2"/>
  <c r="R144" i="2" s="1"/>
  <c r="C63" i="2"/>
  <c r="Q144" i="2" s="1"/>
  <c r="O62" i="2"/>
  <c r="AC143" i="2" s="1"/>
  <c r="N62" i="2"/>
  <c r="AB143" i="2" s="1"/>
  <c r="M62" i="2"/>
  <c r="AA143" i="2" s="1"/>
  <c r="L62" i="2"/>
  <c r="Z143" i="2" s="1"/>
  <c r="K62" i="2"/>
  <c r="Y143" i="2" s="1"/>
  <c r="J62" i="2"/>
  <c r="X143" i="2" s="1"/>
  <c r="I62" i="2"/>
  <c r="W143" i="2" s="1"/>
  <c r="H62" i="2"/>
  <c r="V143" i="2" s="1"/>
  <c r="G62" i="2"/>
  <c r="U143" i="2" s="1"/>
  <c r="F62" i="2"/>
  <c r="T143" i="2" s="1"/>
  <c r="E62" i="2"/>
  <c r="S143" i="2" s="1"/>
  <c r="D62" i="2"/>
  <c r="R143" i="2" s="1"/>
  <c r="C62" i="2"/>
  <c r="Q143" i="2" s="1"/>
  <c r="O61" i="2"/>
  <c r="AC142" i="2" s="1"/>
  <c r="N61" i="2"/>
  <c r="AB142" i="2" s="1"/>
  <c r="M61" i="2"/>
  <c r="AA142" i="2" s="1"/>
  <c r="L61" i="2"/>
  <c r="Z142" i="2" s="1"/>
  <c r="K61" i="2"/>
  <c r="Y142" i="2" s="1"/>
  <c r="J61" i="2"/>
  <c r="X142" i="2" s="1"/>
  <c r="I61" i="2"/>
  <c r="W142" i="2" s="1"/>
  <c r="H61" i="2"/>
  <c r="V142" i="2" s="1"/>
  <c r="G61" i="2"/>
  <c r="U142" i="2" s="1"/>
  <c r="F61" i="2"/>
  <c r="T142" i="2" s="1"/>
  <c r="E61" i="2"/>
  <c r="S142" i="2" s="1"/>
  <c r="D61" i="2"/>
  <c r="R142" i="2" s="1"/>
  <c r="C61" i="2"/>
  <c r="Q142" i="2" s="1"/>
  <c r="O60" i="2"/>
  <c r="AC141" i="2" s="1"/>
  <c r="N60" i="2"/>
  <c r="AB141" i="2" s="1"/>
  <c r="M60" i="2"/>
  <c r="AA141" i="2" s="1"/>
  <c r="L60" i="2"/>
  <c r="Z141" i="2" s="1"/>
  <c r="K60" i="2"/>
  <c r="Y141" i="2" s="1"/>
  <c r="J60" i="2"/>
  <c r="X141" i="2" s="1"/>
  <c r="I60" i="2"/>
  <c r="W141" i="2" s="1"/>
  <c r="H60" i="2"/>
  <c r="V141" i="2" s="1"/>
  <c r="G60" i="2"/>
  <c r="U141" i="2" s="1"/>
  <c r="F60" i="2"/>
  <c r="T141" i="2" s="1"/>
  <c r="E60" i="2"/>
  <c r="S141" i="2" s="1"/>
  <c r="D60" i="2"/>
  <c r="R141" i="2" s="1"/>
  <c r="C60" i="2"/>
  <c r="Q141" i="2" s="1"/>
  <c r="O59" i="2"/>
  <c r="AC140" i="2" s="1"/>
  <c r="N59" i="2"/>
  <c r="AB140" i="2" s="1"/>
  <c r="M59" i="2"/>
  <c r="AA140" i="2" s="1"/>
  <c r="L59" i="2"/>
  <c r="Z140" i="2" s="1"/>
  <c r="K59" i="2"/>
  <c r="Y140" i="2" s="1"/>
  <c r="J59" i="2"/>
  <c r="X140" i="2" s="1"/>
  <c r="I59" i="2"/>
  <c r="W140" i="2" s="1"/>
  <c r="H59" i="2"/>
  <c r="V140" i="2" s="1"/>
  <c r="G59" i="2"/>
  <c r="U140" i="2" s="1"/>
  <c r="F59" i="2"/>
  <c r="T140" i="2" s="1"/>
  <c r="E59" i="2"/>
  <c r="S140" i="2" s="1"/>
  <c r="D59" i="2"/>
  <c r="R140" i="2" s="1"/>
  <c r="C59" i="2"/>
  <c r="Q140" i="2" s="1"/>
  <c r="O58" i="2"/>
  <c r="AC139" i="2" s="1"/>
  <c r="N58" i="2"/>
  <c r="AB139" i="2" s="1"/>
  <c r="M58" i="2"/>
  <c r="AA139" i="2" s="1"/>
  <c r="L58" i="2"/>
  <c r="Z139" i="2" s="1"/>
  <c r="K58" i="2"/>
  <c r="Y139" i="2" s="1"/>
  <c r="J58" i="2"/>
  <c r="X139" i="2" s="1"/>
  <c r="I58" i="2"/>
  <c r="W139" i="2" s="1"/>
  <c r="H58" i="2"/>
  <c r="V139" i="2" s="1"/>
  <c r="G58" i="2"/>
  <c r="U139" i="2" s="1"/>
  <c r="F58" i="2"/>
  <c r="T139" i="2" s="1"/>
  <c r="E58" i="2"/>
  <c r="S139" i="2" s="1"/>
  <c r="D58" i="2"/>
  <c r="R139" i="2" s="1"/>
  <c r="C58" i="2"/>
  <c r="Q139" i="2" s="1"/>
  <c r="O57" i="2"/>
  <c r="AC138" i="2" s="1"/>
  <c r="N57" i="2"/>
  <c r="AB138" i="2" s="1"/>
  <c r="M57" i="2"/>
  <c r="AA138" i="2" s="1"/>
  <c r="L57" i="2"/>
  <c r="Z138" i="2" s="1"/>
  <c r="K57" i="2"/>
  <c r="Y138" i="2" s="1"/>
  <c r="J57" i="2"/>
  <c r="X138" i="2" s="1"/>
  <c r="I57" i="2"/>
  <c r="W138" i="2" s="1"/>
  <c r="H57" i="2"/>
  <c r="V138" i="2" s="1"/>
  <c r="G57" i="2"/>
  <c r="U138" i="2" s="1"/>
  <c r="F57" i="2"/>
  <c r="T138" i="2" s="1"/>
  <c r="E57" i="2"/>
  <c r="S138" i="2" s="1"/>
  <c r="D57" i="2"/>
  <c r="R138" i="2" s="1"/>
  <c r="C57" i="2"/>
  <c r="Q138" i="2" s="1"/>
  <c r="O56" i="2"/>
  <c r="AC137" i="2" s="1"/>
  <c r="N56" i="2"/>
  <c r="AB137" i="2" s="1"/>
  <c r="M56" i="2"/>
  <c r="AA137" i="2" s="1"/>
  <c r="L56" i="2"/>
  <c r="Z137" i="2" s="1"/>
  <c r="K56" i="2"/>
  <c r="Y137" i="2" s="1"/>
  <c r="J56" i="2"/>
  <c r="X137" i="2" s="1"/>
  <c r="I56" i="2"/>
  <c r="W137" i="2" s="1"/>
  <c r="H56" i="2"/>
  <c r="V137" i="2" s="1"/>
  <c r="G56" i="2"/>
  <c r="U137" i="2" s="1"/>
  <c r="F56" i="2"/>
  <c r="T137" i="2" s="1"/>
  <c r="E56" i="2"/>
  <c r="S137" i="2" s="1"/>
  <c r="D56" i="2"/>
  <c r="R137" i="2" s="1"/>
  <c r="C56" i="2"/>
  <c r="Q137" i="2" s="1"/>
  <c r="O55" i="2"/>
  <c r="AC136" i="2" s="1"/>
  <c r="N55" i="2"/>
  <c r="AB136" i="2" s="1"/>
  <c r="M55" i="2"/>
  <c r="AA136" i="2" s="1"/>
  <c r="L55" i="2"/>
  <c r="Z136" i="2" s="1"/>
  <c r="K55" i="2"/>
  <c r="Y136" i="2" s="1"/>
  <c r="J55" i="2"/>
  <c r="X136" i="2" s="1"/>
  <c r="I55" i="2"/>
  <c r="W136" i="2" s="1"/>
  <c r="H55" i="2"/>
  <c r="V136" i="2" s="1"/>
  <c r="G55" i="2"/>
  <c r="U136" i="2" s="1"/>
  <c r="F55" i="2"/>
  <c r="T136" i="2" s="1"/>
  <c r="E55" i="2"/>
  <c r="S136" i="2" s="1"/>
  <c r="D55" i="2"/>
  <c r="R136" i="2" s="1"/>
  <c r="C55" i="2"/>
  <c r="Q136" i="2" s="1"/>
  <c r="O54" i="2"/>
  <c r="AC135" i="2" s="1"/>
  <c r="N54" i="2"/>
  <c r="AB135" i="2" s="1"/>
  <c r="M54" i="2"/>
  <c r="AA135" i="2" s="1"/>
  <c r="L54" i="2"/>
  <c r="Z135" i="2" s="1"/>
  <c r="K54" i="2"/>
  <c r="Y135" i="2" s="1"/>
  <c r="J54" i="2"/>
  <c r="X135" i="2" s="1"/>
  <c r="I54" i="2"/>
  <c r="W135" i="2" s="1"/>
  <c r="H54" i="2"/>
  <c r="V135" i="2" s="1"/>
  <c r="G54" i="2"/>
  <c r="U135" i="2" s="1"/>
  <c r="F54" i="2"/>
  <c r="T135" i="2" s="1"/>
  <c r="E54" i="2"/>
  <c r="S135" i="2" s="1"/>
  <c r="D54" i="2"/>
  <c r="R135" i="2" s="1"/>
  <c r="C54" i="2"/>
  <c r="Q135" i="2" s="1"/>
  <c r="O53" i="2"/>
  <c r="AC134" i="2" s="1"/>
  <c r="N53" i="2"/>
  <c r="AB134" i="2" s="1"/>
  <c r="M53" i="2"/>
  <c r="AA134" i="2" s="1"/>
  <c r="L53" i="2"/>
  <c r="Z134" i="2" s="1"/>
  <c r="K53" i="2"/>
  <c r="Y134" i="2" s="1"/>
  <c r="J53" i="2"/>
  <c r="X134" i="2" s="1"/>
  <c r="I53" i="2"/>
  <c r="W134" i="2" s="1"/>
  <c r="H53" i="2"/>
  <c r="V134" i="2" s="1"/>
  <c r="G53" i="2"/>
  <c r="U134" i="2" s="1"/>
  <c r="F53" i="2"/>
  <c r="T134" i="2" s="1"/>
  <c r="E53" i="2"/>
  <c r="S134" i="2" s="1"/>
  <c r="D53" i="2"/>
  <c r="R134" i="2" s="1"/>
  <c r="C53" i="2"/>
  <c r="Q134" i="2" s="1"/>
  <c r="O52" i="2"/>
  <c r="AC133" i="2" s="1"/>
  <c r="N52" i="2"/>
  <c r="AB133" i="2" s="1"/>
  <c r="M52" i="2"/>
  <c r="AA133" i="2" s="1"/>
  <c r="L52" i="2"/>
  <c r="Z133" i="2" s="1"/>
  <c r="K52" i="2"/>
  <c r="Y133" i="2" s="1"/>
  <c r="J52" i="2"/>
  <c r="X133" i="2" s="1"/>
  <c r="I52" i="2"/>
  <c r="W133" i="2" s="1"/>
  <c r="H52" i="2"/>
  <c r="V133" i="2" s="1"/>
  <c r="G52" i="2"/>
  <c r="U133" i="2" s="1"/>
  <c r="F52" i="2"/>
  <c r="T133" i="2" s="1"/>
  <c r="E52" i="2"/>
  <c r="S133" i="2" s="1"/>
  <c r="D52" i="2"/>
  <c r="R133" i="2" s="1"/>
  <c r="C52" i="2"/>
  <c r="Q133" i="2" s="1"/>
  <c r="O51" i="2"/>
  <c r="AC132" i="2" s="1"/>
  <c r="N51" i="2"/>
  <c r="AB132" i="2" s="1"/>
  <c r="M51" i="2"/>
  <c r="AA132" i="2" s="1"/>
  <c r="L51" i="2"/>
  <c r="Z132" i="2" s="1"/>
  <c r="K51" i="2"/>
  <c r="Y132" i="2" s="1"/>
  <c r="J51" i="2"/>
  <c r="X132" i="2" s="1"/>
  <c r="I51" i="2"/>
  <c r="W132" i="2" s="1"/>
  <c r="H51" i="2"/>
  <c r="V132" i="2" s="1"/>
  <c r="G51" i="2"/>
  <c r="U132" i="2" s="1"/>
  <c r="F51" i="2"/>
  <c r="T132" i="2" s="1"/>
  <c r="E51" i="2"/>
  <c r="S132" i="2" s="1"/>
  <c r="D51" i="2"/>
  <c r="R132" i="2" s="1"/>
  <c r="C51" i="2"/>
  <c r="Q132" i="2" s="1"/>
  <c r="O50" i="2"/>
  <c r="AC131" i="2" s="1"/>
  <c r="N50" i="2"/>
  <c r="AB131" i="2" s="1"/>
  <c r="M50" i="2"/>
  <c r="AA131" i="2" s="1"/>
  <c r="L50" i="2"/>
  <c r="Z131" i="2" s="1"/>
  <c r="K50" i="2"/>
  <c r="Y131" i="2" s="1"/>
  <c r="J50" i="2"/>
  <c r="X131" i="2" s="1"/>
  <c r="I50" i="2"/>
  <c r="W131" i="2" s="1"/>
  <c r="H50" i="2"/>
  <c r="V131" i="2" s="1"/>
  <c r="G50" i="2"/>
  <c r="U131" i="2" s="1"/>
  <c r="F50" i="2"/>
  <c r="T131" i="2" s="1"/>
  <c r="E50" i="2"/>
  <c r="S131" i="2" s="1"/>
  <c r="D50" i="2"/>
  <c r="R131" i="2" s="1"/>
  <c r="C50" i="2"/>
  <c r="Q131" i="2" s="1"/>
  <c r="O49" i="2"/>
  <c r="AC130" i="2" s="1"/>
  <c r="N49" i="2"/>
  <c r="AB130" i="2" s="1"/>
  <c r="M49" i="2"/>
  <c r="AA130" i="2" s="1"/>
  <c r="L49" i="2"/>
  <c r="Z130" i="2" s="1"/>
  <c r="K49" i="2"/>
  <c r="Y130" i="2" s="1"/>
  <c r="J49" i="2"/>
  <c r="X130" i="2" s="1"/>
  <c r="I49" i="2"/>
  <c r="W130" i="2" s="1"/>
  <c r="H49" i="2"/>
  <c r="V130" i="2" s="1"/>
  <c r="G49" i="2"/>
  <c r="U130" i="2" s="1"/>
  <c r="F49" i="2"/>
  <c r="T130" i="2" s="1"/>
  <c r="E49" i="2"/>
  <c r="S130" i="2" s="1"/>
  <c r="D49" i="2"/>
  <c r="R130" i="2" s="1"/>
  <c r="C49" i="2"/>
  <c r="Q130" i="2" s="1"/>
  <c r="O48" i="2"/>
  <c r="AC129" i="2" s="1"/>
  <c r="N48" i="2"/>
  <c r="AB129" i="2" s="1"/>
  <c r="M48" i="2"/>
  <c r="AA129" i="2" s="1"/>
  <c r="L48" i="2"/>
  <c r="Z129" i="2" s="1"/>
  <c r="K48" i="2"/>
  <c r="Y129" i="2" s="1"/>
  <c r="J48" i="2"/>
  <c r="X129" i="2" s="1"/>
  <c r="I48" i="2"/>
  <c r="W129" i="2" s="1"/>
  <c r="H48" i="2"/>
  <c r="V129" i="2" s="1"/>
  <c r="G48" i="2"/>
  <c r="U129" i="2" s="1"/>
  <c r="F48" i="2"/>
  <c r="T129" i="2" s="1"/>
  <c r="E48" i="2"/>
  <c r="S129" i="2" s="1"/>
  <c r="D48" i="2"/>
  <c r="R129" i="2" s="1"/>
  <c r="C48" i="2"/>
  <c r="Q129" i="2" s="1"/>
  <c r="O47" i="2"/>
  <c r="AC128" i="2" s="1"/>
  <c r="N47" i="2"/>
  <c r="AB128" i="2" s="1"/>
  <c r="M47" i="2"/>
  <c r="AA128" i="2" s="1"/>
  <c r="L47" i="2"/>
  <c r="Z128" i="2" s="1"/>
  <c r="K47" i="2"/>
  <c r="Y128" i="2" s="1"/>
  <c r="J47" i="2"/>
  <c r="X128" i="2" s="1"/>
  <c r="I47" i="2"/>
  <c r="W128" i="2" s="1"/>
  <c r="H47" i="2"/>
  <c r="V128" i="2" s="1"/>
  <c r="G47" i="2"/>
  <c r="U128" i="2" s="1"/>
  <c r="F47" i="2"/>
  <c r="T128" i="2" s="1"/>
  <c r="E47" i="2"/>
  <c r="S128" i="2" s="1"/>
  <c r="D47" i="2"/>
  <c r="R128" i="2" s="1"/>
  <c r="C47" i="2"/>
  <c r="Q128" i="2" s="1"/>
  <c r="O46" i="2"/>
  <c r="AC127" i="2" s="1"/>
  <c r="N46" i="2"/>
  <c r="AB127" i="2" s="1"/>
  <c r="M46" i="2"/>
  <c r="AA127" i="2" s="1"/>
  <c r="L46" i="2"/>
  <c r="Z127" i="2" s="1"/>
  <c r="K46" i="2"/>
  <c r="Y127" i="2" s="1"/>
  <c r="J46" i="2"/>
  <c r="X127" i="2" s="1"/>
  <c r="I46" i="2"/>
  <c r="W127" i="2" s="1"/>
  <c r="H46" i="2"/>
  <c r="V127" i="2" s="1"/>
  <c r="G46" i="2"/>
  <c r="U127" i="2" s="1"/>
  <c r="F46" i="2"/>
  <c r="T127" i="2" s="1"/>
  <c r="E46" i="2"/>
  <c r="S127" i="2" s="1"/>
  <c r="D46" i="2"/>
  <c r="R127" i="2" s="1"/>
  <c r="C46" i="2"/>
  <c r="Q127" i="2" s="1"/>
  <c r="O45" i="2"/>
  <c r="AC126" i="2" s="1"/>
  <c r="N45" i="2"/>
  <c r="AB126" i="2" s="1"/>
  <c r="M45" i="2"/>
  <c r="AA126" i="2" s="1"/>
  <c r="L45" i="2"/>
  <c r="Z126" i="2" s="1"/>
  <c r="K45" i="2"/>
  <c r="Y126" i="2" s="1"/>
  <c r="J45" i="2"/>
  <c r="X126" i="2" s="1"/>
  <c r="I45" i="2"/>
  <c r="W126" i="2" s="1"/>
  <c r="H45" i="2"/>
  <c r="V126" i="2" s="1"/>
  <c r="G45" i="2"/>
  <c r="U126" i="2" s="1"/>
  <c r="F45" i="2"/>
  <c r="T126" i="2" s="1"/>
  <c r="E45" i="2"/>
  <c r="S126" i="2" s="1"/>
  <c r="D45" i="2"/>
  <c r="R126" i="2" s="1"/>
  <c r="C45" i="2"/>
  <c r="Q126" i="2" s="1"/>
  <c r="O44" i="2"/>
  <c r="AC125" i="2" s="1"/>
  <c r="N44" i="2"/>
  <c r="AB125" i="2" s="1"/>
  <c r="M44" i="2"/>
  <c r="AA125" i="2" s="1"/>
  <c r="L44" i="2"/>
  <c r="Z125" i="2" s="1"/>
  <c r="K44" i="2"/>
  <c r="Y125" i="2" s="1"/>
  <c r="J44" i="2"/>
  <c r="X125" i="2" s="1"/>
  <c r="I44" i="2"/>
  <c r="W125" i="2" s="1"/>
  <c r="H44" i="2"/>
  <c r="V125" i="2" s="1"/>
  <c r="G44" i="2"/>
  <c r="U125" i="2" s="1"/>
  <c r="F44" i="2"/>
  <c r="T125" i="2" s="1"/>
  <c r="E44" i="2"/>
  <c r="S125" i="2" s="1"/>
  <c r="D44" i="2"/>
  <c r="R125" i="2" s="1"/>
  <c r="C44" i="2"/>
  <c r="Q125" i="2" s="1"/>
  <c r="O43" i="2"/>
  <c r="AC124" i="2" s="1"/>
  <c r="N43" i="2"/>
  <c r="AB124" i="2" s="1"/>
  <c r="M43" i="2"/>
  <c r="AA124" i="2" s="1"/>
  <c r="L43" i="2"/>
  <c r="Z124" i="2" s="1"/>
  <c r="K43" i="2"/>
  <c r="Y124" i="2" s="1"/>
  <c r="J43" i="2"/>
  <c r="X124" i="2" s="1"/>
  <c r="I43" i="2"/>
  <c r="W124" i="2" s="1"/>
  <c r="H43" i="2"/>
  <c r="V124" i="2" s="1"/>
  <c r="G43" i="2"/>
  <c r="U124" i="2" s="1"/>
  <c r="F43" i="2"/>
  <c r="T124" i="2" s="1"/>
  <c r="E43" i="2"/>
  <c r="S124" i="2" s="1"/>
  <c r="D43" i="2"/>
  <c r="R124" i="2" s="1"/>
  <c r="C43" i="2"/>
  <c r="Q124" i="2" s="1"/>
  <c r="O42" i="2"/>
  <c r="AC123" i="2" s="1"/>
  <c r="N42" i="2"/>
  <c r="AB123" i="2" s="1"/>
  <c r="M42" i="2"/>
  <c r="AA123" i="2" s="1"/>
  <c r="L42" i="2"/>
  <c r="Z123" i="2" s="1"/>
  <c r="K42" i="2"/>
  <c r="Y123" i="2" s="1"/>
  <c r="J42" i="2"/>
  <c r="X123" i="2" s="1"/>
  <c r="I42" i="2"/>
  <c r="W123" i="2" s="1"/>
  <c r="H42" i="2"/>
  <c r="V123" i="2" s="1"/>
  <c r="G42" i="2"/>
  <c r="U123" i="2" s="1"/>
  <c r="F42" i="2"/>
  <c r="T123" i="2" s="1"/>
  <c r="E42" i="2"/>
  <c r="S123" i="2" s="1"/>
  <c r="D42" i="2"/>
  <c r="R123" i="2" s="1"/>
  <c r="C42" i="2"/>
  <c r="Q123" i="2" s="1"/>
  <c r="O41" i="2"/>
  <c r="AC122" i="2" s="1"/>
  <c r="N41" i="2"/>
  <c r="AB122" i="2" s="1"/>
  <c r="M41" i="2"/>
  <c r="AA122" i="2" s="1"/>
  <c r="L41" i="2"/>
  <c r="Z122" i="2" s="1"/>
  <c r="K41" i="2"/>
  <c r="Y122" i="2" s="1"/>
  <c r="J41" i="2"/>
  <c r="X122" i="2" s="1"/>
  <c r="I41" i="2"/>
  <c r="W122" i="2" s="1"/>
  <c r="H41" i="2"/>
  <c r="V122" i="2" s="1"/>
  <c r="G41" i="2"/>
  <c r="U122" i="2" s="1"/>
  <c r="F41" i="2"/>
  <c r="T122" i="2" s="1"/>
  <c r="E41" i="2"/>
  <c r="S122" i="2" s="1"/>
  <c r="D41" i="2"/>
  <c r="R122" i="2" s="1"/>
  <c r="C41" i="2"/>
  <c r="Q122" i="2" s="1"/>
  <c r="O40" i="2"/>
  <c r="AC121" i="2" s="1"/>
  <c r="N40" i="2"/>
  <c r="AB121" i="2" s="1"/>
  <c r="M40" i="2"/>
  <c r="AA121" i="2" s="1"/>
  <c r="L40" i="2"/>
  <c r="Z121" i="2" s="1"/>
  <c r="K40" i="2"/>
  <c r="Y121" i="2" s="1"/>
  <c r="J40" i="2"/>
  <c r="X121" i="2" s="1"/>
  <c r="I40" i="2"/>
  <c r="W121" i="2" s="1"/>
  <c r="H40" i="2"/>
  <c r="V121" i="2" s="1"/>
  <c r="G40" i="2"/>
  <c r="U121" i="2" s="1"/>
  <c r="F40" i="2"/>
  <c r="T121" i="2" s="1"/>
  <c r="E40" i="2"/>
  <c r="S121" i="2" s="1"/>
  <c r="D40" i="2"/>
  <c r="R121" i="2" s="1"/>
  <c r="C40" i="2"/>
  <c r="Q121" i="2" s="1"/>
  <c r="O39" i="2"/>
  <c r="AC120" i="2" s="1"/>
  <c r="N39" i="2"/>
  <c r="AB120" i="2" s="1"/>
  <c r="M39" i="2"/>
  <c r="AA120" i="2" s="1"/>
  <c r="L39" i="2"/>
  <c r="Z120" i="2" s="1"/>
  <c r="K39" i="2"/>
  <c r="Y120" i="2" s="1"/>
  <c r="J39" i="2"/>
  <c r="X120" i="2" s="1"/>
  <c r="I39" i="2"/>
  <c r="W120" i="2" s="1"/>
  <c r="H39" i="2"/>
  <c r="V120" i="2" s="1"/>
  <c r="G39" i="2"/>
  <c r="U120" i="2" s="1"/>
  <c r="F39" i="2"/>
  <c r="T120" i="2" s="1"/>
  <c r="E39" i="2"/>
  <c r="S120" i="2" s="1"/>
  <c r="D39" i="2"/>
  <c r="R120" i="2" s="1"/>
  <c r="C39" i="2"/>
  <c r="Q120" i="2" s="1"/>
  <c r="O38" i="2"/>
  <c r="AC119" i="2" s="1"/>
  <c r="N38" i="2"/>
  <c r="AB119" i="2" s="1"/>
  <c r="M38" i="2"/>
  <c r="AA119" i="2" s="1"/>
  <c r="L38" i="2"/>
  <c r="Z119" i="2" s="1"/>
  <c r="K38" i="2"/>
  <c r="Y119" i="2" s="1"/>
  <c r="J38" i="2"/>
  <c r="X119" i="2" s="1"/>
  <c r="I38" i="2"/>
  <c r="W119" i="2" s="1"/>
  <c r="H38" i="2"/>
  <c r="V119" i="2" s="1"/>
  <c r="G38" i="2"/>
  <c r="U119" i="2" s="1"/>
  <c r="F38" i="2"/>
  <c r="T119" i="2" s="1"/>
  <c r="E38" i="2"/>
  <c r="S119" i="2" s="1"/>
  <c r="D38" i="2"/>
  <c r="R119" i="2" s="1"/>
  <c r="C38" i="2"/>
  <c r="Q119" i="2" s="1"/>
  <c r="O37" i="2"/>
  <c r="AC118" i="2" s="1"/>
  <c r="N37" i="2"/>
  <c r="AB118" i="2" s="1"/>
  <c r="M37" i="2"/>
  <c r="AA118" i="2" s="1"/>
  <c r="L37" i="2"/>
  <c r="Z118" i="2" s="1"/>
  <c r="K37" i="2"/>
  <c r="Y118" i="2" s="1"/>
  <c r="J37" i="2"/>
  <c r="X118" i="2" s="1"/>
  <c r="I37" i="2"/>
  <c r="W118" i="2" s="1"/>
  <c r="H37" i="2"/>
  <c r="V118" i="2" s="1"/>
  <c r="G37" i="2"/>
  <c r="U118" i="2" s="1"/>
  <c r="F37" i="2"/>
  <c r="T118" i="2" s="1"/>
  <c r="E37" i="2"/>
  <c r="S118" i="2" s="1"/>
  <c r="D37" i="2"/>
  <c r="R118" i="2" s="1"/>
  <c r="C37" i="2"/>
  <c r="Q118" i="2" s="1"/>
  <c r="O36" i="2"/>
  <c r="AC117" i="2" s="1"/>
  <c r="N36" i="2"/>
  <c r="AB117" i="2" s="1"/>
  <c r="M36" i="2"/>
  <c r="AA117" i="2" s="1"/>
  <c r="L36" i="2"/>
  <c r="Z117" i="2" s="1"/>
  <c r="K36" i="2"/>
  <c r="Y117" i="2" s="1"/>
  <c r="J36" i="2"/>
  <c r="X117" i="2" s="1"/>
  <c r="I36" i="2"/>
  <c r="W117" i="2" s="1"/>
  <c r="H36" i="2"/>
  <c r="V117" i="2" s="1"/>
  <c r="G36" i="2"/>
  <c r="U117" i="2" s="1"/>
  <c r="F36" i="2"/>
  <c r="T117" i="2" s="1"/>
  <c r="E36" i="2"/>
  <c r="S117" i="2" s="1"/>
  <c r="D36" i="2"/>
  <c r="R117" i="2" s="1"/>
  <c r="C36" i="2"/>
  <c r="Q117" i="2" s="1"/>
  <c r="O35" i="2"/>
  <c r="AC116" i="2" s="1"/>
  <c r="N35" i="2"/>
  <c r="AB116" i="2" s="1"/>
  <c r="M35" i="2"/>
  <c r="AA116" i="2" s="1"/>
  <c r="L35" i="2"/>
  <c r="Z116" i="2" s="1"/>
  <c r="K35" i="2"/>
  <c r="Y116" i="2" s="1"/>
  <c r="J35" i="2"/>
  <c r="X116" i="2" s="1"/>
  <c r="I35" i="2"/>
  <c r="W116" i="2" s="1"/>
  <c r="H35" i="2"/>
  <c r="V116" i="2" s="1"/>
  <c r="G35" i="2"/>
  <c r="U116" i="2" s="1"/>
  <c r="F35" i="2"/>
  <c r="T116" i="2" s="1"/>
  <c r="E35" i="2"/>
  <c r="S116" i="2" s="1"/>
  <c r="D35" i="2"/>
  <c r="R116" i="2" s="1"/>
  <c r="C35" i="2"/>
  <c r="Q116" i="2" s="1"/>
  <c r="O34" i="2"/>
  <c r="AC115" i="2" s="1"/>
  <c r="N34" i="2"/>
  <c r="AB115" i="2" s="1"/>
  <c r="M34" i="2"/>
  <c r="AA115" i="2" s="1"/>
  <c r="L34" i="2"/>
  <c r="Z115" i="2" s="1"/>
  <c r="K34" i="2"/>
  <c r="Y115" i="2" s="1"/>
  <c r="J34" i="2"/>
  <c r="X115" i="2" s="1"/>
  <c r="I34" i="2"/>
  <c r="W115" i="2" s="1"/>
  <c r="H34" i="2"/>
  <c r="V115" i="2" s="1"/>
  <c r="G34" i="2"/>
  <c r="U115" i="2" s="1"/>
  <c r="F34" i="2"/>
  <c r="T115" i="2" s="1"/>
  <c r="E34" i="2"/>
  <c r="S115" i="2" s="1"/>
  <c r="D34" i="2"/>
  <c r="R115" i="2" s="1"/>
  <c r="C34" i="2"/>
  <c r="Q115" i="2" s="1"/>
  <c r="O33" i="2"/>
  <c r="AC114" i="2" s="1"/>
  <c r="N33" i="2"/>
  <c r="AB114" i="2" s="1"/>
  <c r="M33" i="2"/>
  <c r="AA114" i="2" s="1"/>
  <c r="L33" i="2"/>
  <c r="Z114" i="2" s="1"/>
  <c r="K33" i="2"/>
  <c r="Y114" i="2" s="1"/>
  <c r="J33" i="2"/>
  <c r="X114" i="2" s="1"/>
  <c r="I33" i="2"/>
  <c r="W114" i="2" s="1"/>
  <c r="H33" i="2"/>
  <c r="V114" i="2" s="1"/>
  <c r="G33" i="2"/>
  <c r="U114" i="2" s="1"/>
  <c r="F33" i="2"/>
  <c r="T114" i="2" s="1"/>
  <c r="E33" i="2"/>
  <c r="S114" i="2" s="1"/>
  <c r="D33" i="2"/>
  <c r="R114" i="2" s="1"/>
  <c r="C33" i="2"/>
  <c r="Q114" i="2" s="1"/>
  <c r="O32" i="2"/>
  <c r="AC113" i="2" s="1"/>
  <c r="N32" i="2"/>
  <c r="AB113" i="2" s="1"/>
  <c r="M32" i="2"/>
  <c r="AA113" i="2" s="1"/>
  <c r="L32" i="2"/>
  <c r="Z113" i="2" s="1"/>
  <c r="K32" i="2"/>
  <c r="Y113" i="2" s="1"/>
  <c r="J32" i="2"/>
  <c r="X113" i="2" s="1"/>
  <c r="I32" i="2"/>
  <c r="W113" i="2" s="1"/>
  <c r="H32" i="2"/>
  <c r="V113" i="2" s="1"/>
  <c r="G32" i="2"/>
  <c r="U113" i="2" s="1"/>
  <c r="F32" i="2"/>
  <c r="T113" i="2" s="1"/>
  <c r="E32" i="2"/>
  <c r="S113" i="2" s="1"/>
  <c r="D32" i="2"/>
  <c r="R113" i="2" s="1"/>
  <c r="C32" i="2"/>
  <c r="Q113" i="2" s="1"/>
  <c r="O31" i="2"/>
  <c r="AC112" i="2" s="1"/>
  <c r="N31" i="2"/>
  <c r="AB112" i="2" s="1"/>
  <c r="M31" i="2"/>
  <c r="AA112" i="2" s="1"/>
  <c r="L31" i="2"/>
  <c r="Z112" i="2" s="1"/>
  <c r="K31" i="2"/>
  <c r="Y112" i="2" s="1"/>
  <c r="J31" i="2"/>
  <c r="X112" i="2" s="1"/>
  <c r="I31" i="2"/>
  <c r="W112" i="2" s="1"/>
  <c r="H31" i="2"/>
  <c r="V112" i="2" s="1"/>
  <c r="G31" i="2"/>
  <c r="U112" i="2" s="1"/>
  <c r="F31" i="2"/>
  <c r="T112" i="2" s="1"/>
  <c r="E31" i="2"/>
  <c r="S112" i="2" s="1"/>
  <c r="D31" i="2"/>
  <c r="R112" i="2" s="1"/>
  <c r="C31" i="2"/>
  <c r="Q112" i="2" s="1"/>
  <c r="O30" i="2"/>
  <c r="AC111" i="2" s="1"/>
  <c r="N30" i="2"/>
  <c r="AB111" i="2" s="1"/>
  <c r="M30" i="2"/>
  <c r="AA111" i="2" s="1"/>
  <c r="L30" i="2"/>
  <c r="Z111" i="2" s="1"/>
  <c r="K30" i="2"/>
  <c r="Y111" i="2" s="1"/>
  <c r="J30" i="2"/>
  <c r="X111" i="2" s="1"/>
  <c r="I30" i="2"/>
  <c r="W111" i="2" s="1"/>
  <c r="H30" i="2"/>
  <c r="V111" i="2" s="1"/>
  <c r="G30" i="2"/>
  <c r="U111" i="2" s="1"/>
  <c r="F30" i="2"/>
  <c r="T111" i="2" s="1"/>
  <c r="E30" i="2"/>
  <c r="S111" i="2" s="1"/>
  <c r="D30" i="2"/>
  <c r="R111" i="2" s="1"/>
  <c r="C30" i="2"/>
  <c r="Q111" i="2" s="1"/>
  <c r="O29" i="2"/>
  <c r="AC110" i="2" s="1"/>
  <c r="N29" i="2"/>
  <c r="AB110" i="2" s="1"/>
  <c r="M29" i="2"/>
  <c r="AA110" i="2" s="1"/>
  <c r="L29" i="2"/>
  <c r="Z110" i="2" s="1"/>
  <c r="K29" i="2"/>
  <c r="Y110" i="2" s="1"/>
  <c r="J29" i="2"/>
  <c r="X110" i="2" s="1"/>
  <c r="I29" i="2"/>
  <c r="W110" i="2" s="1"/>
  <c r="H29" i="2"/>
  <c r="V110" i="2" s="1"/>
  <c r="G29" i="2"/>
  <c r="U110" i="2" s="1"/>
  <c r="F29" i="2"/>
  <c r="T110" i="2" s="1"/>
  <c r="E29" i="2"/>
  <c r="S110" i="2" s="1"/>
  <c r="D29" i="2"/>
  <c r="R110" i="2" s="1"/>
  <c r="C29" i="2"/>
  <c r="Q110" i="2" s="1"/>
  <c r="O28" i="2"/>
  <c r="AC109" i="2" s="1"/>
  <c r="N28" i="2"/>
  <c r="AB109" i="2" s="1"/>
  <c r="M28" i="2"/>
  <c r="AA109" i="2" s="1"/>
  <c r="L28" i="2"/>
  <c r="Z109" i="2" s="1"/>
  <c r="K28" i="2"/>
  <c r="Y109" i="2" s="1"/>
  <c r="J28" i="2"/>
  <c r="X109" i="2" s="1"/>
  <c r="I28" i="2"/>
  <c r="W109" i="2" s="1"/>
  <c r="H28" i="2"/>
  <c r="V109" i="2" s="1"/>
  <c r="G28" i="2"/>
  <c r="U109" i="2" s="1"/>
  <c r="F28" i="2"/>
  <c r="T109" i="2" s="1"/>
  <c r="E28" i="2"/>
  <c r="S109" i="2" s="1"/>
  <c r="D28" i="2"/>
  <c r="R109" i="2" s="1"/>
  <c r="C28" i="2"/>
  <c r="Q109" i="2" s="1"/>
  <c r="O27" i="2"/>
  <c r="AC108" i="2" s="1"/>
  <c r="N27" i="2"/>
  <c r="AB108" i="2" s="1"/>
  <c r="M27" i="2"/>
  <c r="AA108" i="2" s="1"/>
  <c r="L27" i="2"/>
  <c r="Z108" i="2" s="1"/>
  <c r="K27" i="2"/>
  <c r="Y108" i="2" s="1"/>
  <c r="J27" i="2"/>
  <c r="X108" i="2" s="1"/>
  <c r="I27" i="2"/>
  <c r="W108" i="2" s="1"/>
  <c r="H27" i="2"/>
  <c r="V108" i="2" s="1"/>
  <c r="G27" i="2"/>
  <c r="U108" i="2" s="1"/>
  <c r="F27" i="2"/>
  <c r="T108" i="2" s="1"/>
  <c r="E27" i="2"/>
  <c r="S108" i="2" s="1"/>
  <c r="D27" i="2"/>
  <c r="R108" i="2" s="1"/>
  <c r="C27" i="2"/>
  <c r="Q108" i="2" s="1"/>
  <c r="O26" i="2"/>
  <c r="AC107" i="2" s="1"/>
  <c r="N26" i="2"/>
  <c r="AB107" i="2" s="1"/>
  <c r="M26" i="2"/>
  <c r="AA107" i="2" s="1"/>
  <c r="L26" i="2"/>
  <c r="Z107" i="2" s="1"/>
  <c r="K26" i="2"/>
  <c r="Y107" i="2" s="1"/>
  <c r="J26" i="2"/>
  <c r="X107" i="2" s="1"/>
  <c r="I26" i="2"/>
  <c r="W107" i="2" s="1"/>
  <c r="H26" i="2"/>
  <c r="V107" i="2" s="1"/>
  <c r="G26" i="2"/>
  <c r="U107" i="2" s="1"/>
  <c r="F26" i="2"/>
  <c r="T107" i="2" s="1"/>
  <c r="E26" i="2"/>
  <c r="S107" i="2" s="1"/>
  <c r="D26" i="2"/>
  <c r="R107" i="2" s="1"/>
  <c r="C26" i="2"/>
  <c r="Q107" i="2" s="1"/>
  <c r="O25" i="2"/>
  <c r="AC106" i="2" s="1"/>
  <c r="N25" i="2"/>
  <c r="AB106" i="2" s="1"/>
  <c r="M25" i="2"/>
  <c r="AA106" i="2" s="1"/>
  <c r="L25" i="2"/>
  <c r="Z106" i="2" s="1"/>
  <c r="K25" i="2"/>
  <c r="Y106" i="2" s="1"/>
  <c r="J25" i="2"/>
  <c r="X106" i="2" s="1"/>
  <c r="I25" i="2"/>
  <c r="W106" i="2" s="1"/>
  <c r="H25" i="2"/>
  <c r="V106" i="2" s="1"/>
  <c r="G25" i="2"/>
  <c r="U106" i="2" s="1"/>
  <c r="F25" i="2"/>
  <c r="T106" i="2" s="1"/>
  <c r="E25" i="2"/>
  <c r="S106" i="2" s="1"/>
  <c r="D25" i="2"/>
  <c r="R106" i="2" s="1"/>
  <c r="C25" i="2"/>
  <c r="Q106" i="2" s="1"/>
  <c r="O24" i="2"/>
  <c r="AC105" i="2" s="1"/>
  <c r="N24" i="2"/>
  <c r="AB105" i="2" s="1"/>
  <c r="M24" i="2"/>
  <c r="AA105" i="2" s="1"/>
  <c r="L24" i="2"/>
  <c r="Z105" i="2" s="1"/>
  <c r="K24" i="2"/>
  <c r="Y105" i="2" s="1"/>
  <c r="J24" i="2"/>
  <c r="X105" i="2" s="1"/>
  <c r="I24" i="2"/>
  <c r="W105" i="2" s="1"/>
  <c r="H24" i="2"/>
  <c r="V105" i="2" s="1"/>
  <c r="G24" i="2"/>
  <c r="U105" i="2" s="1"/>
  <c r="F24" i="2"/>
  <c r="T105" i="2" s="1"/>
  <c r="E24" i="2"/>
  <c r="S105" i="2" s="1"/>
  <c r="D24" i="2"/>
  <c r="R105" i="2" s="1"/>
  <c r="C24" i="2"/>
  <c r="Q105" i="2" s="1"/>
  <c r="O23" i="2"/>
  <c r="AC104" i="2" s="1"/>
  <c r="N23" i="2"/>
  <c r="AB104" i="2" s="1"/>
  <c r="M23" i="2"/>
  <c r="AA104" i="2" s="1"/>
  <c r="L23" i="2"/>
  <c r="Z104" i="2" s="1"/>
  <c r="K23" i="2"/>
  <c r="Y104" i="2" s="1"/>
  <c r="J23" i="2"/>
  <c r="X104" i="2" s="1"/>
  <c r="I23" i="2"/>
  <c r="W104" i="2" s="1"/>
  <c r="H23" i="2"/>
  <c r="V104" i="2" s="1"/>
  <c r="G23" i="2"/>
  <c r="U104" i="2" s="1"/>
  <c r="F23" i="2"/>
  <c r="T104" i="2" s="1"/>
  <c r="E23" i="2"/>
  <c r="S104" i="2" s="1"/>
  <c r="D23" i="2"/>
  <c r="R104" i="2" s="1"/>
  <c r="C23" i="2"/>
  <c r="Q104" i="2" s="1"/>
  <c r="O22" i="2"/>
  <c r="AC103" i="2" s="1"/>
  <c r="N22" i="2"/>
  <c r="AB103" i="2" s="1"/>
  <c r="M22" i="2"/>
  <c r="AA103" i="2" s="1"/>
  <c r="L22" i="2"/>
  <c r="Z103" i="2" s="1"/>
  <c r="K22" i="2"/>
  <c r="Y103" i="2" s="1"/>
  <c r="J22" i="2"/>
  <c r="X103" i="2" s="1"/>
  <c r="I22" i="2"/>
  <c r="W103" i="2" s="1"/>
  <c r="H22" i="2"/>
  <c r="V103" i="2" s="1"/>
  <c r="G22" i="2"/>
  <c r="U103" i="2" s="1"/>
  <c r="F22" i="2"/>
  <c r="T103" i="2" s="1"/>
  <c r="E22" i="2"/>
  <c r="S103" i="2" s="1"/>
  <c r="D22" i="2"/>
  <c r="R103" i="2" s="1"/>
  <c r="C22" i="2"/>
  <c r="Q103" i="2" s="1"/>
  <c r="O21" i="2"/>
  <c r="AC102" i="2" s="1"/>
  <c r="N21" i="2"/>
  <c r="AB102" i="2" s="1"/>
  <c r="M21" i="2"/>
  <c r="AA102" i="2" s="1"/>
  <c r="L21" i="2"/>
  <c r="Z102" i="2" s="1"/>
  <c r="K21" i="2"/>
  <c r="Y102" i="2" s="1"/>
  <c r="J21" i="2"/>
  <c r="X102" i="2" s="1"/>
  <c r="I21" i="2"/>
  <c r="W102" i="2" s="1"/>
  <c r="H21" i="2"/>
  <c r="V102" i="2" s="1"/>
  <c r="G21" i="2"/>
  <c r="U102" i="2" s="1"/>
  <c r="F21" i="2"/>
  <c r="T102" i="2" s="1"/>
  <c r="E21" i="2"/>
  <c r="S102" i="2" s="1"/>
  <c r="D21" i="2"/>
  <c r="R102" i="2" s="1"/>
  <c r="C21" i="2"/>
  <c r="Q102" i="2" s="1"/>
  <c r="O20" i="2"/>
  <c r="AC101" i="2" s="1"/>
  <c r="N20" i="2"/>
  <c r="AB101" i="2" s="1"/>
  <c r="M20" i="2"/>
  <c r="AA101" i="2" s="1"/>
  <c r="L20" i="2"/>
  <c r="Z101" i="2" s="1"/>
  <c r="K20" i="2"/>
  <c r="Y101" i="2" s="1"/>
  <c r="J20" i="2"/>
  <c r="X101" i="2" s="1"/>
  <c r="I20" i="2"/>
  <c r="W101" i="2" s="1"/>
  <c r="H20" i="2"/>
  <c r="V101" i="2" s="1"/>
  <c r="G20" i="2"/>
  <c r="U101" i="2" s="1"/>
  <c r="F20" i="2"/>
  <c r="T101" i="2" s="1"/>
  <c r="E20" i="2"/>
  <c r="S101" i="2" s="1"/>
  <c r="D20" i="2"/>
  <c r="R101" i="2" s="1"/>
  <c r="C20" i="2"/>
  <c r="Q101" i="2" s="1"/>
  <c r="O19" i="2"/>
  <c r="AC100" i="2" s="1"/>
  <c r="N19" i="2"/>
  <c r="AB100" i="2" s="1"/>
  <c r="M19" i="2"/>
  <c r="AA100" i="2" s="1"/>
  <c r="L19" i="2"/>
  <c r="Z100" i="2" s="1"/>
  <c r="K19" i="2"/>
  <c r="Y100" i="2" s="1"/>
  <c r="J19" i="2"/>
  <c r="X100" i="2" s="1"/>
  <c r="I19" i="2"/>
  <c r="W100" i="2" s="1"/>
  <c r="H19" i="2"/>
  <c r="V100" i="2" s="1"/>
  <c r="G19" i="2"/>
  <c r="U100" i="2" s="1"/>
  <c r="F19" i="2"/>
  <c r="T100" i="2" s="1"/>
  <c r="E19" i="2"/>
  <c r="S100" i="2" s="1"/>
  <c r="D19" i="2"/>
  <c r="R100" i="2" s="1"/>
  <c r="C19" i="2"/>
  <c r="Q100" i="2" s="1"/>
  <c r="O18" i="2"/>
  <c r="AC99" i="2" s="1"/>
  <c r="N18" i="2"/>
  <c r="AB99" i="2" s="1"/>
  <c r="M18" i="2"/>
  <c r="AA99" i="2" s="1"/>
  <c r="L18" i="2"/>
  <c r="Z99" i="2" s="1"/>
  <c r="K18" i="2"/>
  <c r="Y99" i="2" s="1"/>
  <c r="J18" i="2"/>
  <c r="X99" i="2" s="1"/>
  <c r="I18" i="2"/>
  <c r="W99" i="2" s="1"/>
  <c r="H18" i="2"/>
  <c r="V99" i="2" s="1"/>
  <c r="G18" i="2"/>
  <c r="U99" i="2" s="1"/>
  <c r="F18" i="2"/>
  <c r="T99" i="2" s="1"/>
  <c r="E18" i="2"/>
  <c r="S99" i="2" s="1"/>
  <c r="D18" i="2"/>
  <c r="R99" i="2" s="1"/>
  <c r="C18" i="2"/>
  <c r="Q99" i="2" s="1"/>
  <c r="O17" i="2"/>
  <c r="AC98" i="2" s="1"/>
  <c r="N17" i="2"/>
  <c r="AB98" i="2" s="1"/>
  <c r="M17" i="2"/>
  <c r="AA98" i="2" s="1"/>
  <c r="L17" i="2"/>
  <c r="Z98" i="2" s="1"/>
  <c r="K17" i="2"/>
  <c r="Y98" i="2" s="1"/>
  <c r="J17" i="2"/>
  <c r="X98" i="2" s="1"/>
  <c r="I17" i="2"/>
  <c r="W98" i="2" s="1"/>
  <c r="H17" i="2"/>
  <c r="V98" i="2" s="1"/>
  <c r="G17" i="2"/>
  <c r="U98" i="2" s="1"/>
  <c r="F17" i="2"/>
  <c r="T98" i="2" s="1"/>
  <c r="E17" i="2"/>
  <c r="S98" i="2" s="1"/>
  <c r="D17" i="2"/>
  <c r="R98" i="2" s="1"/>
  <c r="C17" i="2"/>
  <c r="Q98" i="2" s="1"/>
  <c r="O16" i="2"/>
  <c r="AC97" i="2" s="1"/>
  <c r="N16" i="2"/>
  <c r="AB97" i="2" s="1"/>
  <c r="M16" i="2"/>
  <c r="AA97" i="2" s="1"/>
  <c r="L16" i="2"/>
  <c r="Z97" i="2" s="1"/>
  <c r="K16" i="2"/>
  <c r="Y97" i="2" s="1"/>
  <c r="J16" i="2"/>
  <c r="X97" i="2" s="1"/>
  <c r="I16" i="2"/>
  <c r="W97" i="2" s="1"/>
  <c r="H16" i="2"/>
  <c r="V97" i="2" s="1"/>
  <c r="G16" i="2"/>
  <c r="U97" i="2" s="1"/>
  <c r="F16" i="2"/>
  <c r="T97" i="2" s="1"/>
  <c r="E16" i="2"/>
  <c r="S97" i="2" s="1"/>
  <c r="D16" i="2"/>
  <c r="R97" i="2" s="1"/>
  <c r="C16" i="2"/>
  <c r="Q97" i="2" s="1"/>
  <c r="O15" i="2"/>
  <c r="AC96" i="2" s="1"/>
  <c r="N15" i="2"/>
  <c r="AB96" i="2" s="1"/>
  <c r="M15" i="2"/>
  <c r="AA96" i="2" s="1"/>
  <c r="L15" i="2"/>
  <c r="Z96" i="2" s="1"/>
  <c r="K15" i="2"/>
  <c r="Y96" i="2" s="1"/>
  <c r="J15" i="2"/>
  <c r="X96" i="2" s="1"/>
  <c r="I15" i="2"/>
  <c r="W96" i="2" s="1"/>
  <c r="H15" i="2"/>
  <c r="V96" i="2" s="1"/>
  <c r="G15" i="2"/>
  <c r="U96" i="2" s="1"/>
  <c r="F15" i="2"/>
  <c r="T96" i="2" s="1"/>
  <c r="E15" i="2"/>
  <c r="S96" i="2" s="1"/>
  <c r="D15" i="2"/>
  <c r="R96" i="2" s="1"/>
  <c r="C15" i="2"/>
  <c r="Q96" i="2" s="1"/>
  <c r="O14" i="2"/>
  <c r="AC95" i="2" s="1"/>
  <c r="N14" i="2"/>
  <c r="AB95" i="2" s="1"/>
  <c r="M14" i="2"/>
  <c r="AA95" i="2" s="1"/>
  <c r="L14" i="2"/>
  <c r="Z95" i="2" s="1"/>
  <c r="K14" i="2"/>
  <c r="Y95" i="2" s="1"/>
  <c r="J14" i="2"/>
  <c r="X95" i="2" s="1"/>
  <c r="I14" i="2"/>
  <c r="W95" i="2" s="1"/>
  <c r="H14" i="2"/>
  <c r="V95" i="2" s="1"/>
  <c r="G14" i="2"/>
  <c r="U95" i="2" s="1"/>
  <c r="F14" i="2"/>
  <c r="T95" i="2" s="1"/>
  <c r="E14" i="2"/>
  <c r="S95" i="2" s="1"/>
  <c r="D14" i="2"/>
  <c r="R95" i="2" s="1"/>
  <c r="C14" i="2"/>
  <c r="Q95" i="2" s="1"/>
  <c r="O13" i="2"/>
  <c r="AC94" i="2" s="1"/>
  <c r="N13" i="2"/>
  <c r="AB94" i="2" s="1"/>
  <c r="M13" i="2"/>
  <c r="AA94" i="2" s="1"/>
  <c r="L13" i="2"/>
  <c r="Z94" i="2" s="1"/>
  <c r="K13" i="2"/>
  <c r="Y94" i="2" s="1"/>
  <c r="J13" i="2"/>
  <c r="X94" i="2" s="1"/>
  <c r="I13" i="2"/>
  <c r="W94" i="2" s="1"/>
  <c r="H13" i="2"/>
  <c r="V94" i="2" s="1"/>
  <c r="G13" i="2"/>
  <c r="U94" i="2" s="1"/>
  <c r="F13" i="2"/>
  <c r="T94" i="2" s="1"/>
  <c r="E13" i="2"/>
  <c r="S94" i="2" s="1"/>
  <c r="D13" i="2"/>
  <c r="R94" i="2" s="1"/>
  <c r="C13" i="2"/>
  <c r="Q94" i="2" s="1"/>
  <c r="O12" i="2"/>
  <c r="AC93" i="2" s="1"/>
  <c r="N12" i="2"/>
  <c r="AB93" i="2" s="1"/>
  <c r="M12" i="2"/>
  <c r="AA93" i="2" s="1"/>
  <c r="L12" i="2"/>
  <c r="Z93" i="2" s="1"/>
  <c r="K12" i="2"/>
  <c r="Y93" i="2" s="1"/>
  <c r="J12" i="2"/>
  <c r="X93" i="2" s="1"/>
  <c r="I12" i="2"/>
  <c r="W93" i="2" s="1"/>
  <c r="H12" i="2"/>
  <c r="V93" i="2" s="1"/>
  <c r="G12" i="2"/>
  <c r="U93" i="2" s="1"/>
  <c r="F12" i="2"/>
  <c r="T93" i="2" s="1"/>
  <c r="E12" i="2"/>
  <c r="S93" i="2" s="1"/>
  <c r="D12" i="2"/>
  <c r="R93" i="2" s="1"/>
  <c r="C12" i="2"/>
  <c r="Q93" i="2" s="1"/>
  <c r="O11" i="2"/>
  <c r="AC92" i="2" s="1"/>
  <c r="N11" i="2"/>
  <c r="AB92" i="2" s="1"/>
  <c r="M11" i="2"/>
  <c r="AA92" i="2" s="1"/>
  <c r="L11" i="2"/>
  <c r="Z92" i="2" s="1"/>
  <c r="K11" i="2"/>
  <c r="Y92" i="2" s="1"/>
  <c r="J11" i="2"/>
  <c r="X92" i="2" s="1"/>
  <c r="I11" i="2"/>
  <c r="W92" i="2" s="1"/>
  <c r="H11" i="2"/>
  <c r="V92" i="2" s="1"/>
  <c r="G11" i="2"/>
  <c r="U92" i="2" s="1"/>
  <c r="F11" i="2"/>
  <c r="T92" i="2" s="1"/>
  <c r="E11" i="2"/>
  <c r="S92" i="2" s="1"/>
  <c r="D11" i="2"/>
  <c r="R92" i="2" s="1"/>
  <c r="C11" i="2"/>
  <c r="Q92" i="2" s="1"/>
  <c r="O10" i="2"/>
  <c r="AC91" i="2" s="1"/>
  <c r="N10" i="2"/>
  <c r="AB91" i="2" s="1"/>
  <c r="M10" i="2"/>
  <c r="AA91" i="2" s="1"/>
  <c r="L10" i="2"/>
  <c r="Z91" i="2" s="1"/>
  <c r="K10" i="2"/>
  <c r="Y91" i="2" s="1"/>
  <c r="J10" i="2"/>
  <c r="X91" i="2" s="1"/>
  <c r="I10" i="2"/>
  <c r="W91" i="2" s="1"/>
  <c r="H10" i="2"/>
  <c r="V91" i="2" s="1"/>
  <c r="G10" i="2"/>
  <c r="U91" i="2" s="1"/>
  <c r="F10" i="2"/>
  <c r="T91" i="2" s="1"/>
  <c r="E10" i="2"/>
  <c r="S91" i="2" s="1"/>
  <c r="D10" i="2"/>
  <c r="R91" i="2" s="1"/>
  <c r="C10" i="2"/>
  <c r="Q91" i="2" s="1"/>
  <c r="O9" i="2"/>
  <c r="AC90" i="2" s="1"/>
  <c r="N9" i="2"/>
  <c r="AB90" i="2" s="1"/>
  <c r="M9" i="2"/>
  <c r="AA90" i="2" s="1"/>
  <c r="L9" i="2"/>
  <c r="Z90" i="2" s="1"/>
  <c r="K9" i="2"/>
  <c r="Y90" i="2" s="1"/>
  <c r="J9" i="2"/>
  <c r="X90" i="2" s="1"/>
  <c r="I9" i="2"/>
  <c r="W90" i="2" s="1"/>
  <c r="H9" i="2"/>
  <c r="V90" i="2" s="1"/>
  <c r="G9" i="2"/>
  <c r="U90" i="2" s="1"/>
  <c r="F9" i="2"/>
  <c r="T90" i="2" s="1"/>
  <c r="E9" i="2"/>
  <c r="S90" i="2" s="1"/>
  <c r="D9" i="2"/>
  <c r="R90" i="2" s="1"/>
  <c r="C9" i="2"/>
  <c r="Q90" i="2" s="1"/>
  <c r="O8" i="2"/>
  <c r="AC89" i="2" s="1"/>
  <c r="N8" i="2"/>
  <c r="AB89" i="2" s="1"/>
  <c r="M8" i="2"/>
  <c r="AA89" i="2" s="1"/>
  <c r="L8" i="2"/>
  <c r="Z89" i="2" s="1"/>
  <c r="K8" i="2"/>
  <c r="Y89" i="2" s="1"/>
  <c r="J8" i="2"/>
  <c r="X89" i="2" s="1"/>
  <c r="I8" i="2"/>
  <c r="W89" i="2" s="1"/>
  <c r="H8" i="2"/>
  <c r="V89" i="2" s="1"/>
  <c r="G8" i="2"/>
  <c r="U89" i="2" s="1"/>
  <c r="F8" i="2"/>
  <c r="T89" i="2" s="1"/>
  <c r="E8" i="2"/>
  <c r="S89" i="2" s="1"/>
  <c r="D8" i="2"/>
  <c r="R89" i="2" s="1"/>
  <c r="C8" i="2"/>
  <c r="Q89" i="2" s="1"/>
  <c r="O7" i="2"/>
  <c r="AC88" i="2" s="1"/>
  <c r="N7" i="2"/>
  <c r="AB88" i="2" s="1"/>
  <c r="M7" i="2"/>
  <c r="AA88" i="2" s="1"/>
  <c r="L7" i="2"/>
  <c r="Z88" i="2" s="1"/>
  <c r="K7" i="2"/>
  <c r="Y88" i="2" s="1"/>
  <c r="J7" i="2"/>
  <c r="X88" i="2" s="1"/>
  <c r="I7" i="2"/>
  <c r="W88" i="2" s="1"/>
  <c r="H7" i="2"/>
  <c r="V88" i="2" s="1"/>
  <c r="G7" i="2"/>
  <c r="U88" i="2" s="1"/>
  <c r="F7" i="2"/>
  <c r="T88" i="2" s="1"/>
  <c r="E7" i="2"/>
  <c r="S88" i="2" s="1"/>
  <c r="D7" i="2"/>
  <c r="R88" i="2" s="1"/>
  <c r="C7" i="2"/>
  <c r="Q88" i="2" s="1"/>
  <c r="O6" i="2"/>
  <c r="AC87" i="2" s="1"/>
  <c r="N6" i="2"/>
  <c r="AB87" i="2" s="1"/>
  <c r="M6" i="2"/>
  <c r="AA87" i="2" s="1"/>
  <c r="L6" i="2"/>
  <c r="Z87" i="2" s="1"/>
  <c r="K6" i="2"/>
  <c r="Y87" i="2" s="1"/>
  <c r="J6" i="2"/>
  <c r="X87" i="2" s="1"/>
  <c r="I6" i="2"/>
  <c r="W87" i="2" s="1"/>
  <c r="H6" i="2"/>
  <c r="V87" i="2" s="1"/>
  <c r="G6" i="2"/>
  <c r="U87" i="2" s="1"/>
  <c r="F6" i="2"/>
  <c r="T87" i="2" s="1"/>
  <c r="E6" i="2"/>
  <c r="S87" i="2" s="1"/>
  <c r="D6" i="2"/>
  <c r="R87" i="2" s="1"/>
  <c r="C6" i="2"/>
  <c r="Q87" i="2" s="1"/>
  <c r="O5" i="2"/>
  <c r="AC86" i="2" s="1"/>
  <c r="N5" i="2"/>
  <c r="AB86" i="2" s="1"/>
  <c r="M5" i="2"/>
  <c r="AA86" i="2" s="1"/>
  <c r="L5" i="2"/>
  <c r="Z86" i="2" s="1"/>
  <c r="K5" i="2"/>
  <c r="Y86" i="2" s="1"/>
  <c r="J5" i="2"/>
  <c r="X86" i="2" s="1"/>
  <c r="I5" i="2"/>
  <c r="W86" i="2" s="1"/>
  <c r="H5" i="2"/>
  <c r="V86" i="2" s="1"/>
  <c r="G5" i="2"/>
  <c r="U86" i="2" s="1"/>
  <c r="F5" i="2"/>
  <c r="T86" i="2" s="1"/>
  <c r="E5" i="2"/>
  <c r="S86" i="2" s="1"/>
  <c r="D5" i="2"/>
  <c r="R86" i="2" s="1"/>
  <c r="C5" i="2"/>
  <c r="Q86" i="2" s="1"/>
  <c r="O4" i="2"/>
  <c r="AC85" i="2" s="1"/>
  <c r="N4" i="2"/>
  <c r="AB85" i="2" s="1"/>
  <c r="M4" i="2"/>
  <c r="AA85" i="2" s="1"/>
  <c r="L4" i="2"/>
  <c r="Z85" i="2" s="1"/>
  <c r="K4" i="2"/>
  <c r="Y85" i="2" s="1"/>
  <c r="J4" i="2"/>
  <c r="X85" i="2" s="1"/>
  <c r="I4" i="2"/>
  <c r="W85" i="2" s="1"/>
  <c r="H4" i="2"/>
  <c r="V85" i="2" s="1"/>
  <c r="G4" i="2"/>
  <c r="U85" i="2" s="1"/>
  <c r="F4" i="2"/>
  <c r="T85" i="2" s="1"/>
  <c r="E4" i="2"/>
  <c r="S85" i="2" s="1"/>
  <c r="D4" i="2"/>
  <c r="R85" i="2" s="1"/>
  <c r="C4" i="2"/>
  <c r="Q85" i="2" s="1"/>
  <c r="O3" i="2"/>
  <c r="AC84" i="2" s="1"/>
  <c r="N3" i="2"/>
  <c r="AB84" i="2" s="1"/>
  <c r="M3" i="2"/>
  <c r="AA84" i="2" s="1"/>
  <c r="L3" i="2"/>
  <c r="Z84" i="2" s="1"/>
  <c r="K3" i="2"/>
  <c r="Y84" i="2" s="1"/>
  <c r="J3" i="2"/>
  <c r="X84" i="2" s="1"/>
  <c r="I3" i="2"/>
  <c r="W84" i="2" s="1"/>
  <c r="H3" i="2"/>
  <c r="V84" i="2" s="1"/>
  <c r="G3" i="2"/>
  <c r="U84" i="2" s="1"/>
  <c r="F3" i="2"/>
  <c r="T84" i="2" s="1"/>
  <c r="E3" i="2"/>
  <c r="S84" i="2" s="1"/>
  <c r="D3" i="2"/>
  <c r="R84" i="2" s="1"/>
  <c r="C3" i="2"/>
  <c r="Q84" i="2" s="1"/>
  <c r="O2" i="2"/>
  <c r="AC83" i="2" s="1"/>
  <c r="N2" i="2"/>
  <c r="AB83" i="2" s="1"/>
  <c r="M2" i="2"/>
  <c r="AA83" i="2" s="1"/>
  <c r="L2" i="2"/>
  <c r="Z83" i="2" s="1"/>
  <c r="K2" i="2"/>
  <c r="Y83" i="2" s="1"/>
  <c r="J2" i="2"/>
  <c r="X83" i="2" s="1"/>
  <c r="I2" i="2"/>
  <c r="W83" i="2" s="1"/>
  <c r="H2" i="2"/>
  <c r="V83" i="2" s="1"/>
  <c r="G2" i="2"/>
  <c r="U83" i="2" s="1"/>
  <c r="F2" i="2"/>
  <c r="T83" i="2" s="1"/>
  <c r="E2" i="2"/>
  <c r="S83" i="2" s="1"/>
  <c r="D2" i="2"/>
  <c r="R83" i="2" s="1"/>
  <c r="C2" i="2"/>
  <c r="Q83" i="2" s="1"/>
  <c r="B4" i="5" l="1" a="1"/>
  <c r="B4" i="5" s="1"/>
  <c r="S6" i="5" s="1"/>
  <c r="E4" i="6" s="1"/>
  <c r="B5" i="4" a="1"/>
  <c r="B5" i="4" s="1"/>
  <c r="A6" i="6" s="1"/>
  <c r="B6" i="1" a="1"/>
  <c r="B6" i="1" s="1"/>
  <c r="B5" i="5" l="1"/>
  <c r="R2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18" i="1"/>
  <c r="R122" i="1"/>
  <c r="R126" i="1"/>
  <c r="R130" i="1"/>
  <c r="R134" i="1"/>
  <c r="R138" i="1"/>
  <c r="R142" i="1"/>
  <c r="R146" i="1"/>
  <c r="R150" i="1"/>
  <c r="R154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6" i="1"/>
  <c r="R210" i="1"/>
  <c r="R214" i="1"/>
  <c r="R218" i="1"/>
  <c r="R222" i="1"/>
  <c r="R226" i="1"/>
  <c r="R230" i="1"/>
  <c r="R234" i="1"/>
  <c r="R238" i="1"/>
  <c r="R242" i="1"/>
  <c r="R246" i="1"/>
  <c r="R250" i="1"/>
  <c r="R254" i="1"/>
  <c r="R258" i="1"/>
  <c r="R262" i="1"/>
  <c r="R266" i="1"/>
  <c r="R270" i="1"/>
  <c r="R274" i="1"/>
  <c r="R278" i="1"/>
  <c r="R282" i="1"/>
  <c r="R286" i="1"/>
  <c r="R290" i="1"/>
  <c r="R294" i="1"/>
  <c r="R298" i="1"/>
  <c r="R302" i="1"/>
  <c r="R13" i="1"/>
  <c r="R21" i="1"/>
  <c r="R29" i="1"/>
  <c r="R37" i="1"/>
  <c r="R45" i="1"/>
  <c r="R49" i="1"/>
  <c r="R57" i="1"/>
  <c r="R65" i="1"/>
  <c r="R73" i="1"/>
  <c r="R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R231" i="1"/>
  <c r="R235" i="1"/>
  <c r="R239" i="1"/>
  <c r="R243" i="1"/>
  <c r="R247" i="1"/>
  <c r="R251" i="1"/>
  <c r="R255" i="1"/>
  <c r="R259" i="1"/>
  <c r="R263" i="1"/>
  <c r="R267" i="1"/>
  <c r="R271" i="1"/>
  <c r="R275" i="1"/>
  <c r="R279" i="1"/>
  <c r="R283" i="1"/>
  <c r="R287" i="1"/>
  <c r="R291" i="1"/>
  <c r="R295" i="1"/>
  <c r="R299" i="1"/>
  <c r="R303" i="1"/>
  <c r="R9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152" i="1"/>
  <c r="R156" i="1"/>
  <c r="R160" i="1"/>
  <c r="R164" i="1"/>
  <c r="R168" i="1"/>
  <c r="R172" i="1"/>
  <c r="R176" i="1"/>
  <c r="R180" i="1"/>
  <c r="R184" i="1"/>
  <c r="R188" i="1"/>
  <c r="R192" i="1"/>
  <c r="R196" i="1"/>
  <c r="R200" i="1"/>
  <c r="R204" i="1"/>
  <c r="R208" i="1"/>
  <c r="R212" i="1"/>
  <c r="R216" i="1"/>
  <c r="R220" i="1"/>
  <c r="R224" i="1"/>
  <c r="R228" i="1"/>
  <c r="R232" i="1"/>
  <c r="R236" i="1"/>
  <c r="R240" i="1"/>
  <c r="R244" i="1"/>
  <c r="R248" i="1"/>
  <c r="R252" i="1"/>
  <c r="R256" i="1"/>
  <c r="R260" i="1"/>
  <c r="R264" i="1"/>
  <c r="R268" i="1"/>
  <c r="R272" i="1"/>
  <c r="R276" i="1"/>
  <c r="R280" i="1"/>
  <c r="R284" i="1"/>
  <c r="R288" i="1"/>
  <c r="R292" i="1"/>
  <c r="R296" i="1"/>
  <c r="R300" i="1"/>
  <c r="R304" i="1"/>
  <c r="R5" i="1"/>
  <c r="R17" i="1"/>
  <c r="R25" i="1"/>
  <c r="R33" i="1"/>
  <c r="R41" i="1"/>
  <c r="R53" i="1"/>
  <c r="R61" i="1"/>
  <c r="R69" i="1"/>
  <c r="R77" i="1"/>
  <c r="R81" i="1"/>
  <c r="R97" i="1"/>
  <c r="R113" i="1"/>
  <c r="R129" i="1"/>
  <c r="R145" i="1"/>
  <c r="R161" i="1"/>
  <c r="R177" i="1"/>
  <c r="R193" i="1"/>
  <c r="R209" i="1"/>
  <c r="R225" i="1"/>
  <c r="R241" i="1"/>
  <c r="R257" i="1"/>
  <c r="R273" i="1"/>
  <c r="R289" i="1"/>
  <c r="R109" i="1"/>
  <c r="R85" i="1"/>
  <c r="R101" i="1"/>
  <c r="R117" i="1"/>
  <c r="R133" i="1"/>
  <c r="R149" i="1"/>
  <c r="R165" i="1"/>
  <c r="R181" i="1"/>
  <c r="R197" i="1"/>
  <c r="R213" i="1"/>
  <c r="R229" i="1"/>
  <c r="R245" i="1"/>
  <c r="R261" i="1"/>
  <c r="R277" i="1"/>
  <c r="R293" i="1"/>
  <c r="R125" i="1"/>
  <c r="R89" i="1"/>
  <c r="R105" i="1"/>
  <c r="R121" i="1"/>
  <c r="R137" i="1"/>
  <c r="R153" i="1"/>
  <c r="R169" i="1"/>
  <c r="R185" i="1"/>
  <c r="R201" i="1"/>
  <c r="R217" i="1"/>
  <c r="R233" i="1"/>
  <c r="R249" i="1"/>
  <c r="R265" i="1"/>
  <c r="R281" i="1"/>
  <c r="R297" i="1"/>
  <c r="R93" i="1"/>
  <c r="R141" i="1"/>
  <c r="R157" i="1"/>
  <c r="R173" i="1"/>
  <c r="R189" i="1"/>
  <c r="R205" i="1"/>
  <c r="R221" i="1"/>
  <c r="R237" i="1"/>
  <c r="R253" i="1"/>
  <c r="R269" i="1"/>
  <c r="R285" i="1"/>
  <c r="R301" i="1"/>
  <c r="M4" i="1"/>
  <c r="Q2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9" i="1"/>
  <c r="Q17" i="1"/>
  <c r="Q25" i="1"/>
  <c r="Q33" i="1"/>
  <c r="Q41" i="1"/>
  <c r="Q49" i="1"/>
  <c r="Q57" i="1"/>
  <c r="Q65" i="1"/>
  <c r="Q73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5" i="1"/>
  <c r="Q21" i="1"/>
  <c r="Q29" i="1"/>
  <c r="Q37" i="1"/>
  <c r="Q45" i="1"/>
  <c r="Q53" i="1"/>
  <c r="Q61" i="1"/>
  <c r="Q69" i="1"/>
  <c r="Q77" i="1"/>
  <c r="Q13" i="1"/>
  <c r="Q93" i="1"/>
  <c r="Q109" i="1"/>
  <c r="Q125" i="1"/>
  <c r="Q141" i="1"/>
  <c r="Q157" i="1"/>
  <c r="Q173" i="1"/>
  <c r="Q189" i="1"/>
  <c r="Q205" i="1"/>
  <c r="Q221" i="1"/>
  <c r="Q237" i="1"/>
  <c r="Q253" i="1"/>
  <c r="Q269" i="1"/>
  <c r="Q285" i="1"/>
  <c r="Q301" i="1"/>
  <c r="Q105" i="1"/>
  <c r="Q81" i="1"/>
  <c r="Q97" i="1"/>
  <c r="Q113" i="1"/>
  <c r="Q129" i="1"/>
  <c r="Q145" i="1"/>
  <c r="Q161" i="1"/>
  <c r="Q177" i="1"/>
  <c r="Q193" i="1"/>
  <c r="Q209" i="1"/>
  <c r="Q225" i="1"/>
  <c r="Q241" i="1"/>
  <c r="Q257" i="1"/>
  <c r="Q273" i="1"/>
  <c r="Q289" i="1"/>
  <c r="Q121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89" i="1"/>
  <c r="Q137" i="1"/>
  <c r="Q153" i="1"/>
  <c r="Q169" i="1"/>
  <c r="Q185" i="1"/>
  <c r="Q201" i="1"/>
  <c r="Q217" i="1"/>
  <c r="Q233" i="1"/>
  <c r="Q249" i="1"/>
  <c r="Q265" i="1"/>
  <c r="Q281" i="1"/>
  <c r="Q297" i="1"/>
  <c r="M19" i="1"/>
  <c r="M147" i="1"/>
  <c r="M66" i="1"/>
  <c r="M194" i="1"/>
  <c r="M98" i="1"/>
  <c r="M226" i="1"/>
  <c r="M179" i="1"/>
  <c r="M130" i="1"/>
  <c r="M258" i="1"/>
  <c r="M83" i="1"/>
  <c r="M211" i="1"/>
  <c r="M51" i="1"/>
  <c r="M34" i="1"/>
  <c r="M162" i="1"/>
  <c r="M290" i="1"/>
  <c r="M115" i="1"/>
  <c r="M275" i="1"/>
  <c r="M46" i="1"/>
  <c r="M110" i="1"/>
  <c r="M174" i="1"/>
  <c r="M206" i="1"/>
  <c r="M270" i="1"/>
  <c r="M31" i="1"/>
  <c r="M95" i="1"/>
  <c r="M20" i="1"/>
  <c r="M18" i="1"/>
  <c r="M50" i="1"/>
  <c r="M82" i="1"/>
  <c r="M114" i="1"/>
  <c r="M146" i="1"/>
  <c r="M178" i="1"/>
  <c r="M210" i="1"/>
  <c r="M242" i="1"/>
  <c r="M274" i="1"/>
  <c r="M3" i="1"/>
  <c r="M35" i="1"/>
  <c r="M67" i="1"/>
  <c r="M99" i="1"/>
  <c r="M131" i="1"/>
  <c r="M163" i="1"/>
  <c r="M195" i="1"/>
  <c r="M227" i="1"/>
  <c r="M104" i="1"/>
  <c r="M14" i="1"/>
  <c r="M78" i="1"/>
  <c r="M142" i="1"/>
  <c r="M238" i="1"/>
  <c r="M302" i="1"/>
  <c r="M63" i="1"/>
  <c r="M127" i="1"/>
  <c r="M159" i="1"/>
  <c r="M191" i="1"/>
  <c r="M223" i="1"/>
  <c r="M30" i="1"/>
  <c r="M62" i="1"/>
  <c r="M94" i="1"/>
  <c r="M126" i="1"/>
  <c r="M158" i="1"/>
  <c r="M190" i="1"/>
  <c r="M222" i="1"/>
  <c r="M254" i="1"/>
  <c r="M286" i="1"/>
  <c r="M15" i="1"/>
  <c r="M47" i="1"/>
  <c r="M79" i="1"/>
  <c r="M111" i="1"/>
  <c r="M143" i="1"/>
  <c r="M175" i="1"/>
  <c r="M207" i="1"/>
  <c r="M259" i="1"/>
  <c r="M6" i="1"/>
  <c r="M22" i="1"/>
  <c r="M38" i="1"/>
  <c r="M54" i="1"/>
  <c r="M70" i="1"/>
  <c r="M86" i="1"/>
  <c r="M102" i="1"/>
  <c r="M118" i="1"/>
  <c r="M134" i="1"/>
  <c r="M150" i="1"/>
  <c r="M166" i="1"/>
  <c r="M182" i="1"/>
  <c r="M198" i="1"/>
  <c r="M214" i="1"/>
  <c r="M230" i="1"/>
  <c r="M246" i="1"/>
  <c r="M262" i="1"/>
  <c r="M278" i="1"/>
  <c r="M294" i="1"/>
  <c r="M7" i="1"/>
  <c r="M23" i="1"/>
  <c r="M39" i="1"/>
  <c r="M55" i="1"/>
  <c r="M71" i="1"/>
  <c r="M87" i="1"/>
  <c r="M103" i="1"/>
  <c r="M119" i="1"/>
  <c r="M135" i="1"/>
  <c r="M151" i="1"/>
  <c r="M167" i="1"/>
  <c r="M183" i="1"/>
  <c r="M199" i="1"/>
  <c r="M215" i="1"/>
  <c r="M231" i="1"/>
  <c r="M291" i="1"/>
  <c r="M2" i="1"/>
  <c r="M10" i="1"/>
  <c r="M26" i="1"/>
  <c r="M42" i="1"/>
  <c r="M58" i="1"/>
  <c r="M74" i="1"/>
  <c r="M90" i="1"/>
  <c r="M106" i="1"/>
  <c r="M122" i="1"/>
  <c r="M138" i="1"/>
  <c r="M154" i="1"/>
  <c r="M170" i="1"/>
  <c r="M186" i="1"/>
  <c r="M202" i="1"/>
  <c r="M218" i="1"/>
  <c r="M234" i="1"/>
  <c r="M250" i="1"/>
  <c r="M266" i="1"/>
  <c r="M282" i="1"/>
  <c r="M298" i="1"/>
  <c r="M11" i="1"/>
  <c r="M27" i="1"/>
  <c r="M43" i="1"/>
  <c r="M59" i="1"/>
  <c r="M75" i="1"/>
  <c r="M91" i="1"/>
  <c r="M107" i="1"/>
  <c r="M123" i="1"/>
  <c r="M139" i="1"/>
  <c r="M155" i="1"/>
  <c r="M171" i="1"/>
  <c r="M187" i="1"/>
  <c r="M203" i="1"/>
  <c r="M219" i="1"/>
  <c r="M243" i="1"/>
  <c r="M235" i="1"/>
  <c r="M251" i="1"/>
  <c r="M267" i="1"/>
  <c r="M283" i="1"/>
  <c r="M299" i="1"/>
  <c r="M12" i="1"/>
  <c r="M40" i="1"/>
  <c r="M204" i="1"/>
  <c r="M239" i="1"/>
  <c r="M255" i="1"/>
  <c r="M271" i="1"/>
  <c r="M287" i="1"/>
  <c r="M303" i="1"/>
  <c r="M16" i="1"/>
  <c r="M72" i="1"/>
  <c r="M29" i="1"/>
  <c r="M247" i="1"/>
  <c r="M263" i="1"/>
  <c r="M279" i="1"/>
  <c r="M295" i="1"/>
  <c r="M8" i="1"/>
  <c r="M32" i="1"/>
  <c r="M140" i="1"/>
  <c r="M24" i="1"/>
  <c r="M56" i="1"/>
  <c r="M88" i="1"/>
  <c r="M120" i="1"/>
  <c r="M172" i="1"/>
  <c r="M268" i="1"/>
  <c r="M137" i="1"/>
  <c r="M64" i="1"/>
  <c r="M96" i="1"/>
  <c r="M128" i="1"/>
  <c r="M188" i="1"/>
  <c r="M300" i="1"/>
  <c r="M221" i="1"/>
  <c r="M48" i="1"/>
  <c r="M80" i="1"/>
  <c r="M112" i="1"/>
  <c r="M156" i="1"/>
  <c r="M236" i="1"/>
  <c r="M69" i="1"/>
  <c r="M36" i="1"/>
  <c r="M52" i="1"/>
  <c r="M68" i="1"/>
  <c r="M84" i="1"/>
  <c r="M100" i="1"/>
  <c r="M116" i="1"/>
  <c r="M132" i="1"/>
  <c r="M164" i="1"/>
  <c r="M196" i="1"/>
  <c r="M252" i="1"/>
  <c r="M13" i="1"/>
  <c r="M101" i="1"/>
  <c r="M265" i="1"/>
  <c r="M28" i="1"/>
  <c r="M44" i="1"/>
  <c r="M60" i="1"/>
  <c r="M76" i="1"/>
  <c r="M92" i="1"/>
  <c r="M108" i="1"/>
  <c r="M124" i="1"/>
  <c r="M148" i="1"/>
  <c r="M180" i="1"/>
  <c r="M220" i="1"/>
  <c r="M284" i="1"/>
  <c r="M45" i="1"/>
  <c r="M181" i="1"/>
  <c r="M136" i="1"/>
  <c r="M152" i="1"/>
  <c r="M168" i="1"/>
  <c r="M184" i="1"/>
  <c r="M200" i="1"/>
  <c r="M228" i="1"/>
  <c r="M260" i="1"/>
  <c r="M292" i="1"/>
  <c r="M21" i="1"/>
  <c r="M53" i="1"/>
  <c r="M117" i="1"/>
  <c r="M201" i="1"/>
  <c r="M285" i="1"/>
  <c r="M144" i="1"/>
  <c r="M160" i="1"/>
  <c r="M176" i="1"/>
  <c r="M192" i="1"/>
  <c r="M212" i="1"/>
  <c r="M244" i="1"/>
  <c r="M276" i="1"/>
  <c r="M5" i="1"/>
  <c r="M37" i="1"/>
  <c r="M85" i="1"/>
  <c r="M157" i="1"/>
  <c r="M245" i="1"/>
  <c r="M216" i="1"/>
  <c r="M232" i="1"/>
  <c r="M248" i="1"/>
  <c r="M264" i="1"/>
  <c r="M280" i="1"/>
  <c r="M296" i="1"/>
  <c r="M9" i="1"/>
  <c r="M25" i="1"/>
  <c r="M41" i="1"/>
  <c r="M61" i="1"/>
  <c r="M93" i="1"/>
  <c r="M125" i="1"/>
  <c r="M169" i="1"/>
  <c r="M213" i="1"/>
  <c r="M253" i="1"/>
  <c r="M297" i="1"/>
  <c r="M208" i="1"/>
  <c r="M224" i="1"/>
  <c r="M240" i="1"/>
  <c r="M256" i="1"/>
  <c r="M272" i="1"/>
  <c r="M288" i="1"/>
  <c r="M304" i="1"/>
  <c r="M17" i="1"/>
  <c r="M33" i="1"/>
  <c r="M49" i="1"/>
  <c r="M77" i="1"/>
  <c r="M109" i="1"/>
  <c r="M149" i="1"/>
  <c r="M189" i="1"/>
  <c r="M233" i="1"/>
  <c r="M277" i="1"/>
  <c r="M65" i="1"/>
  <c r="M81" i="1"/>
  <c r="M97" i="1"/>
  <c r="M113" i="1"/>
  <c r="M133" i="1"/>
  <c r="M153" i="1"/>
  <c r="M173" i="1"/>
  <c r="M197" i="1"/>
  <c r="M217" i="1"/>
  <c r="M237" i="1"/>
  <c r="M261" i="1"/>
  <c r="M281" i="1"/>
  <c r="M301" i="1"/>
  <c r="M57" i="1"/>
  <c r="M73" i="1"/>
  <c r="M89" i="1"/>
  <c r="M105" i="1"/>
  <c r="M121" i="1"/>
  <c r="M141" i="1"/>
  <c r="M165" i="1"/>
  <c r="M185" i="1"/>
  <c r="M205" i="1"/>
  <c r="M229" i="1"/>
  <c r="M249" i="1"/>
  <c r="M269" i="1"/>
  <c r="M293" i="1"/>
  <c r="M129" i="1"/>
  <c r="M145" i="1"/>
  <c r="M161" i="1"/>
  <c r="M177" i="1"/>
  <c r="M193" i="1"/>
  <c r="M209" i="1"/>
  <c r="M225" i="1"/>
  <c r="M241" i="1"/>
  <c r="M257" i="1"/>
  <c r="M273" i="1"/>
  <c r="M289" i="1"/>
  <c r="B37" i="1" l="1"/>
  <c r="A35" i="5" s="1"/>
  <c r="B33" i="1"/>
  <c r="A31" i="5" s="1"/>
  <c r="B29" i="1"/>
  <c r="A27" i="5" s="1"/>
  <c r="B25" i="1"/>
  <c r="A23" i="5" s="1"/>
  <c r="B21" i="1"/>
  <c r="A19" i="5" s="1"/>
  <c r="B36" i="1"/>
  <c r="A34" i="5" s="1"/>
  <c r="B32" i="1"/>
  <c r="A30" i="5" s="1"/>
  <c r="B28" i="1"/>
  <c r="A26" i="5" s="1"/>
  <c r="B24" i="1"/>
  <c r="A22" i="5" s="1"/>
  <c r="B20" i="1"/>
  <c r="A18" i="5" s="1"/>
  <c r="B17" i="1"/>
  <c r="A15" i="5" s="1"/>
  <c r="B35" i="1"/>
  <c r="A33" i="5" s="1"/>
  <c r="B31" i="1"/>
  <c r="A29" i="5" s="1"/>
  <c r="B27" i="1"/>
  <c r="A25" i="5" s="1"/>
  <c r="B23" i="1"/>
  <c r="A21" i="5" s="1"/>
  <c r="B19" i="1"/>
  <c r="A17" i="5" s="1"/>
  <c r="B18" i="1"/>
  <c r="A16" i="5" s="1"/>
  <c r="B34" i="1"/>
  <c r="A32" i="5" s="1"/>
  <c r="B30" i="1"/>
  <c r="A28" i="5" s="1"/>
  <c r="B26" i="1"/>
  <c r="A24" i="5" s="1"/>
  <c r="B22" i="1"/>
  <c r="A20" i="5" s="1"/>
  <c r="B13" i="1"/>
  <c r="A11" i="5" s="1"/>
  <c r="B9" i="1"/>
  <c r="A7" i="5" s="1"/>
  <c r="D7" i="5" s="1"/>
  <c r="B14" i="1"/>
  <c r="A12" i="5" s="1"/>
  <c r="B16" i="1"/>
  <c r="A14" i="5" s="1"/>
  <c r="B12" i="1"/>
  <c r="A10" i="5" s="1"/>
  <c r="B10" i="1"/>
  <c r="B15" i="1"/>
  <c r="A13" i="5" s="1"/>
  <c r="B11" i="1"/>
  <c r="A9" i="5" s="1"/>
  <c r="B8" i="1"/>
  <c r="E24" i="5" l="1"/>
  <c r="D24" i="5"/>
  <c r="D23" i="5"/>
  <c r="E23" i="5"/>
  <c r="D10" i="1"/>
  <c r="C8" i="5" s="1"/>
  <c r="G8" i="5" s="1"/>
  <c r="A8" i="5"/>
  <c r="E7" i="5"/>
  <c r="E28" i="5"/>
  <c r="D28" i="5"/>
  <c r="D21" i="5"/>
  <c r="E21" i="5"/>
  <c r="D15" i="5"/>
  <c r="E15" i="5"/>
  <c r="D30" i="5"/>
  <c r="E30" i="5"/>
  <c r="D27" i="5"/>
  <c r="E27" i="5"/>
  <c r="D12" i="5"/>
  <c r="E12" i="5"/>
  <c r="D26" i="5"/>
  <c r="E26" i="5"/>
  <c r="D10" i="5"/>
  <c r="E10" i="5"/>
  <c r="D11" i="5"/>
  <c r="E11" i="5"/>
  <c r="E32" i="5"/>
  <c r="D32" i="5"/>
  <c r="D25" i="5"/>
  <c r="E25" i="5"/>
  <c r="D18" i="5"/>
  <c r="E18" i="5"/>
  <c r="D34" i="5"/>
  <c r="E34" i="5"/>
  <c r="D31" i="5"/>
  <c r="E31" i="5"/>
  <c r="D13" i="5"/>
  <c r="E13" i="5"/>
  <c r="D17" i="5"/>
  <c r="E17" i="5"/>
  <c r="D33" i="5"/>
  <c r="E33" i="5"/>
  <c r="D9" i="5"/>
  <c r="E9" i="5"/>
  <c r="E14" i="5"/>
  <c r="D14" i="5"/>
  <c r="E20" i="5"/>
  <c r="D20" i="5"/>
  <c r="E16" i="5"/>
  <c r="D16" i="5"/>
  <c r="D29" i="5"/>
  <c r="E29" i="5"/>
  <c r="D22" i="5"/>
  <c r="E22" i="5"/>
  <c r="D19" i="5"/>
  <c r="E19" i="5"/>
  <c r="D35" i="5"/>
  <c r="E35" i="5"/>
  <c r="C15" i="1"/>
  <c r="B13" i="5" s="1"/>
  <c r="F13" i="5" s="1"/>
  <c r="D15" i="1"/>
  <c r="C13" i="5" s="1"/>
  <c r="G13" i="5" s="1"/>
  <c r="C14" i="1"/>
  <c r="B12" i="5" s="1"/>
  <c r="F12" i="5" s="1"/>
  <c r="D14" i="1"/>
  <c r="C12" i="5" s="1"/>
  <c r="G12" i="5" s="1"/>
  <c r="C26" i="1"/>
  <c r="B24" i="5" s="1"/>
  <c r="F24" i="5" s="1"/>
  <c r="D26" i="1"/>
  <c r="C24" i="5" s="1"/>
  <c r="G24" i="5" s="1"/>
  <c r="C19" i="1"/>
  <c r="B17" i="5" s="1"/>
  <c r="F17" i="5" s="1"/>
  <c r="D19" i="1"/>
  <c r="C17" i="5" s="1"/>
  <c r="G17" i="5" s="1"/>
  <c r="C35" i="1"/>
  <c r="B33" i="5" s="1"/>
  <c r="F33" i="5" s="1"/>
  <c r="D35" i="1"/>
  <c r="C33" i="5" s="1"/>
  <c r="G33" i="5" s="1"/>
  <c r="C28" i="1"/>
  <c r="B26" i="5" s="1"/>
  <c r="F26" i="5" s="1"/>
  <c r="D28" i="1"/>
  <c r="C26" i="5" s="1"/>
  <c r="G26" i="5" s="1"/>
  <c r="C25" i="1"/>
  <c r="B23" i="5" s="1"/>
  <c r="F23" i="5" s="1"/>
  <c r="D25" i="1"/>
  <c r="C23" i="5" s="1"/>
  <c r="G23" i="5" s="1"/>
  <c r="C10" i="1"/>
  <c r="B8" i="5" s="1"/>
  <c r="F8" i="5" s="1"/>
  <c r="C9" i="1"/>
  <c r="B7" i="5" s="1"/>
  <c r="F7" i="5" s="1"/>
  <c r="D9" i="1"/>
  <c r="C7" i="5" s="1"/>
  <c r="G7" i="5" s="1"/>
  <c r="C30" i="1"/>
  <c r="B28" i="5" s="1"/>
  <c r="F28" i="5" s="1"/>
  <c r="D30" i="1"/>
  <c r="C28" i="5" s="1"/>
  <c r="G28" i="5" s="1"/>
  <c r="C23" i="1"/>
  <c r="B21" i="5" s="1"/>
  <c r="F21" i="5" s="1"/>
  <c r="D23" i="1"/>
  <c r="C21" i="5" s="1"/>
  <c r="G21" i="5" s="1"/>
  <c r="C17" i="1"/>
  <c r="B15" i="5" s="1"/>
  <c r="F15" i="5" s="1"/>
  <c r="D17" i="1"/>
  <c r="C15" i="5" s="1"/>
  <c r="G15" i="5" s="1"/>
  <c r="C32" i="1"/>
  <c r="B30" i="5" s="1"/>
  <c r="F30" i="5" s="1"/>
  <c r="D32" i="1"/>
  <c r="C30" i="5" s="1"/>
  <c r="G30" i="5" s="1"/>
  <c r="C29" i="1"/>
  <c r="B27" i="5" s="1"/>
  <c r="F27" i="5" s="1"/>
  <c r="D29" i="1"/>
  <c r="C27" i="5" s="1"/>
  <c r="G27" i="5" s="1"/>
  <c r="C8" i="1"/>
  <c r="D8" i="1"/>
  <c r="C12" i="1"/>
  <c r="B10" i="5" s="1"/>
  <c r="F10" i="5" s="1"/>
  <c r="D12" i="1"/>
  <c r="C10" i="5" s="1"/>
  <c r="G10" i="5" s="1"/>
  <c r="C13" i="1"/>
  <c r="B11" i="5" s="1"/>
  <c r="F11" i="5" s="1"/>
  <c r="D13" i="1"/>
  <c r="C11" i="5" s="1"/>
  <c r="G11" i="5" s="1"/>
  <c r="C34" i="1"/>
  <c r="B32" i="5" s="1"/>
  <c r="F32" i="5" s="1"/>
  <c r="D34" i="1"/>
  <c r="C32" i="5" s="1"/>
  <c r="G32" i="5" s="1"/>
  <c r="C27" i="1"/>
  <c r="B25" i="5" s="1"/>
  <c r="F25" i="5" s="1"/>
  <c r="D27" i="1"/>
  <c r="C25" i="5" s="1"/>
  <c r="G25" i="5" s="1"/>
  <c r="C20" i="1"/>
  <c r="B18" i="5" s="1"/>
  <c r="F18" i="5" s="1"/>
  <c r="D20" i="1"/>
  <c r="C18" i="5" s="1"/>
  <c r="G18" i="5" s="1"/>
  <c r="C36" i="1"/>
  <c r="B34" i="5" s="1"/>
  <c r="F34" i="5" s="1"/>
  <c r="D36" i="1"/>
  <c r="C34" i="5" s="1"/>
  <c r="G34" i="5" s="1"/>
  <c r="C33" i="1"/>
  <c r="B31" i="5" s="1"/>
  <c r="F31" i="5" s="1"/>
  <c r="D33" i="1"/>
  <c r="C31" i="5" s="1"/>
  <c r="G31" i="5" s="1"/>
  <c r="C11" i="1"/>
  <c r="B9" i="5" s="1"/>
  <c r="F9" i="5" s="1"/>
  <c r="D11" i="1"/>
  <c r="C9" i="5" s="1"/>
  <c r="G9" i="5" s="1"/>
  <c r="C16" i="1"/>
  <c r="B14" i="5" s="1"/>
  <c r="F14" i="5" s="1"/>
  <c r="D16" i="1"/>
  <c r="C14" i="5" s="1"/>
  <c r="G14" i="5" s="1"/>
  <c r="C22" i="1"/>
  <c r="B20" i="5" s="1"/>
  <c r="F20" i="5" s="1"/>
  <c r="D22" i="1"/>
  <c r="C20" i="5" s="1"/>
  <c r="G20" i="5" s="1"/>
  <c r="C18" i="1"/>
  <c r="B16" i="5" s="1"/>
  <c r="F16" i="5" s="1"/>
  <c r="D18" i="1"/>
  <c r="C16" i="5" s="1"/>
  <c r="G16" i="5" s="1"/>
  <c r="C31" i="1"/>
  <c r="B29" i="5" s="1"/>
  <c r="F29" i="5" s="1"/>
  <c r="D31" i="1"/>
  <c r="C29" i="5" s="1"/>
  <c r="G29" i="5" s="1"/>
  <c r="C24" i="1"/>
  <c r="B22" i="5" s="1"/>
  <c r="F22" i="5" s="1"/>
  <c r="D24" i="1"/>
  <c r="C22" i="5" s="1"/>
  <c r="G22" i="5" s="1"/>
  <c r="C21" i="1"/>
  <c r="B19" i="5" s="1"/>
  <c r="F19" i="5" s="1"/>
  <c r="D21" i="1"/>
  <c r="C19" i="5" s="1"/>
  <c r="G19" i="5" s="1"/>
  <c r="C37" i="1"/>
  <c r="B35" i="5" s="1"/>
  <c r="F35" i="5" s="1"/>
  <c r="D37" i="1"/>
  <c r="C35" i="5" s="1"/>
  <c r="G35" i="5" s="1"/>
  <c r="N20" i="5" l="1"/>
  <c r="L20" i="5"/>
  <c r="M20" i="5"/>
  <c r="O20" i="5"/>
  <c r="J20" i="5"/>
  <c r="K20" i="5"/>
  <c r="M32" i="5"/>
  <c r="O32" i="5"/>
  <c r="J32" i="5"/>
  <c r="K32" i="5"/>
  <c r="L32" i="5"/>
  <c r="N32" i="5"/>
  <c r="N29" i="5"/>
  <c r="K29" i="5"/>
  <c r="J29" i="5"/>
  <c r="L29" i="5"/>
  <c r="M29" i="5"/>
  <c r="O29" i="5"/>
  <c r="J9" i="5"/>
  <c r="L9" i="5"/>
  <c r="M9" i="5"/>
  <c r="O9" i="5"/>
  <c r="N9" i="5"/>
  <c r="K9" i="5"/>
  <c r="O17" i="5"/>
  <c r="N17" i="5"/>
  <c r="K17" i="5"/>
  <c r="J17" i="5"/>
  <c r="L17" i="5"/>
  <c r="M17" i="5"/>
  <c r="O31" i="5"/>
  <c r="J31" i="5"/>
  <c r="L31" i="5"/>
  <c r="N31" i="5"/>
  <c r="K31" i="5"/>
  <c r="M31" i="5"/>
  <c r="N18" i="5"/>
  <c r="K18" i="5"/>
  <c r="J18" i="5"/>
  <c r="O18" i="5"/>
  <c r="L18" i="5"/>
  <c r="M18" i="5"/>
  <c r="O10" i="5"/>
  <c r="L10" i="5"/>
  <c r="K10" i="5"/>
  <c r="M10" i="5"/>
  <c r="N10" i="5"/>
  <c r="J10" i="5"/>
  <c r="K12" i="5"/>
  <c r="M12" i="5"/>
  <c r="L12" i="5"/>
  <c r="N12" i="5"/>
  <c r="O12" i="5"/>
  <c r="J12" i="5"/>
  <c r="J30" i="5"/>
  <c r="N30" i="5"/>
  <c r="O30" i="5"/>
  <c r="L30" i="5"/>
  <c r="K30" i="5"/>
  <c r="M30" i="5"/>
  <c r="M21" i="5"/>
  <c r="J21" i="5"/>
  <c r="O21" i="5"/>
  <c r="N21" i="5"/>
  <c r="K21" i="5"/>
  <c r="L21" i="5"/>
  <c r="N7" i="5"/>
  <c r="M7" i="5"/>
  <c r="O7" i="5"/>
  <c r="J7" i="5"/>
  <c r="K7" i="5"/>
  <c r="L7" i="5"/>
  <c r="M23" i="5"/>
  <c r="K23" i="5"/>
  <c r="L23" i="5"/>
  <c r="N23" i="5"/>
  <c r="O23" i="5"/>
  <c r="J23" i="5"/>
  <c r="L19" i="5"/>
  <c r="N19" i="5"/>
  <c r="M19" i="5"/>
  <c r="O19" i="5"/>
  <c r="J19" i="5"/>
  <c r="K19" i="5"/>
  <c r="M16" i="5"/>
  <c r="O16" i="5"/>
  <c r="J16" i="5"/>
  <c r="N16" i="5"/>
  <c r="K16" i="5"/>
  <c r="L16" i="5"/>
  <c r="J14" i="5"/>
  <c r="N14" i="5"/>
  <c r="O14" i="5"/>
  <c r="L14" i="5"/>
  <c r="K14" i="5"/>
  <c r="M14" i="5"/>
  <c r="K28" i="5"/>
  <c r="M28" i="5"/>
  <c r="O28" i="5"/>
  <c r="L28" i="5"/>
  <c r="N28" i="5"/>
  <c r="J28" i="5"/>
  <c r="L24" i="5"/>
  <c r="N24" i="5"/>
  <c r="M24" i="5"/>
  <c r="O24" i="5"/>
  <c r="J24" i="5"/>
  <c r="K24" i="5"/>
  <c r="L35" i="5"/>
  <c r="N35" i="5"/>
  <c r="O35" i="5"/>
  <c r="J35" i="5"/>
  <c r="K35" i="5"/>
  <c r="M35" i="5"/>
  <c r="K22" i="5"/>
  <c r="M22" i="5"/>
  <c r="O22" i="5"/>
  <c r="L22" i="5"/>
  <c r="N22" i="5"/>
  <c r="J22" i="5"/>
  <c r="O33" i="5"/>
  <c r="M33" i="5"/>
  <c r="N33" i="5"/>
  <c r="K33" i="5"/>
  <c r="J33" i="5"/>
  <c r="L33" i="5"/>
  <c r="N13" i="5"/>
  <c r="K13" i="5"/>
  <c r="O13" i="5"/>
  <c r="J13" i="5"/>
  <c r="L13" i="5"/>
  <c r="M13" i="5"/>
  <c r="N34" i="5"/>
  <c r="K34" i="5"/>
  <c r="M34" i="5"/>
  <c r="J34" i="5"/>
  <c r="O34" i="5"/>
  <c r="L34" i="5"/>
  <c r="J25" i="5"/>
  <c r="L25" i="5"/>
  <c r="N25" i="5"/>
  <c r="K25" i="5"/>
  <c r="M25" i="5"/>
  <c r="O25" i="5"/>
  <c r="K11" i="5"/>
  <c r="O11" i="5"/>
  <c r="J11" i="5"/>
  <c r="M11" i="5"/>
  <c r="L11" i="5"/>
  <c r="N11" i="5"/>
  <c r="O26" i="5"/>
  <c r="L26" i="5"/>
  <c r="J26" i="5"/>
  <c r="K26" i="5"/>
  <c r="M26" i="5"/>
  <c r="N26" i="5"/>
  <c r="K27" i="5"/>
  <c r="O27" i="5"/>
  <c r="M27" i="5"/>
  <c r="L27" i="5"/>
  <c r="N27" i="5"/>
  <c r="J27" i="5"/>
  <c r="O15" i="5"/>
  <c r="J15" i="5"/>
  <c r="L15" i="5"/>
  <c r="K15" i="5"/>
  <c r="M15" i="5"/>
  <c r="N15" i="5"/>
  <c r="I20" i="5"/>
  <c r="H20" i="5"/>
  <c r="I32" i="5"/>
  <c r="H32" i="5"/>
  <c r="I19" i="5"/>
  <c r="H19" i="5"/>
  <c r="I29" i="5"/>
  <c r="H29" i="5"/>
  <c r="I9" i="5"/>
  <c r="H9" i="5"/>
  <c r="H17" i="5"/>
  <c r="I17" i="5"/>
  <c r="H31" i="5"/>
  <c r="I31" i="5"/>
  <c r="I18" i="5"/>
  <c r="H18" i="5"/>
  <c r="I10" i="5"/>
  <c r="H10" i="5"/>
  <c r="I12" i="5"/>
  <c r="H12" i="5"/>
  <c r="H30" i="5"/>
  <c r="I30" i="5"/>
  <c r="I21" i="5"/>
  <c r="H21" i="5"/>
  <c r="I7" i="5"/>
  <c r="H7" i="5"/>
  <c r="I23" i="5"/>
  <c r="H23" i="5"/>
  <c r="I16" i="5"/>
  <c r="H16" i="5"/>
  <c r="H14" i="5"/>
  <c r="I14" i="5"/>
  <c r="I28" i="5"/>
  <c r="H28" i="5"/>
  <c r="I24" i="5"/>
  <c r="H24" i="5"/>
  <c r="I35" i="5"/>
  <c r="H35" i="5"/>
  <c r="I22" i="5"/>
  <c r="H22" i="5"/>
  <c r="H33" i="5"/>
  <c r="I33" i="5"/>
  <c r="H13" i="5"/>
  <c r="I13" i="5"/>
  <c r="H34" i="5"/>
  <c r="I34" i="5"/>
  <c r="H25" i="5"/>
  <c r="I25" i="5"/>
  <c r="H11" i="5"/>
  <c r="I11" i="5"/>
  <c r="H26" i="5"/>
  <c r="I26" i="5"/>
  <c r="H27" i="5"/>
  <c r="I27" i="5"/>
  <c r="I15" i="5"/>
  <c r="H15" i="5"/>
  <c r="E8" i="5"/>
  <c r="D8" i="5"/>
  <c r="L8" i="5" l="1"/>
  <c r="K8" i="5"/>
  <c r="N8" i="5"/>
  <c r="M8" i="5"/>
  <c r="O8" i="5"/>
  <c r="J8" i="5"/>
  <c r="I8" i="5"/>
  <c r="H8" i="5"/>
  <c r="P27" i="5"/>
  <c r="R27" i="5" s="1"/>
  <c r="D25" i="6" s="1"/>
  <c r="P34" i="5"/>
  <c r="Q34" i="5" s="1"/>
  <c r="C32" i="6" s="1"/>
  <c r="P30" i="5"/>
  <c r="R30" i="5" s="1"/>
  <c r="D28" i="6" s="1"/>
  <c r="P20" i="5"/>
  <c r="R20" i="5" s="1"/>
  <c r="D18" i="6" s="1"/>
  <c r="P33" i="5"/>
  <c r="R33" i="5" s="1"/>
  <c r="D31" i="6" s="1"/>
  <c r="P11" i="5"/>
  <c r="R11" i="5" s="1"/>
  <c r="D9" i="6" s="1"/>
  <c r="P24" i="5"/>
  <c r="Q24" i="5" s="1"/>
  <c r="C22" i="6" s="1"/>
  <c r="P14" i="5"/>
  <c r="Q14" i="5" s="1"/>
  <c r="C12" i="6" s="1"/>
  <c r="B12" i="6" s="1"/>
  <c r="P23" i="5"/>
  <c r="Q23" i="5" s="1"/>
  <c r="C21" i="6" s="1"/>
  <c r="P7" i="5"/>
  <c r="Q7" i="5" s="1"/>
  <c r="C5" i="6" s="1"/>
  <c r="B5" i="6" s="1"/>
  <c r="P21" i="5"/>
  <c r="R21" i="5" s="1"/>
  <c r="D19" i="6" s="1"/>
  <c r="P10" i="5"/>
  <c r="Q10" i="5" s="1"/>
  <c r="C8" i="6" s="1"/>
  <c r="P31" i="5"/>
  <c r="Q31" i="5" s="1"/>
  <c r="C29" i="6" s="1"/>
  <c r="P26" i="5"/>
  <c r="Q26" i="5" s="1"/>
  <c r="C24" i="6" s="1"/>
  <c r="P18" i="5"/>
  <c r="R18" i="5" s="1"/>
  <c r="D16" i="6" s="1"/>
  <c r="P29" i="5"/>
  <c r="Q29" i="5" s="1"/>
  <c r="C27" i="6" s="1"/>
  <c r="P13" i="5"/>
  <c r="R13" i="5" s="1"/>
  <c r="D11" i="6" s="1"/>
  <c r="P19" i="5"/>
  <c r="R19" i="5" s="1"/>
  <c r="D17" i="6" s="1"/>
  <c r="P15" i="5"/>
  <c r="Q15" i="5" s="1"/>
  <c r="C13" i="6" s="1"/>
  <c r="P25" i="5"/>
  <c r="Q25" i="5" s="1"/>
  <c r="C23" i="6" s="1"/>
  <c r="P22" i="5"/>
  <c r="R22" i="5" s="1"/>
  <c r="D20" i="6" s="1"/>
  <c r="P35" i="5"/>
  <c r="R35" i="5" s="1"/>
  <c r="D33" i="6" s="1"/>
  <c r="P28" i="5"/>
  <c r="Q28" i="5" s="1"/>
  <c r="C26" i="6" s="1"/>
  <c r="B26" i="6" s="1"/>
  <c r="P16" i="5"/>
  <c r="R16" i="5" s="1"/>
  <c r="D14" i="6" s="1"/>
  <c r="P12" i="5"/>
  <c r="Q12" i="5" s="1"/>
  <c r="C10" i="6" s="1"/>
  <c r="P17" i="5"/>
  <c r="R17" i="5" s="1"/>
  <c r="D15" i="6" s="1"/>
  <c r="P9" i="5"/>
  <c r="R9" i="5" s="1"/>
  <c r="D7" i="6" s="1"/>
  <c r="P32" i="5"/>
  <c r="R32" i="5" s="1"/>
  <c r="D30" i="6" s="1"/>
  <c r="R24" i="5" l="1"/>
  <c r="S24" i="5" s="1" a="1"/>
  <c r="S24" i="5" s="1"/>
  <c r="E22" i="6" s="1"/>
  <c r="Q17" i="5"/>
  <c r="S17" i="5" s="1" a="1"/>
  <c r="S17" i="5" s="1"/>
  <c r="E15" i="6" s="1"/>
  <c r="Q19" i="5"/>
  <c r="Q11" i="5"/>
  <c r="R26" i="5"/>
  <c r="S26" i="5" s="1" a="1"/>
  <c r="S26" i="5" s="1"/>
  <c r="E24" i="6" s="1"/>
  <c r="Q35" i="5"/>
  <c r="C33" i="6" s="1"/>
  <c r="R34" i="5"/>
  <c r="R7" i="5"/>
  <c r="Q22" i="5"/>
  <c r="C20" i="6" s="1"/>
  <c r="R12" i="5"/>
  <c r="Q13" i="5"/>
  <c r="C11" i="6" s="1"/>
  <c r="R15" i="5"/>
  <c r="Q21" i="5"/>
  <c r="C19" i="6" s="1"/>
  <c r="B19" i="6" s="1"/>
  <c r="Q18" i="5"/>
  <c r="C16" i="6" s="1"/>
  <c r="Q9" i="5"/>
  <c r="C7" i="6" s="1"/>
  <c r="R28" i="5"/>
  <c r="Q33" i="5"/>
  <c r="C31" i="6" s="1"/>
  <c r="Q30" i="5"/>
  <c r="C28" i="6" s="1"/>
  <c r="Q27" i="5"/>
  <c r="C25" i="6" s="1"/>
  <c r="R31" i="5"/>
  <c r="R23" i="5"/>
  <c r="Q32" i="5"/>
  <c r="C30" i="6" s="1"/>
  <c r="Q16" i="5"/>
  <c r="C14" i="6" s="1"/>
  <c r="R25" i="5"/>
  <c r="Q20" i="5"/>
  <c r="C18" i="6" s="1"/>
  <c r="R29" i="5"/>
  <c r="R10" i="5"/>
  <c r="R14" i="5"/>
  <c r="P8" i="5"/>
  <c r="R8" i="5" s="1"/>
  <c r="D6" i="6" s="1"/>
  <c r="T7" i="5" l="1" a="1"/>
  <c r="T7" i="5" s="1"/>
  <c r="F5" i="6" s="1"/>
  <c r="D5" i="6"/>
  <c r="T11" i="5" a="1"/>
  <c r="T11" i="5" s="1"/>
  <c r="F9" i="6" s="1"/>
  <c r="C9" i="6"/>
  <c r="S29" i="5" a="1"/>
  <c r="S29" i="5" s="1"/>
  <c r="E27" i="6" s="1"/>
  <c r="D27" i="6"/>
  <c r="S23" i="5" a="1"/>
  <c r="S23" i="5" s="1"/>
  <c r="E21" i="6" s="1"/>
  <c r="D21" i="6"/>
  <c r="S14" i="5" a="1"/>
  <c r="S14" i="5" s="1"/>
  <c r="E12" i="6" s="1"/>
  <c r="D12" i="6"/>
  <c r="S31" i="5" a="1"/>
  <c r="S31" i="5" s="1"/>
  <c r="E29" i="6" s="1"/>
  <c r="D29" i="6"/>
  <c r="T34" i="5" a="1"/>
  <c r="T34" i="5" s="1"/>
  <c r="F32" i="6" s="1"/>
  <c r="D32" i="6"/>
  <c r="T19" i="5" a="1"/>
  <c r="T19" i="5" s="1"/>
  <c r="F17" i="6" s="1"/>
  <c r="C17" i="6"/>
  <c r="S25" i="5" a="1"/>
  <c r="S25" i="5" s="1"/>
  <c r="E23" i="6" s="1"/>
  <c r="D23" i="6"/>
  <c r="S28" i="5" a="1"/>
  <c r="S28" i="5" s="1"/>
  <c r="E26" i="6" s="1"/>
  <c r="D26" i="6"/>
  <c r="S10" i="5" a="1"/>
  <c r="S10" i="5" s="1"/>
  <c r="E8" i="6" s="1"/>
  <c r="D8" i="6"/>
  <c r="S12" i="5" a="1"/>
  <c r="S12" i="5" s="1"/>
  <c r="E10" i="6" s="1"/>
  <c r="D10" i="6"/>
  <c r="T17" i="5" a="1"/>
  <c r="T17" i="5" s="1"/>
  <c r="F15" i="6" s="1"/>
  <c r="C15" i="6"/>
  <c r="S15" i="5" a="1"/>
  <c r="S15" i="5" s="1"/>
  <c r="E13" i="6" s="1"/>
  <c r="D13" i="6"/>
  <c r="T26" i="5" a="1"/>
  <c r="T26" i="5" s="1"/>
  <c r="F24" i="6" s="1"/>
  <c r="D24" i="6"/>
  <c r="T24" i="5" a="1"/>
  <c r="T24" i="5" s="1"/>
  <c r="F22" i="6" s="1"/>
  <c r="D22" i="6"/>
  <c r="S11" i="5" a="1"/>
  <c r="S11" i="5" s="1"/>
  <c r="E9" i="6" s="1"/>
  <c r="S34" i="5" a="1"/>
  <c r="S34" i="5" s="1"/>
  <c r="E32" i="6" s="1"/>
  <c r="S19" i="5" a="1"/>
  <c r="S19" i="5" s="1"/>
  <c r="E17" i="6" s="1"/>
  <c r="S32" i="5" a="1"/>
  <c r="S32" i="5" s="1"/>
  <c r="E30" i="6" s="1"/>
  <c r="T32" i="5" a="1"/>
  <c r="T32" i="5" s="1"/>
  <c r="F30" i="6" s="1"/>
  <c r="S30" i="5" a="1"/>
  <c r="S30" i="5" s="1"/>
  <c r="E28" i="6" s="1"/>
  <c r="T30" i="5" a="1"/>
  <c r="T30" i="5" s="1"/>
  <c r="F28" i="6" s="1"/>
  <c r="S18" i="5" a="1"/>
  <c r="S18" i="5" s="1"/>
  <c r="E16" i="6" s="1"/>
  <c r="T18" i="5" a="1"/>
  <c r="T18" i="5" s="1"/>
  <c r="F16" i="6" s="1"/>
  <c r="T15" i="5" a="1"/>
  <c r="T15" i="5" s="1"/>
  <c r="F13" i="6" s="1"/>
  <c r="T29" i="5" a="1"/>
  <c r="T29" i="5" s="1"/>
  <c r="F27" i="6" s="1"/>
  <c r="T12" i="5" a="1"/>
  <c r="T12" i="5" s="1"/>
  <c r="F10" i="6" s="1"/>
  <c r="S20" i="5" a="1"/>
  <c r="S20" i="5" s="1"/>
  <c r="E18" i="6" s="1"/>
  <c r="T20" i="5" a="1"/>
  <c r="T20" i="5" s="1"/>
  <c r="F18" i="6" s="1"/>
  <c r="S33" i="5" a="1"/>
  <c r="S33" i="5" s="1"/>
  <c r="E31" i="6" s="1"/>
  <c r="T33" i="5" a="1"/>
  <c r="T33" i="5" s="1"/>
  <c r="F31" i="6" s="1"/>
  <c r="S21" i="5" a="1"/>
  <c r="S21" i="5" s="1"/>
  <c r="E19" i="6" s="1"/>
  <c r="T21" i="5" a="1"/>
  <c r="T21" i="5" s="1"/>
  <c r="F19" i="6" s="1"/>
  <c r="S13" i="5" a="1"/>
  <c r="S13" i="5" s="1"/>
  <c r="E11" i="6" s="1"/>
  <c r="T13" i="5" a="1"/>
  <c r="T13" i="5" s="1"/>
  <c r="F11" i="6" s="1"/>
  <c r="T28" i="5" a="1"/>
  <c r="T28" i="5" s="1"/>
  <c r="F26" i="6" s="1"/>
  <c r="T25" i="5" a="1"/>
  <c r="T25" i="5" s="1"/>
  <c r="F23" i="6" s="1"/>
  <c r="S35" i="5" a="1"/>
  <c r="S35" i="5" s="1"/>
  <c r="E33" i="6" s="1"/>
  <c r="T35" i="5" a="1"/>
  <c r="T35" i="5" s="1"/>
  <c r="F33" i="6" s="1"/>
  <c r="T14" i="5" a="1"/>
  <c r="T14" i="5" s="1"/>
  <c r="F12" i="6" s="1"/>
  <c r="T23" i="5" a="1"/>
  <c r="T23" i="5" s="1"/>
  <c r="F21" i="6" s="1"/>
  <c r="S16" i="5" a="1"/>
  <c r="S16" i="5" s="1"/>
  <c r="E14" i="6" s="1"/>
  <c r="T16" i="5" a="1"/>
  <c r="T16" i="5" s="1"/>
  <c r="F14" i="6" s="1"/>
  <c r="S27" i="5" a="1"/>
  <c r="S27" i="5" s="1"/>
  <c r="E25" i="6" s="1"/>
  <c r="T27" i="5" a="1"/>
  <c r="T27" i="5" s="1"/>
  <c r="F25" i="6" s="1"/>
  <c r="S9" i="5" a="1"/>
  <c r="S9" i="5" s="1"/>
  <c r="E7" i="6" s="1"/>
  <c r="T9" i="5" a="1"/>
  <c r="T9" i="5" s="1"/>
  <c r="F7" i="6" s="1"/>
  <c r="S22" i="5" a="1"/>
  <c r="S22" i="5" s="1"/>
  <c r="E20" i="6" s="1"/>
  <c r="T22" i="5" a="1"/>
  <c r="T22" i="5" s="1"/>
  <c r="F20" i="6" s="1"/>
  <c r="T10" i="5" a="1"/>
  <c r="T10" i="5" s="1"/>
  <c r="F8" i="6" s="1"/>
  <c r="T31" i="5" a="1"/>
  <c r="T31" i="5" s="1"/>
  <c r="F29" i="6" s="1"/>
  <c r="Q8" i="5"/>
  <c r="C6" i="6" s="1"/>
  <c r="B6" i="6" s="1"/>
  <c r="B7" i="6" l="1"/>
  <c r="S8" i="5" a="1"/>
  <c r="S8" i="5" s="1"/>
  <c r="E6" i="6" s="1"/>
  <c r="T8" i="5" a="1"/>
  <c r="T8" i="5" s="1"/>
  <c r="F6" i="6" s="1"/>
  <c r="B8" i="6" l="1"/>
  <c r="B11" i="6"/>
  <c r="B9" i="6" l="1"/>
  <c r="B10" i="6" s="1"/>
  <c r="B15" i="6" s="1"/>
  <c r="B13" i="6"/>
  <c r="B14" i="6" s="1"/>
  <c r="B16" i="6" l="1"/>
  <c r="B17" i="6" l="1"/>
  <c r="B21" i="6" s="1"/>
  <c r="B23" i="6" s="1"/>
  <c r="B24" i="6" s="1"/>
  <c r="B28" i="6" s="1"/>
  <c r="B18" i="6" l="1"/>
  <c r="B20" i="6" l="1"/>
  <c r="B32" i="6"/>
  <c r="G5" i="6"/>
  <c r="B33" i="6"/>
  <c r="B22" i="6" l="1"/>
  <c r="K5" i="6"/>
  <c r="J5" i="6"/>
  <c r="H5" i="6"/>
  <c r="I5" i="6" s="1"/>
  <c r="B25" i="6" l="1"/>
  <c r="B29" i="6" l="1"/>
  <c r="G7" i="6"/>
  <c r="G6" i="6"/>
  <c r="B27" i="6"/>
  <c r="K7" i="6" l="1"/>
  <c r="J7" i="6"/>
  <c r="H7" i="6"/>
  <c r="I7" i="6" s="1"/>
  <c r="H6" i="6"/>
  <c r="I6" i="6" s="1"/>
  <c r="K6" i="6"/>
  <c r="J6" i="6"/>
  <c r="B30" i="6"/>
  <c r="B31" i="6" l="1"/>
  <c r="G15" i="6" s="1"/>
  <c r="G11" i="6" l="1"/>
  <c r="G9" i="6"/>
  <c r="G8" i="6"/>
  <c r="G10" i="6"/>
  <c r="K15" i="6"/>
  <c r="H15" i="6"/>
  <c r="I15" i="6" s="1"/>
  <c r="J15" i="6"/>
  <c r="G28" i="6"/>
  <c r="G12" i="6"/>
  <c r="G27" i="6"/>
  <c r="G20" i="6"/>
  <c r="G26" i="6"/>
  <c r="G14" i="6"/>
  <c r="G30" i="6"/>
  <c r="G25" i="6"/>
  <c r="G22" i="6"/>
  <c r="G29" i="6"/>
  <c r="G13" i="6"/>
  <c r="K11" i="6"/>
  <c r="H11" i="6"/>
  <c r="I11" i="6" s="1"/>
  <c r="J11" i="6"/>
  <c r="G33" i="6"/>
  <c r="G32" i="6"/>
  <c r="G24" i="6"/>
  <c r="G31" i="6"/>
  <c r="G23" i="6"/>
  <c r="G19" i="6"/>
  <c r="G17" i="6"/>
  <c r="G16" i="6"/>
  <c r="G21" i="6"/>
  <c r="G18" i="6"/>
  <c r="H9" i="6" l="1"/>
  <c r="I9" i="6" s="1"/>
  <c r="J9" i="6"/>
  <c r="K9" i="6"/>
  <c r="J10" i="6"/>
  <c r="H10" i="6"/>
  <c r="I10" i="6" s="1"/>
  <c r="K10" i="6"/>
  <c r="K8" i="6"/>
  <c r="J8" i="6"/>
  <c r="H8" i="6"/>
  <c r="I8" i="6" s="1"/>
  <c r="H24" i="6"/>
  <c r="I24" i="6" s="1"/>
  <c r="J24" i="6"/>
  <c r="K24" i="6"/>
  <c r="J28" i="6"/>
  <c r="H28" i="6"/>
  <c r="I28" i="6" s="1"/>
  <c r="K28" i="6"/>
  <c r="K18" i="6"/>
  <c r="J18" i="6"/>
  <c r="H18" i="6"/>
  <c r="I18" i="6" s="1"/>
  <c r="H19" i="6"/>
  <c r="I19" i="6" s="1"/>
  <c r="J19" i="6"/>
  <c r="K19" i="6"/>
  <c r="J32" i="6"/>
  <c r="K32" i="6"/>
  <c r="H32" i="6"/>
  <c r="I32" i="6" s="1"/>
  <c r="H25" i="6"/>
  <c r="I25" i="6" s="1"/>
  <c r="J25" i="6"/>
  <c r="K25" i="6"/>
  <c r="H20" i="6"/>
  <c r="I20" i="6" s="1"/>
  <c r="J20" i="6"/>
  <c r="K20" i="6"/>
  <c r="K22" i="6"/>
  <c r="H22" i="6"/>
  <c r="I22" i="6" s="1"/>
  <c r="J22" i="6"/>
  <c r="K26" i="6"/>
  <c r="J26" i="6"/>
  <c r="H26" i="6"/>
  <c r="I26" i="6" s="1"/>
  <c r="J21" i="6"/>
  <c r="K21" i="6"/>
  <c r="H21" i="6"/>
  <c r="I21" i="6" s="1"/>
  <c r="J23" i="6"/>
  <c r="H23" i="6"/>
  <c r="I23" i="6" s="1"/>
  <c r="K23" i="6"/>
  <c r="K33" i="6"/>
  <c r="H33" i="6"/>
  <c r="I33" i="6" s="1"/>
  <c r="J33" i="6"/>
  <c r="H13" i="6"/>
  <c r="I13" i="6" s="1"/>
  <c r="K13" i="6"/>
  <c r="J13" i="6"/>
  <c r="H30" i="6"/>
  <c r="I30" i="6" s="1"/>
  <c r="K30" i="6"/>
  <c r="J30" i="6"/>
  <c r="H27" i="6"/>
  <c r="I27" i="6" s="1"/>
  <c r="J27" i="6"/>
  <c r="K27" i="6"/>
  <c r="K17" i="6"/>
  <c r="H17" i="6"/>
  <c r="I17" i="6" s="1"/>
  <c r="J17" i="6"/>
  <c r="H16" i="6"/>
  <c r="I16" i="6" s="1"/>
  <c r="K16" i="6"/>
  <c r="J16" i="6"/>
  <c r="H31" i="6"/>
  <c r="I31" i="6" s="1"/>
  <c r="J31" i="6"/>
  <c r="K31" i="6"/>
  <c r="J29" i="6"/>
  <c r="K29" i="6"/>
  <c r="H29" i="6"/>
  <c r="I29" i="6" s="1"/>
  <c r="J14" i="6"/>
  <c r="H14" i="6"/>
  <c r="I14" i="6" s="1"/>
  <c r="K14" i="6"/>
  <c r="J12" i="6"/>
  <c r="H12" i="6"/>
  <c r="I12" i="6" s="1"/>
  <c r="K12" i="6"/>
  <c r="M4" i="6" l="1"/>
  <c r="O4" i="6"/>
  <c r="N4" i="6"/>
  <c r="Q4" i="6" s="1" a="1"/>
  <c r="Q4" i="6" s="1"/>
  <c r="R4" i="6" l="1" a="1"/>
  <c r="R4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OptimalCities!$Q$6:$S$35" type="102" refreshedVersion="6" minRefreshableVersion="5">
    <extLst>
      <ext xmlns:x15="http://schemas.microsoft.com/office/spreadsheetml/2010/11/main" uri="{DE250136-89BD-433C-8126-D09CA5730AF9}">
        <x15:connection id="Range 4">
          <x15:rangePr sourceName="_xlcn.WorksheetConnection_OptimalCitiesQ6S351"/>
        </x15:connection>
      </ext>
    </extLst>
  </connection>
  <connection id="3" xr16:uid="{00000000-0015-0000-FFFF-FFFF02000000}" name="WorksheetConnection_OptimalCities!$Q$7:$R$35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OptimalCitiesQ7R351"/>
        </x15:connection>
      </ext>
    </extLst>
  </connection>
  <connection id="4" xr16:uid="{00000000-0015-0000-FFFF-FFFF03000000}" name="WorksheetConnection_OptimalCities!$S$6:$S$35" type="102" refreshedVersion="6" minRefreshableVersion="5">
    <extLst>
      <ext xmlns:x15="http://schemas.microsoft.com/office/spreadsheetml/2010/11/main" uri="{DE250136-89BD-433C-8126-D09CA5730AF9}">
        <x15:connection id="Range 5">
          <x15:rangePr sourceName="_xlcn.WorksheetConnection_OptimalCitiesS6S351"/>
        </x15:connection>
      </ext>
    </extLst>
  </connection>
  <connection id="5" xr16:uid="{00000000-0015-0000-FFFF-FFFF04000000}" name="WorksheetConnection_OptimalCities!$S$7:$S$35" type="102" refreshedVersion="6" minRefreshableVersion="5">
    <extLst>
      <ext xmlns:x15="http://schemas.microsoft.com/office/spreadsheetml/2010/11/main" uri="{DE250136-89BD-433C-8126-D09CA5730AF9}">
        <x15:connection id="Range 1">
          <x15:rangePr sourceName="_xlcn.WorksheetConnection_OptimalCitiesS7S351"/>
        </x15:connection>
      </ext>
    </extLst>
  </connection>
  <connection id="6" xr16:uid="{00000000-0015-0000-FFFF-FFFF05000000}" name="WorksheetConnection_OptimalCities!$S$8:$S$35" type="102" refreshedVersion="6" minRefreshableVersion="5">
    <extLst>
      <ext xmlns:x15="http://schemas.microsoft.com/office/spreadsheetml/2010/11/main" uri="{DE250136-89BD-433C-8126-D09CA5730AF9}">
        <x15:connection id="Range 3">
          <x15:rangePr sourceName="_xlcn.WorksheetConnection_OptimalCitiesS8S351"/>
        </x15:connection>
      </ext>
    </extLst>
  </connection>
  <connection id="7" xr16:uid="{00000000-0015-0000-FFFF-FFFF06000000}" name="WorksheetConnection_OptimalCities!$S$9:$S$35" type="102" refreshedVersion="6" minRefreshableVersion="5">
    <extLst>
      <ext xmlns:x15="http://schemas.microsoft.com/office/spreadsheetml/2010/11/main" uri="{DE250136-89BD-433C-8126-D09CA5730AF9}">
        <x15:connection id="Range 2">
          <x15:rangePr sourceName="_xlcn.WorksheetConnection_OptimalCitiesS9S351"/>
        </x15:connection>
      </ext>
    </extLst>
  </connection>
  <connection id="8" xr16:uid="{00000000-0015-0000-FFFF-FFFF07000000}" name="WorksheetConnection_OptimalCities!$T$6:$T$35" type="102" refreshedVersion="6" minRefreshableVersion="5">
    <extLst>
      <ext xmlns:x15="http://schemas.microsoft.com/office/spreadsheetml/2010/11/main" uri="{DE250136-89BD-433C-8126-D09CA5730AF9}">
        <x15:connection id="Range 6">
          <x15:rangePr sourceName="_xlcn.WorksheetConnection_OptimalCitiesT6T351"/>
        </x15:connection>
      </ext>
    </extLst>
  </connection>
</connections>
</file>

<file path=xl/sharedStrings.xml><?xml version="1.0" encoding="utf-8"?>
<sst xmlns="http://schemas.openxmlformats.org/spreadsheetml/2006/main" count="7463" uniqueCount="756">
  <si>
    <t>Alabama</t>
  </si>
  <si>
    <t>Huntsville</t>
  </si>
  <si>
    <t>Mobile</t>
  </si>
  <si>
    <t>Montgomery</t>
  </si>
  <si>
    <t>Ozark</t>
  </si>
  <si>
    <t>ALASKA</t>
  </si>
  <si>
    <t>Anchorage</t>
  </si>
  <si>
    <t>Barrow</t>
  </si>
  <si>
    <t>Cold Bay</t>
  </si>
  <si>
    <t>Fairbanks</t>
  </si>
  <si>
    <t>Juneau</t>
  </si>
  <si>
    <t>Kodiak</t>
  </si>
  <si>
    <t>Nome</t>
  </si>
  <si>
    <t>ARIZONA</t>
  </si>
  <si>
    <t>Flagstaff</t>
  </si>
  <si>
    <t>Phoenix</t>
  </si>
  <si>
    <t>Tucson</t>
  </si>
  <si>
    <t>Winslow</t>
  </si>
  <si>
    <t>Yuma</t>
  </si>
  <si>
    <t>ARKANSAS</t>
  </si>
  <si>
    <t>Blytheville</t>
  </si>
  <si>
    <t>Fort Smith</t>
  </si>
  <si>
    <t>Little Rock</t>
  </si>
  <si>
    <t>CALIFORNIA</t>
  </si>
  <si>
    <t>Alameda</t>
  </si>
  <si>
    <t>San Bernardino</t>
  </si>
  <si>
    <t>Bakersfield</t>
  </si>
  <si>
    <t>Bishop</t>
  </si>
  <si>
    <t>Camp Pendleton</t>
  </si>
  <si>
    <t>Edwards</t>
  </si>
  <si>
    <t>Eureka</t>
  </si>
  <si>
    <t>Fairfield</t>
  </si>
  <si>
    <t>Fresno</t>
  </si>
  <si>
    <t>Long Beach</t>
  </si>
  <si>
    <t>El Segundo</t>
  </si>
  <si>
    <t>Los Angeles</t>
  </si>
  <si>
    <t>Marysville</t>
  </si>
  <si>
    <t>Monterey</t>
  </si>
  <si>
    <t>Mountain View</t>
  </si>
  <si>
    <t>Palmdale</t>
  </si>
  <si>
    <t>Red Bluff</t>
  </si>
  <si>
    <t>Redding</t>
  </si>
  <si>
    <t>RiverSide</t>
  </si>
  <si>
    <t>Sacramento</t>
  </si>
  <si>
    <t>San Diego</t>
  </si>
  <si>
    <t>San Clemente</t>
  </si>
  <si>
    <t>San Francisco</t>
  </si>
  <si>
    <t>Santa Ana</t>
  </si>
  <si>
    <t>Santa Maria</t>
  </si>
  <si>
    <t>Stockton</t>
  </si>
  <si>
    <t>COLORADO</t>
  </si>
  <si>
    <t>Alamosa</t>
  </si>
  <si>
    <t>Colorado Springs</t>
  </si>
  <si>
    <t>Denver</t>
  </si>
  <si>
    <t>Grand Junction</t>
  </si>
  <si>
    <t>Pueblo</t>
  </si>
  <si>
    <t>CONNECTICUT</t>
  </si>
  <si>
    <t>Bridgeport</t>
  </si>
  <si>
    <t>Hartford</t>
  </si>
  <si>
    <t>DELAWARE</t>
  </si>
  <si>
    <t>Wilmington</t>
  </si>
  <si>
    <t>DISTRICT OF COLUMBIA</t>
  </si>
  <si>
    <t>Washington</t>
  </si>
  <si>
    <t>Washington Navy Yard</t>
  </si>
  <si>
    <t>FLORIDA</t>
  </si>
  <si>
    <t>Apalachicola</t>
  </si>
  <si>
    <t>Daytona Beach</t>
  </si>
  <si>
    <t>Cocoa Beach</t>
  </si>
  <si>
    <t>Fort Myers</t>
  </si>
  <si>
    <t>Gainesville</t>
  </si>
  <si>
    <t>Jacksonville</t>
  </si>
  <si>
    <t>Key West</t>
  </si>
  <si>
    <t>Miami</t>
  </si>
  <si>
    <t>Orlando</t>
  </si>
  <si>
    <t>Panama City</t>
  </si>
  <si>
    <t>Pensacola</t>
  </si>
  <si>
    <t>Tallahassee</t>
  </si>
  <si>
    <t>Tampa</t>
  </si>
  <si>
    <t>Vero Beach</t>
  </si>
  <si>
    <t>West Palm Beach</t>
  </si>
  <si>
    <t>GEORGIA</t>
  </si>
  <si>
    <t xml:space="preserve">Albany </t>
  </si>
  <si>
    <t>Athens</t>
  </si>
  <si>
    <t>Atlanta</t>
  </si>
  <si>
    <t>Augusta</t>
  </si>
  <si>
    <t>Brunswick</t>
  </si>
  <si>
    <t>Columbus</t>
  </si>
  <si>
    <t>Macon</t>
  </si>
  <si>
    <t>Savannah</t>
  </si>
  <si>
    <t>Valdosta</t>
  </si>
  <si>
    <t>HAWAII</t>
  </si>
  <si>
    <t>Kaneohe Bay</t>
  </si>
  <si>
    <t>Hilo</t>
  </si>
  <si>
    <t>Honolulu</t>
  </si>
  <si>
    <t>Kahului</t>
  </si>
  <si>
    <t>Lihue</t>
  </si>
  <si>
    <t>Pearl Harbor</t>
  </si>
  <si>
    <t>Wahiawa</t>
  </si>
  <si>
    <t>IDAHO</t>
  </si>
  <si>
    <t>Boise</t>
  </si>
  <si>
    <t>Lewiston</t>
  </si>
  <si>
    <t>Pocatello</t>
  </si>
  <si>
    <t>ILLINOIS</t>
  </si>
  <si>
    <t>Elk Grove Village</t>
  </si>
  <si>
    <t>Burbank</t>
  </si>
  <si>
    <t>Moline</t>
  </si>
  <si>
    <t>Peoria</t>
  </si>
  <si>
    <t>Rantoul</t>
  </si>
  <si>
    <t>Rockford</t>
  </si>
  <si>
    <t>Springfield</t>
  </si>
  <si>
    <t>INDIANA</t>
  </si>
  <si>
    <t>Evansville</t>
  </si>
  <si>
    <t>Fort Wayne</t>
  </si>
  <si>
    <t>Indianapolis</t>
  </si>
  <si>
    <t>Peru</t>
  </si>
  <si>
    <t>IOWA</t>
  </si>
  <si>
    <t>Des Moines</t>
  </si>
  <si>
    <t>Dubuque</t>
  </si>
  <si>
    <t>Sioux City</t>
  </si>
  <si>
    <t>Waterloo</t>
  </si>
  <si>
    <t>KANSAS</t>
  </si>
  <si>
    <t>Concordia</t>
  </si>
  <si>
    <t>Dodge City</t>
  </si>
  <si>
    <t>Goodland</t>
  </si>
  <si>
    <t>Topeka</t>
  </si>
  <si>
    <t>Wichita</t>
  </si>
  <si>
    <t>KENTUCKY</t>
  </si>
  <si>
    <t>Fort Cambell</t>
  </si>
  <si>
    <t>Jackson</t>
  </si>
  <si>
    <t>Lexington</t>
  </si>
  <si>
    <t>Louisville</t>
  </si>
  <si>
    <t>Paducah</t>
  </si>
  <si>
    <t>LOUISIANA</t>
  </si>
  <si>
    <t>Alexandria</t>
  </si>
  <si>
    <t>Baton Rouge</t>
  </si>
  <si>
    <t>Lake Charles</t>
  </si>
  <si>
    <t>New Orleans</t>
  </si>
  <si>
    <t>Shreveport</t>
  </si>
  <si>
    <t>MAINE</t>
  </si>
  <si>
    <t>Bangor</t>
  </si>
  <si>
    <t>Caribou</t>
  </si>
  <si>
    <t>Portland</t>
  </si>
  <si>
    <t>MARYLAND</t>
  </si>
  <si>
    <t>Baltimore</t>
  </si>
  <si>
    <t>Patuxent River</t>
  </si>
  <si>
    <t>MASSACHUSETTS</t>
  </si>
  <si>
    <t>Boston</t>
  </si>
  <si>
    <t>Chicopee Falls</t>
  </si>
  <si>
    <t>Falmouth</t>
  </si>
  <si>
    <t>Milton</t>
  </si>
  <si>
    <t>Worcester</t>
  </si>
  <si>
    <t>MICHIGAN</t>
  </si>
  <si>
    <t>Alpena</t>
  </si>
  <si>
    <t>Detroit</t>
  </si>
  <si>
    <t>Flint</t>
  </si>
  <si>
    <t>Grand Rapids</t>
  </si>
  <si>
    <t>Lansing</t>
  </si>
  <si>
    <t>Muskegon</t>
  </si>
  <si>
    <t>Oscada</t>
  </si>
  <si>
    <t>Sawyer</t>
  </si>
  <si>
    <t>Sault Sainte Marie</t>
  </si>
  <si>
    <t>MINNESOTA</t>
  </si>
  <si>
    <t>Duluth</t>
  </si>
  <si>
    <t>International Falls</t>
  </si>
  <si>
    <t>Minneapolis</t>
  </si>
  <si>
    <t>Rochester</t>
  </si>
  <si>
    <t>Saint Cloud</t>
  </si>
  <si>
    <t>MISSISSIPPI</t>
  </si>
  <si>
    <t>Biloxi</t>
  </si>
  <si>
    <t>Meridian</t>
  </si>
  <si>
    <t>Tupelo</t>
  </si>
  <si>
    <t>MISSOURI</t>
  </si>
  <si>
    <t>Columbia</t>
  </si>
  <si>
    <t>Kansas City</t>
  </si>
  <si>
    <t>Saint Louis</t>
  </si>
  <si>
    <t>MONTANA</t>
  </si>
  <si>
    <t>Billings</t>
  </si>
  <si>
    <t>Glasgow</t>
  </si>
  <si>
    <t>Great Falls</t>
  </si>
  <si>
    <t>Havre</t>
  </si>
  <si>
    <t>Helena</t>
  </si>
  <si>
    <t>Kalispell</t>
  </si>
  <si>
    <t>Missoula</t>
  </si>
  <si>
    <t>NEBRASKA</t>
  </si>
  <si>
    <t>Grand Island</t>
  </si>
  <si>
    <t>Lincoln</t>
  </si>
  <si>
    <t>Norfolk</t>
  </si>
  <si>
    <t>North Platte</t>
  </si>
  <si>
    <t>Omaha</t>
  </si>
  <si>
    <t>ScottsBluff</t>
  </si>
  <si>
    <t>Valentine</t>
  </si>
  <si>
    <t>NEVADA</t>
  </si>
  <si>
    <t>Elko</t>
  </si>
  <si>
    <t>Ely</t>
  </si>
  <si>
    <t>Las Vegas</t>
  </si>
  <si>
    <t>Reno</t>
  </si>
  <si>
    <t>Winnemucca</t>
  </si>
  <si>
    <t>Tonopah</t>
  </si>
  <si>
    <t>NEW HAMPSHIRE</t>
  </si>
  <si>
    <t>Concord</t>
  </si>
  <si>
    <t>Mount Washington</t>
  </si>
  <si>
    <t>Portsmouth</t>
  </si>
  <si>
    <t>NEW JERSEY</t>
  </si>
  <si>
    <t>Atlantic City</t>
  </si>
  <si>
    <t>Trenton</t>
  </si>
  <si>
    <t>Newark</t>
  </si>
  <si>
    <t>NEW MEXICO</t>
  </si>
  <si>
    <t>Alamagordo</t>
  </si>
  <si>
    <t>Albuquerque</t>
  </si>
  <si>
    <t>Clayton</t>
  </si>
  <si>
    <t>Clovis</t>
  </si>
  <si>
    <t>Roswell</t>
  </si>
  <si>
    <t>NEW YORK</t>
  </si>
  <si>
    <t>Binghamton</t>
  </si>
  <si>
    <t>Buffalo</t>
  </si>
  <si>
    <t>Islip</t>
  </si>
  <si>
    <t>Newburgh</t>
  </si>
  <si>
    <t>New York</t>
  </si>
  <si>
    <t>Niagara Falls</t>
  </si>
  <si>
    <t>Plattsburgh</t>
  </si>
  <si>
    <t>Rome</t>
  </si>
  <si>
    <t>Syracuse</t>
  </si>
  <si>
    <t>Suffolk</t>
  </si>
  <si>
    <t>NORTH CAROLINA</t>
  </si>
  <si>
    <t>Asheville</t>
  </si>
  <si>
    <t>Charlotte</t>
  </si>
  <si>
    <t>Cherry Point</t>
  </si>
  <si>
    <t>Fayetteville</t>
  </si>
  <si>
    <t>Goldsboro</t>
  </si>
  <si>
    <t>Greensboro</t>
  </si>
  <si>
    <t>Raleigh</t>
  </si>
  <si>
    <t>North Dakota</t>
  </si>
  <si>
    <t>Bismarck</t>
  </si>
  <si>
    <t>Fargo</t>
  </si>
  <si>
    <t>Grand Forks</t>
  </si>
  <si>
    <t>Minot</t>
  </si>
  <si>
    <t>Williston</t>
  </si>
  <si>
    <t>OHIO</t>
  </si>
  <si>
    <t>Akron</t>
  </si>
  <si>
    <t>Cincinnati</t>
  </si>
  <si>
    <t>Cleveland</t>
  </si>
  <si>
    <t>Dayton</t>
  </si>
  <si>
    <t>Mansfield</t>
  </si>
  <si>
    <t>Toledo</t>
  </si>
  <si>
    <t>Youngstown</t>
  </si>
  <si>
    <t>OKLAHOMA</t>
  </si>
  <si>
    <t>Altus</t>
  </si>
  <si>
    <t>Burns Flat</t>
  </si>
  <si>
    <t>Enid</t>
  </si>
  <si>
    <t>Oklahoma City</t>
  </si>
  <si>
    <t>Tulsa</t>
  </si>
  <si>
    <t>OREGON</t>
  </si>
  <si>
    <t>Astoria</t>
  </si>
  <si>
    <t>Burns</t>
  </si>
  <si>
    <t>Eugene</t>
  </si>
  <si>
    <t>Medford</t>
  </si>
  <si>
    <t>Pendleton</t>
  </si>
  <si>
    <t>Salem</t>
  </si>
  <si>
    <t>PENNSYLVANIA</t>
  </si>
  <si>
    <t>Allentown</t>
  </si>
  <si>
    <t>Scranton</t>
  </si>
  <si>
    <t>Erie</t>
  </si>
  <si>
    <t>Middletown</t>
  </si>
  <si>
    <t>Philadelphia</t>
  </si>
  <si>
    <t>Pittsburgh</t>
  </si>
  <si>
    <t>Williamsport</t>
  </si>
  <si>
    <t>RHODE ISLAND</t>
  </si>
  <si>
    <t>Providence</t>
  </si>
  <si>
    <t>SOUTH CAROLINA</t>
  </si>
  <si>
    <t>Beaufort</t>
  </si>
  <si>
    <t>Charleston</t>
  </si>
  <si>
    <t>Greenville</t>
  </si>
  <si>
    <t>Myrtle Beach</t>
  </si>
  <si>
    <t>SOUTH DAKOTA</t>
  </si>
  <si>
    <t>Aberdeen</t>
  </si>
  <si>
    <t>Huron</t>
  </si>
  <si>
    <t>Rapid City</t>
  </si>
  <si>
    <t>Sioux Falls</t>
  </si>
  <si>
    <t>TENNESSEE</t>
  </si>
  <si>
    <t>Bristol</t>
  </si>
  <si>
    <t>Chattanooga</t>
  </si>
  <si>
    <t>Knoxville</t>
  </si>
  <si>
    <t>Memphis</t>
  </si>
  <si>
    <t>Nashville</t>
  </si>
  <si>
    <t>Oak Ridge</t>
  </si>
  <si>
    <t>TEXAS</t>
  </si>
  <si>
    <t>Abilene</t>
  </si>
  <si>
    <t>Amarillo</t>
  </si>
  <si>
    <t>Austin</t>
  </si>
  <si>
    <t>Brownsville</t>
  </si>
  <si>
    <t>Corpus Christi</t>
  </si>
  <si>
    <t>Dallas</t>
  </si>
  <si>
    <t>El Paso</t>
  </si>
  <si>
    <t>Houston</t>
  </si>
  <si>
    <t>Laredo</t>
  </si>
  <si>
    <t>Lubbock</t>
  </si>
  <si>
    <t>Midland</t>
  </si>
  <si>
    <t>Port Arthur</t>
  </si>
  <si>
    <t>San Angelo</t>
  </si>
  <si>
    <t>San Antonio</t>
  </si>
  <si>
    <t>Sherman</t>
  </si>
  <si>
    <t>Waco</t>
  </si>
  <si>
    <t>Wichita Falls</t>
  </si>
  <si>
    <t>UTAH</t>
  </si>
  <si>
    <t>Salt Lake City</t>
  </si>
  <si>
    <t>Wendover</t>
  </si>
  <si>
    <t>VERMONT</t>
  </si>
  <si>
    <t>Burlington</t>
  </si>
  <si>
    <t>VIRGINIA</t>
  </si>
  <si>
    <t>Hampton</t>
  </si>
  <si>
    <t>Lynchburg</t>
  </si>
  <si>
    <t>Quantico</t>
  </si>
  <si>
    <t>Richmond</t>
  </si>
  <si>
    <t>WASHINGTON</t>
  </si>
  <si>
    <t>Everett</t>
  </si>
  <si>
    <t>Olympia</t>
  </si>
  <si>
    <t>Seattle</t>
  </si>
  <si>
    <t>Spokane</t>
  </si>
  <si>
    <t>Walla Walla</t>
  </si>
  <si>
    <t>Yakima</t>
  </si>
  <si>
    <t>WEST VIRGINIA</t>
  </si>
  <si>
    <t>Beckley</t>
  </si>
  <si>
    <t>Elkins</t>
  </si>
  <si>
    <t>Huntington</t>
  </si>
  <si>
    <t>WISCONSIN</t>
  </si>
  <si>
    <t>Green Bay</t>
  </si>
  <si>
    <t>La Crosse</t>
  </si>
  <si>
    <t>Madison</t>
  </si>
  <si>
    <t>Milwaukee</t>
  </si>
  <si>
    <t>WYOMING</t>
  </si>
  <si>
    <t>Casper</t>
  </si>
  <si>
    <t>Cheyenne</t>
  </si>
  <si>
    <t>Lander</t>
  </si>
  <si>
    <t>Sheridan</t>
  </si>
  <si>
    <t>HUNTSVILLE</t>
  </si>
  <si>
    <t>STANDARD</t>
  </si>
  <si>
    <t>AL</t>
  </si>
  <si>
    <t>PRIMARY</t>
  </si>
  <si>
    <t>City</t>
  </si>
  <si>
    <t>State</t>
  </si>
  <si>
    <t>Zipcode</t>
  </si>
  <si>
    <t>MOBILE</t>
  </si>
  <si>
    <t>PO BOX</t>
  </si>
  <si>
    <t>MONTGOMERY</t>
  </si>
  <si>
    <t>Latitude</t>
  </si>
  <si>
    <t>Longitude</t>
  </si>
  <si>
    <t>ZipType</t>
  </si>
  <si>
    <t>LocationType</t>
  </si>
  <si>
    <t>Estimated Pop.</t>
  </si>
  <si>
    <t>OZARK</t>
  </si>
  <si>
    <t>FORT RUCKER</t>
  </si>
  <si>
    <t>ANCHORAGE</t>
  </si>
  <si>
    <t>AK</t>
  </si>
  <si>
    <t>BARROW</t>
  </si>
  <si>
    <t>COLD BAY</t>
  </si>
  <si>
    <t>FAIRBANKS</t>
  </si>
  <si>
    <t>JUNEAU</t>
  </si>
  <si>
    <t>KODIAK</t>
  </si>
  <si>
    <t>NOME</t>
  </si>
  <si>
    <t>FLAGSTAFF</t>
  </si>
  <si>
    <t>AZ</t>
  </si>
  <si>
    <t>PHOENIX</t>
  </si>
  <si>
    <t>TUCSON</t>
  </si>
  <si>
    <t>WINSLOW</t>
  </si>
  <si>
    <t>YUMA</t>
  </si>
  <si>
    <t>BLYTHEVILLE</t>
  </si>
  <si>
    <t>AR</t>
  </si>
  <si>
    <t>FORT SMITH</t>
  </si>
  <si>
    <t>LITTLE ROCK</t>
  </si>
  <si>
    <t>NORTH LITTLE ROCK</t>
  </si>
  <si>
    <t>ALAMEDA</t>
  </si>
  <si>
    <t>CA</t>
  </si>
  <si>
    <t>SAN BERNARDINO</t>
  </si>
  <si>
    <t>BAKERSFIELD</t>
  </si>
  <si>
    <t>BISHOP</t>
  </si>
  <si>
    <t>CAMP PENDLETON</t>
  </si>
  <si>
    <t>EDWARDS</t>
  </si>
  <si>
    <t>EUREKA</t>
  </si>
  <si>
    <t>FAIRFIELD</t>
  </si>
  <si>
    <t>FRESNO</t>
  </si>
  <si>
    <t>LONG BEACH</t>
  </si>
  <si>
    <t>UNIQUE</t>
  </si>
  <si>
    <t>EL SEGUNDO</t>
  </si>
  <si>
    <t>LOS ANGELES</t>
  </si>
  <si>
    <t>MARYSVILLE</t>
  </si>
  <si>
    <t>MONTEREY</t>
  </si>
  <si>
    <t>MOUNTAIN VIEW</t>
  </si>
  <si>
    <t>PALMDALE</t>
  </si>
  <si>
    <t>RED BLUFF</t>
  </si>
  <si>
    <t>REDDING</t>
  </si>
  <si>
    <t>RIVERSIDE</t>
  </si>
  <si>
    <t>SACRAMENTO</t>
  </si>
  <si>
    <t>SAN DIEGO</t>
  </si>
  <si>
    <t>SAN CLEMENTE</t>
  </si>
  <si>
    <t>SAN FRANCISCO</t>
  </si>
  <si>
    <t>SANTA ANA</t>
  </si>
  <si>
    <t>SANTA BARBARA</t>
  </si>
  <si>
    <t>SANTA MARIA</t>
  </si>
  <si>
    <t>STOCKTON</t>
  </si>
  <si>
    <t>ALAMOSA</t>
  </si>
  <si>
    <t>CO</t>
  </si>
  <si>
    <t>COLORADO SPRINGS</t>
  </si>
  <si>
    <t>DENVER</t>
  </si>
  <si>
    <t>GRAND JUNCTION</t>
  </si>
  <si>
    <t>PUEBLO</t>
  </si>
  <si>
    <t>BRIDGEPORT</t>
  </si>
  <si>
    <t>CT</t>
  </si>
  <si>
    <t>HARTFORD</t>
  </si>
  <si>
    <t>Dover</t>
  </si>
  <si>
    <t>DOVER</t>
  </si>
  <si>
    <t>DE</t>
  </si>
  <si>
    <t>WILMINGTON</t>
  </si>
  <si>
    <t>WASHINGTON NAVY YARD</t>
  </si>
  <si>
    <t>DC</t>
  </si>
  <si>
    <t>APALACHICOLA</t>
  </si>
  <si>
    <t>FL</t>
  </si>
  <si>
    <t>DAYTONA BEACH</t>
  </si>
  <si>
    <t>COCOA BEACH</t>
  </si>
  <si>
    <t>FORT MYERS</t>
  </si>
  <si>
    <t>GAINESVILLE</t>
  </si>
  <si>
    <t>JACKSONVILLE</t>
  </si>
  <si>
    <t>KEY WEST</t>
  </si>
  <si>
    <t>MIAMI</t>
  </si>
  <si>
    <t>ORLANDO</t>
  </si>
  <si>
    <t>PANAMA CITY</t>
  </si>
  <si>
    <t>PENSACOLA</t>
  </si>
  <si>
    <t>TALLAHASSEE</t>
  </si>
  <si>
    <t>TAMPA</t>
  </si>
  <si>
    <t>VERO BEACH</t>
  </si>
  <si>
    <t>WEST PALM BEACH</t>
  </si>
  <si>
    <t>ALBANY</t>
  </si>
  <si>
    <t>GA</t>
  </si>
  <si>
    <t>ATHENS</t>
  </si>
  <si>
    <t>ATLANTA</t>
  </si>
  <si>
    <t>AUGUSTA</t>
  </si>
  <si>
    <t>BRUNSWICK</t>
  </si>
  <si>
    <t>COLUMBUS</t>
  </si>
  <si>
    <t>MACON</t>
  </si>
  <si>
    <t>SAVANNAH</t>
  </si>
  <si>
    <t>VALDOSTA</t>
  </si>
  <si>
    <t>KANEOHE BAY</t>
  </si>
  <si>
    <t>HI</t>
  </si>
  <si>
    <t>HILO</t>
  </si>
  <si>
    <t>HONOLULU</t>
  </si>
  <si>
    <t>KAHULUI</t>
  </si>
  <si>
    <t>LIHUE</t>
  </si>
  <si>
    <t>PEARL CITY</t>
  </si>
  <si>
    <t>WAHIAWA</t>
  </si>
  <si>
    <t>BOISE</t>
  </si>
  <si>
    <t>ID</t>
  </si>
  <si>
    <t>LEWISTON</t>
  </si>
  <si>
    <t>POCATELLO</t>
  </si>
  <si>
    <t>ELK GROVE VILLAGE</t>
  </si>
  <si>
    <t>IL</t>
  </si>
  <si>
    <t>BURBANK</t>
  </si>
  <si>
    <t>MOLINE</t>
  </si>
  <si>
    <t>PEORIA</t>
  </si>
  <si>
    <t>RANTOUL</t>
  </si>
  <si>
    <t>ROCKFORD</t>
  </si>
  <si>
    <t>SPRINGFIELD</t>
  </si>
  <si>
    <t>IN</t>
  </si>
  <si>
    <t>EVANSVILLE</t>
  </si>
  <si>
    <t>FORT WAYNE</t>
  </si>
  <si>
    <t>INDIANAPOLIS</t>
  </si>
  <si>
    <t>PERU</t>
  </si>
  <si>
    <t>HIGHLAND</t>
  </si>
  <si>
    <t>DES MOINES</t>
  </si>
  <si>
    <t>IA</t>
  </si>
  <si>
    <t>DUBUQUE</t>
  </si>
  <si>
    <t>SIOUX CITY</t>
  </si>
  <si>
    <t>WATERLOO</t>
  </si>
  <si>
    <t>CONCORDIA</t>
  </si>
  <si>
    <t>KS</t>
  </si>
  <si>
    <t>DODGE CITY</t>
  </si>
  <si>
    <t>GOODLAND</t>
  </si>
  <si>
    <t>TOPEKA</t>
  </si>
  <si>
    <t>WICHITA</t>
  </si>
  <si>
    <t>KY</t>
  </si>
  <si>
    <t>JACKSON</t>
  </si>
  <si>
    <t>LEXINGTON</t>
  </si>
  <si>
    <t>LOUISVILLE</t>
  </si>
  <si>
    <t>PADUCAH</t>
  </si>
  <si>
    <t>ALEXANDRIA</t>
  </si>
  <si>
    <t>LA</t>
  </si>
  <si>
    <t>BATON ROUGE</t>
  </si>
  <si>
    <t>LAKE CHARLES</t>
  </si>
  <si>
    <t>NEW ORLEANS</t>
  </si>
  <si>
    <t>SHREVEPORT</t>
  </si>
  <si>
    <t>BANGOR</t>
  </si>
  <si>
    <t>ME</t>
  </si>
  <si>
    <t>CARIBOU</t>
  </si>
  <si>
    <t>PORTLAND</t>
  </si>
  <si>
    <t>BALTIMORE</t>
  </si>
  <si>
    <t>MD</t>
  </si>
  <si>
    <t>PATUXENT RIVER</t>
  </si>
  <si>
    <t>BOSTON</t>
  </si>
  <si>
    <t>MA</t>
  </si>
  <si>
    <t>CHICOPEE</t>
  </si>
  <si>
    <t>FALMOUTH</t>
  </si>
  <si>
    <t>MILTON</t>
  </si>
  <si>
    <t>WORCESTER</t>
  </si>
  <si>
    <t>ALPENA</t>
  </si>
  <si>
    <t>MI</t>
  </si>
  <si>
    <t>DETROIT</t>
  </si>
  <si>
    <t>FLINT</t>
  </si>
  <si>
    <t>GRAND RAPIDS</t>
  </si>
  <si>
    <t>LANSING</t>
  </si>
  <si>
    <t>MARQUETTE</t>
  </si>
  <si>
    <t>MUSKEGON</t>
  </si>
  <si>
    <t>SAWYER</t>
  </si>
  <si>
    <t>SAULT SAINTE MARIE</t>
  </si>
  <si>
    <t>DULUTH</t>
  </si>
  <si>
    <t>MN</t>
  </si>
  <si>
    <t>INTERNATIONAL FALLS</t>
  </si>
  <si>
    <t>MINNEAPOLIS</t>
  </si>
  <si>
    <t>ROCHESTER</t>
  </si>
  <si>
    <t>SAINT CLOUD</t>
  </si>
  <si>
    <t>BILOXI</t>
  </si>
  <si>
    <t>MS</t>
  </si>
  <si>
    <t>MERIDIAN</t>
  </si>
  <si>
    <t>TUPELO</t>
  </si>
  <si>
    <t>COLUMBIA</t>
  </si>
  <si>
    <t>MO</t>
  </si>
  <si>
    <t>KANSAS CITY</t>
  </si>
  <si>
    <t>SAINT LOUIS</t>
  </si>
  <si>
    <t>BILLINGS</t>
  </si>
  <si>
    <t>MT</t>
  </si>
  <si>
    <t>GLASGOW</t>
  </si>
  <si>
    <t>GREAT FALLS</t>
  </si>
  <si>
    <t>HAVRE</t>
  </si>
  <si>
    <t>HELENA</t>
  </si>
  <si>
    <t>KALISPELL</t>
  </si>
  <si>
    <t>MISSOULA</t>
  </si>
  <si>
    <t>GRAND ISLAND</t>
  </si>
  <si>
    <t>NE</t>
  </si>
  <si>
    <t>LINCOLN</t>
  </si>
  <si>
    <t>NORFOLK</t>
  </si>
  <si>
    <t>NORTH PLATTE</t>
  </si>
  <si>
    <t>OMAHA</t>
  </si>
  <si>
    <t>SCOTTSBLUFF</t>
  </si>
  <si>
    <t>VALENTINE</t>
  </si>
  <si>
    <t>ELKO</t>
  </si>
  <si>
    <t>NV</t>
  </si>
  <si>
    <t>ELY</t>
  </si>
  <si>
    <t>LAS VEGAS</t>
  </si>
  <si>
    <t>RENO</t>
  </si>
  <si>
    <t>WINNEMUCCA</t>
  </si>
  <si>
    <t>TONOPAH</t>
  </si>
  <si>
    <t>CONCORD</t>
  </si>
  <si>
    <t>NH</t>
  </si>
  <si>
    <t>MOUNT WASHINGTON</t>
  </si>
  <si>
    <t>PORTSMOUTH</t>
  </si>
  <si>
    <t>ATLANTIC CITY</t>
  </si>
  <si>
    <t>NJ</t>
  </si>
  <si>
    <t>TRENTON</t>
  </si>
  <si>
    <t>NEWARK</t>
  </si>
  <si>
    <t>NM</t>
  </si>
  <si>
    <t>ALBUQUERQUE</t>
  </si>
  <si>
    <t>CLAYTON</t>
  </si>
  <si>
    <t>CLOVIS</t>
  </si>
  <si>
    <t>ROSWELL</t>
  </si>
  <si>
    <t>NY</t>
  </si>
  <si>
    <t>BINGHAMTON</t>
  </si>
  <si>
    <t>BUFFALO</t>
  </si>
  <si>
    <t>ISLIP</t>
  </si>
  <si>
    <t>NEWBURGH</t>
  </si>
  <si>
    <t>NEW YORK</t>
  </si>
  <si>
    <t>NIAGARA FALLS</t>
  </si>
  <si>
    <t>PLATTSBURGH</t>
  </si>
  <si>
    <t>ROME</t>
  </si>
  <si>
    <t>SYRACUSE</t>
  </si>
  <si>
    <t>NEW SUFFOLK</t>
  </si>
  <si>
    <t>ASHEVILLE</t>
  </si>
  <si>
    <t>NC</t>
  </si>
  <si>
    <t>CHARLOTTE</t>
  </si>
  <si>
    <t>CHERRY POINT</t>
  </si>
  <si>
    <t>FAYETTEVILLE</t>
  </si>
  <si>
    <t>GOLDSBORO</t>
  </si>
  <si>
    <t>GREENSBORO</t>
  </si>
  <si>
    <t>RALEIGH</t>
  </si>
  <si>
    <t>BISMARCK</t>
  </si>
  <si>
    <t>ND</t>
  </si>
  <si>
    <t>FARGO</t>
  </si>
  <si>
    <t>GRAND FORKS</t>
  </si>
  <si>
    <t>MINOT</t>
  </si>
  <si>
    <t>WILLISTON</t>
  </si>
  <si>
    <t>AKRON</t>
  </si>
  <si>
    <t>OH</t>
  </si>
  <si>
    <t>CINCINNATI</t>
  </si>
  <si>
    <t>CLEVELAND</t>
  </si>
  <si>
    <t>DAYTON</t>
  </si>
  <si>
    <t>MANSFIELD</t>
  </si>
  <si>
    <t>TOLEDO</t>
  </si>
  <si>
    <t>YOUNGSTOWN</t>
  </si>
  <si>
    <t>ALTUS</t>
  </si>
  <si>
    <t>OK</t>
  </si>
  <si>
    <t>BURNS FLAT</t>
  </si>
  <si>
    <t>ENID</t>
  </si>
  <si>
    <t>OKLAHOMA CITY</t>
  </si>
  <si>
    <t>TULSA</t>
  </si>
  <si>
    <t>ASTORIA</t>
  </si>
  <si>
    <t>OR</t>
  </si>
  <si>
    <t>BURNS</t>
  </si>
  <si>
    <t>EUGENE</t>
  </si>
  <si>
    <t>MEDFORD</t>
  </si>
  <si>
    <t>PENDLETON</t>
  </si>
  <si>
    <t>SALEM</t>
  </si>
  <si>
    <t>ALLENTOWN</t>
  </si>
  <si>
    <t>PA</t>
  </si>
  <si>
    <t>SCRANTON</t>
  </si>
  <si>
    <t>ERIE</t>
  </si>
  <si>
    <t>MIDDLETOWN</t>
  </si>
  <si>
    <t>PHILADELPHIA</t>
  </si>
  <si>
    <t>PITTSBURGH</t>
  </si>
  <si>
    <t>WILLIAMSPORT</t>
  </si>
  <si>
    <t>PROVIDENCE</t>
  </si>
  <si>
    <t>RI</t>
  </si>
  <si>
    <t>BEAUFORT</t>
  </si>
  <si>
    <t>SC</t>
  </si>
  <si>
    <t>CHARLESTON</t>
  </si>
  <si>
    <t>GREENVILLE</t>
  </si>
  <si>
    <t>MYRTLE BEACH</t>
  </si>
  <si>
    <t>ABERDEEN</t>
  </si>
  <si>
    <t>SD</t>
  </si>
  <si>
    <t>HURON</t>
  </si>
  <si>
    <t>RAPID CITY</t>
  </si>
  <si>
    <t>SIOUX FALLS</t>
  </si>
  <si>
    <t>BRISTOL</t>
  </si>
  <si>
    <t>TN</t>
  </si>
  <si>
    <t>CHATTANOOGA</t>
  </si>
  <si>
    <t>KNOXVILLE</t>
  </si>
  <si>
    <t>MEMPHIS</t>
  </si>
  <si>
    <t>NASHVILLE</t>
  </si>
  <si>
    <t>OAK RIDGE</t>
  </si>
  <si>
    <t>ABILENE</t>
  </si>
  <si>
    <t>TX</t>
  </si>
  <si>
    <t>AMARILLO</t>
  </si>
  <si>
    <t>AUSTIN</t>
  </si>
  <si>
    <t>BROWNSVILLE</t>
  </si>
  <si>
    <t>CORPUS CHRISTI</t>
  </si>
  <si>
    <t>DALLAS</t>
  </si>
  <si>
    <t>DEL RIO</t>
  </si>
  <si>
    <t>EL PASO</t>
  </si>
  <si>
    <t>GALVESTON</t>
  </si>
  <si>
    <t>HOUSTON</t>
  </si>
  <si>
    <t>LAREDO</t>
  </si>
  <si>
    <t>LUBBOCK</t>
  </si>
  <si>
    <t>MIDLAND</t>
  </si>
  <si>
    <t>PORT ARTHUR</t>
  </si>
  <si>
    <t>SAN ANGELO</t>
  </si>
  <si>
    <t>SAN ANTONIO</t>
  </si>
  <si>
    <t>SHERMAN</t>
  </si>
  <si>
    <t>WACO</t>
  </si>
  <si>
    <t>WICHITA FALLS</t>
  </si>
  <si>
    <t>SALT LAKE CITY</t>
  </si>
  <si>
    <t>UT</t>
  </si>
  <si>
    <t>WENDOVER</t>
  </si>
  <si>
    <t>BURLINGTON</t>
  </si>
  <si>
    <t>VT</t>
  </si>
  <si>
    <t>HAMPTON</t>
  </si>
  <si>
    <t>VA</t>
  </si>
  <si>
    <t>LYNCHBURG</t>
  </si>
  <si>
    <t>QUANTICO</t>
  </si>
  <si>
    <t>RICHMOND</t>
  </si>
  <si>
    <t>EVERETT</t>
  </si>
  <si>
    <t>WA</t>
  </si>
  <si>
    <t>OLYMPIA</t>
  </si>
  <si>
    <t>TACOMA</t>
  </si>
  <si>
    <t>SEATTLE</t>
  </si>
  <si>
    <t>SPOKANE</t>
  </si>
  <si>
    <t>WALLA WALLA</t>
  </si>
  <si>
    <t>YAKIMA</t>
  </si>
  <si>
    <t>BECKLEY</t>
  </si>
  <si>
    <t>WV</t>
  </si>
  <si>
    <t>ELKINS</t>
  </si>
  <si>
    <t>HUNTINGTON</t>
  </si>
  <si>
    <t>GREEN BAY</t>
  </si>
  <si>
    <t>WI</t>
  </si>
  <si>
    <t>LA CROSSE</t>
  </si>
  <si>
    <t>MADISON</t>
  </si>
  <si>
    <t>MILWAUKEE</t>
  </si>
  <si>
    <t>CASPER</t>
  </si>
  <si>
    <t>WY</t>
  </si>
  <si>
    <t>CHEYENNE</t>
  </si>
  <si>
    <t>LANDER</t>
  </si>
  <si>
    <t>SHERIDAN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</si>
  <si>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</si>
  <si>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</si>
  <si>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</si>
  <si>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</si>
  <si>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</si>
  <si>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</si>
  <si>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</si>
  <si>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</si>
  <si>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</si>
  <si>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</si>
  <si>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</si>
  <si>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</si>
  <si>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Annual</t>
  </si>
  <si>
    <t>South Bend</t>
  </si>
  <si>
    <t>ENE</t>
  </si>
  <si>
    <t>N</t>
  </si>
  <si>
    <t>S</t>
  </si>
  <si>
    <t>Roanoke</t>
  </si>
  <si>
    <t>Starting State</t>
  </si>
  <si>
    <t>Starting City</t>
  </si>
  <si>
    <t>Distance per Day (miles)</t>
  </si>
  <si>
    <t>DISTRICTOFCOLUMBIA</t>
  </si>
  <si>
    <t>ALABAMA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</si>
  <si>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</si>
  <si>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</si>
  <si>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</si>
  <si>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</si>
  <si>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</si>
  <si>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</si>
  <si>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</si>
  <si>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NorthDakota</t>
  </si>
  <si>
    <t>SOUTHCAROLINA</t>
  </si>
  <si>
    <t>SOUTHDAKOTA</t>
  </si>
  <si>
    <t>WESTVIRGINIA</t>
  </si>
  <si>
    <t>State:</t>
  </si>
  <si>
    <t>City:</t>
  </si>
  <si>
    <t>Latitude:</t>
  </si>
  <si>
    <t>Longitude:</t>
  </si>
  <si>
    <t>Distance</t>
  </si>
  <si>
    <t>Distance Between</t>
  </si>
  <si>
    <t>Latitude2</t>
  </si>
  <si>
    <t>Longitude2</t>
  </si>
  <si>
    <t>January</t>
  </si>
  <si>
    <t>Near Cities:</t>
  </si>
  <si>
    <t>City2</t>
  </si>
  <si>
    <t>State2</t>
  </si>
  <si>
    <t>SE</t>
  </si>
  <si>
    <t>NW</t>
  </si>
  <si>
    <t>W</t>
  </si>
  <si>
    <t>E</t>
  </si>
  <si>
    <t>SW</t>
  </si>
  <si>
    <t>Month:</t>
  </si>
  <si>
    <t>Current Wind:</t>
  </si>
  <si>
    <t>Wind Direction:</t>
  </si>
  <si>
    <t>Latitude Difference</t>
  </si>
  <si>
    <t>Longitude Difference</t>
  </si>
  <si>
    <t>OptimalDirection?</t>
  </si>
  <si>
    <t>Ranged City</t>
  </si>
  <si>
    <t>Zip</t>
  </si>
  <si>
    <t>Zip:</t>
  </si>
  <si>
    <t>IF(AND($B$5=H$6,(OR(AND($D7&lt;0,$E7&gt;0),AND($D7&lt;&gt;0,$E7&gt;0),AND($D7&gt;0,$E7&gt;0)))),1,0)</t>
  </si>
  <si>
    <t>Distances</t>
  </si>
  <si>
    <t>Date</t>
  </si>
  <si>
    <t>Leg 1</t>
  </si>
  <si>
    <t>Estimated Length</t>
  </si>
  <si>
    <t>Destination 1</t>
  </si>
  <si>
    <t>Leg 2</t>
  </si>
  <si>
    <t>Current Location</t>
  </si>
  <si>
    <t>Lat:</t>
  </si>
  <si>
    <t>Long: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</si>
</sst>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0"/>
      <color rgb="FF000000"/>
      <name val="Stout Deco"/>
    </font>
    <font>
      <sz val="9"/>
      <name val="Stout Deco"/>
    </font>
    <font>
      <sz val="10"/>
      <color theme="1"/>
      <name val="Times New Roman"/>
      <family val="1"/>
    </font>
    <font>
      <sz val="10"/>
      <color theme="1"/>
      <name val="Times New Roman"/>
      <family val="1"/>
      <charset val="204"/>
    </font>
    <font>
      <sz val="10"/>
      <color theme="1"/>
      <name val="Times New Roman"/>
      <charset val="204"/>
    </font>
    <font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9"/>
      <name val="Courier New"/>
    </font>
    <font>
      <sz val="9"/>
      <color rgb="FF000000"/>
      <name val="Courier New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4" borderId="0" applyNumberFormat="0" applyBorder="0" applyAlignment="0" applyProtection="0"/>
  </cellStyleXfs>
  <cellXfs count="75">
    <xf numFmtId="0" fontId="0" fillId="0" borderId="0" xfId="0"/>
    <xf numFmtId="0" fontId="1" fillId="0" borderId="0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/>
    <xf numFmtId="0" fontId="1" fillId="0" borderId="0" xfId="0" applyFont="1" applyFill="1" applyBorder="1" applyAlignment="1"/>
    <xf numFmtId="0" fontId="3" fillId="2" borderId="1" xfId="0" applyFont="1" applyFill="1" applyBorder="1" applyAlignment="1">
      <alignment horizontal="left" vertical="top"/>
    </xf>
    <xf numFmtId="0" fontId="0" fillId="2" borderId="0" xfId="0" applyFill="1"/>
    <xf numFmtId="0" fontId="3" fillId="2" borderId="2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6" fillId="3" borderId="0" xfId="0" applyFont="1" applyFill="1"/>
    <xf numFmtId="0" fontId="0" fillId="0" borderId="0" xfId="0" applyFill="1" applyBorder="1" applyAlignment="1">
      <alignment horizontal="left" vertical="top"/>
    </xf>
    <xf numFmtId="0" fontId="9" fillId="4" borderId="0" xfId="1" applyFont="1" applyBorder="1" applyAlignment="1">
      <alignment horizontal="left" vertical="top"/>
    </xf>
    <xf numFmtId="0" fontId="10" fillId="0" borderId="0" xfId="0" applyFont="1" applyFill="1" applyBorder="1" applyAlignment="1">
      <alignment horizontal="left" vertical="top"/>
    </xf>
    <xf numFmtId="0" fontId="11" fillId="0" borderId="0" xfId="0" applyFont="1" applyFill="1" applyBorder="1" applyAlignment="1">
      <alignment vertical="top" wrapText="1"/>
    </xf>
    <xf numFmtId="1" fontId="12" fillId="0" borderId="0" xfId="0" applyNumberFormat="1" applyFont="1" applyFill="1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3" fillId="2" borderId="3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/>
    </xf>
    <xf numFmtId="0" fontId="7" fillId="0" borderId="0" xfId="0" applyFont="1"/>
    <xf numFmtId="2" fontId="3" fillId="5" borderId="5" xfId="0" applyNumberFormat="1" applyFont="1" applyFill="1" applyBorder="1" applyAlignment="1">
      <alignment horizontal="left" vertical="top"/>
    </xf>
    <xf numFmtId="2" fontId="3" fillId="5" borderId="2" xfId="0" applyNumberFormat="1" applyFont="1" applyFill="1" applyBorder="1" applyAlignment="1">
      <alignment horizontal="left" vertical="top"/>
    </xf>
    <xf numFmtId="2" fontId="3" fillId="5" borderId="4" xfId="0" applyNumberFormat="1" applyFont="1" applyFill="1" applyBorder="1" applyAlignment="1">
      <alignment horizontal="left" vertical="top"/>
    </xf>
    <xf numFmtId="0" fontId="6" fillId="3" borderId="0" xfId="0" applyFont="1" applyFill="1" applyAlignment="1">
      <alignment wrapText="1"/>
    </xf>
    <xf numFmtId="0" fontId="3" fillId="6" borderId="5" xfId="0" applyFont="1" applyFill="1" applyBorder="1" applyAlignment="1">
      <alignment horizontal="left" vertical="top"/>
    </xf>
    <xf numFmtId="0" fontId="3" fillId="6" borderId="2" xfId="0" applyFont="1" applyFill="1" applyBorder="1" applyAlignment="1">
      <alignment horizontal="left" vertical="top"/>
    </xf>
    <xf numFmtId="0" fontId="3" fillId="6" borderId="4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0" fillId="5" borderId="0" xfId="0" applyFill="1"/>
    <xf numFmtId="0" fontId="4" fillId="5" borderId="1" xfId="0" applyFont="1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/>
    </xf>
    <xf numFmtId="0" fontId="5" fillId="5" borderId="2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13" fillId="8" borderId="0" xfId="0" applyNumberFormat="1" applyFont="1" applyFill="1"/>
    <xf numFmtId="0" fontId="0" fillId="7" borderId="0" xfId="0" applyFill="1"/>
    <xf numFmtId="0" fontId="0" fillId="9" borderId="0" xfId="0" applyFill="1"/>
    <xf numFmtId="0" fontId="0" fillId="10" borderId="0" xfId="0" applyFill="1"/>
    <xf numFmtId="0" fontId="0" fillId="0" borderId="0" xfId="0" applyFill="1"/>
    <xf numFmtId="14" fontId="0" fillId="0" borderId="0" xfId="0" applyNumberFormat="1"/>
    <xf numFmtId="0" fontId="14" fillId="11" borderId="0" xfId="0" applyFont="1" applyFill="1"/>
    <xf numFmtId="0" fontId="14" fillId="6" borderId="0" xfId="0" applyFont="1" applyFill="1"/>
    <xf numFmtId="0" fontId="14" fillId="8" borderId="0" xfId="0" applyFont="1" applyFill="1"/>
    <xf numFmtId="0" fontId="14" fillId="12" borderId="0" xfId="0" applyFont="1" applyFill="1"/>
    <xf numFmtId="0" fontId="8" fillId="0" borderId="0" xfId="0" applyFont="1"/>
    <xf numFmtId="0" fontId="0" fillId="13" borderId="0" xfId="0" applyFill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11" xfId="0" applyFill="1" applyBorder="1"/>
    <xf numFmtId="0" fontId="0" fillId="14" borderId="12" xfId="0" applyFill="1" applyBorder="1"/>
    <xf numFmtId="0" fontId="0" fillId="14" borderId="13" xfId="0" applyFill="1" applyBorder="1"/>
    <xf numFmtId="14" fontId="0" fillId="0" borderId="0" xfId="0" applyNumberFormat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15" borderId="0" xfId="0" applyFill="1" applyBorder="1"/>
    <xf numFmtId="0" fontId="8" fillId="3" borderId="0" xfId="0" applyFont="1" applyFill="1" applyAlignment="1">
      <alignment horizontal="center"/>
    </xf>
  </cellXfs>
  <cellStyles count="2">
    <cellStyle name="Accent1" xfId="1" builtinId="29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9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2" tint="-9.9978637043366805E-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</dxfs>
  <tableStyles count="0" defaultTableStyle="TableStyleMedium2" defaultPivotStyle="PivotStyleLight16"/>
  <colors>
    <mruColors>
      <color rgb="FFFF696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396240</xdr:colOff>
      <xdr:row>0</xdr:row>
      <xdr:rowOff>7620</xdr:rowOff>
    </xdr:from>
    <xdr:to>
      <xdr:col>9</xdr:col>
      <xdr:colOff>167640</xdr:colOff>
      <xdr:row>12</xdr:row>
      <xdr:rowOff>146393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B7607-22FD-4CAD-A4D9-ABDDE1A5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40" y="7620"/>
          <a:ext cx="7726680" cy="233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ind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Data"/>
      <sheetName val="California Example"/>
      <sheetName val="CleanData"/>
      <sheetName val="CityZipLookup"/>
      <sheetName val="Dashboard"/>
      <sheetName val="Notes"/>
      <sheetName val="Radius"/>
      <sheetName val="WindDirection"/>
      <sheetName val="GeoData"/>
      <sheetName val="GeoData2"/>
      <sheetName val="LatLong"/>
      <sheetName val="Conversions"/>
    </sheetNames>
    <sheetDataSet>
      <sheetData sheetId="0"/>
      <sheetData sheetId="1"/>
      <sheetData sheetId="2">
        <row r="2">
          <cell r="B2"/>
        </row>
        <row r="3">
          <cell r="B3"/>
        </row>
        <row r="5">
          <cell r="B5" t="str">
            <v>Huntsville</v>
          </cell>
          <cell r="D5" t="str">
            <v>ESE</v>
          </cell>
          <cell r="E5" t="str">
            <v>ESE</v>
          </cell>
          <cell r="F5" t="str">
            <v>ESE</v>
          </cell>
          <cell r="G5" t="str">
            <v>N</v>
          </cell>
          <cell r="H5" t="str">
            <v>N</v>
          </cell>
          <cell r="I5" t="str">
            <v>N</v>
          </cell>
          <cell r="J5" t="str">
            <v>ESE</v>
          </cell>
          <cell r="K5" t="str">
            <v>ESE</v>
          </cell>
          <cell r="L5" t="str">
            <v>ESE</v>
          </cell>
          <cell r="M5" t="str">
            <v>S</v>
          </cell>
          <cell r="N5" t="str">
            <v>S</v>
          </cell>
          <cell r="O5" t="str">
            <v>S</v>
          </cell>
          <cell r="P5" t="str">
            <v>ESE</v>
          </cell>
        </row>
        <row r="6">
          <cell r="B6"/>
          <cell r="D6">
            <v>9</v>
          </cell>
          <cell r="E6">
            <v>10</v>
          </cell>
          <cell r="F6">
            <v>10</v>
          </cell>
          <cell r="G6">
            <v>9</v>
          </cell>
          <cell r="H6">
            <v>8</v>
          </cell>
          <cell r="I6">
            <v>7</v>
          </cell>
          <cell r="J6">
            <v>6</v>
          </cell>
          <cell r="K6">
            <v>6</v>
          </cell>
          <cell r="L6">
            <v>7</v>
          </cell>
          <cell r="M6">
            <v>7</v>
          </cell>
          <cell r="N6">
            <v>8</v>
          </cell>
          <cell r="O6">
            <v>9</v>
          </cell>
          <cell r="P6">
            <v>8</v>
          </cell>
        </row>
        <row r="7">
          <cell r="B7"/>
          <cell r="D7">
            <v>43</v>
          </cell>
          <cell r="E7">
            <v>43</v>
          </cell>
          <cell r="F7">
            <v>40</v>
          </cell>
          <cell r="G7">
            <v>48</v>
          </cell>
          <cell r="H7">
            <v>45</v>
          </cell>
          <cell r="I7">
            <v>56</v>
          </cell>
          <cell r="J7">
            <v>64</v>
          </cell>
          <cell r="K7">
            <v>45</v>
          </cell>
          <cell r="L7">
            <v>46</v>
          </cell>
          <cell r="M7">
            <v>55</v>
          </cell>
          <cell r="N7">
            <v>43</v>
          </cell>
          <cell r="O7">
            <v>48</v>
          </cell>
          <cell r="P7">
            <v>64</v>
          </cell>
        </row>
        <row r="8">
          <cell r="B8" t="str">
            <v>Mobile</v>
          </cell>
          <cell r="C8"/>
          <cell r="D8" t="str">
            <v>N</v>
          </cell>
          <cell r="E8" t="str">
            <v>N</v>
          </cell>
          <cell r="F8" t="str">
            <v>N</v>
          </cell>
          <cell r="G8" t="str">
            <v>N</v>
          </cell>
          <cell r="H8" t="str">
            <v>SE</v>
          </cell>
          <cell r="I8" t="str">
            <v>SE</v>
          </cell>
          <cell r="J8" t="str">
            <v>SE</v>
          </cell>
          <cell r="K8" t="str">
            <v>SE</v>
          </cell>
          <cell r="L8" t="str">
            <v>S</v>
          </cell>
          <cell r="M8" t="str">
            <v>S</v>
          </cell>
          <cell r="N8" t="str">
            <v>S</v>
          </cell>
          <cell r="O8" t="str">
            <v>S</v>
          </cell>
          <cell r="P8" t="str">
            <v>S</v>
          </cell>
        </row>
        <row r="9">
          <cell r="B9"/>
          <cell r="C9"/>
          <cell r="D9">
            <v>10</v>
          </cell>
          <cell r="E9">
            <v>11</v>
          </cell>
          <cell r="F9">
            <v>11</v>
          </cell>
          <cell r="G9">
            <v>10</v>
          </cell>
          <cell r="H9">
            <v>9</v>
          </cell>
          <cell r="I9">
            <v>6</v>
          </cell>
          <cell r="J9">
            <v>7</v>
          </cell>
          <cell r="K9">
            <v>7</v>
          </cell>
          <cell r="L9">
            <v>8</v>
          </cell>
          <cell r="M9">
            <v>8</v>
          </cell>
          <cell r="N9">
            <v>9</v>
          </cell>
          <cell r="O9">
            <v>10</v>
          </cell>
          <cell r="P9">
            <v>9</v>
          </cell>
        </row>
        <row r="10">
          <cell r="B10"/>
          <cell r="C10"/>
          <cell r="D10">
            <v>45</v>
          </cell>
          <cell r="E10">
            <v>61</v>
          </cell>
          <cell r="F10">
            <v>55</v>
          </cell>
          <cell r="G10">
            <v>46</v>
          </cell>
          <cell r="H10">
            <v>62</v>
          </cell>
          <cell r="I10">
            <v>60</v>
          </cell>
          <cell r="J10">
            <v>64</v>
          </cell>
          <cell r="K10">
            <v>53</v>
          </cell>
          <cell r="L10">
            <v>60</v>
          </cell>
          <cell r="M10">
            <v>59</v>
          </cell>
          <cell r="N10">
            <v>48</v>
          </cell>
          <cell r="O10">
            <v>43</v>
          </cell>
          <cell r="P10">
            <v>64</v>
          </cell>
        </row>
        <row r="11">
          <cell r="B11" t="str">
            <v>Montgomery</v>
          </cell>
          <cell r="C11"/>
          <cell r="D11" t="str">
            <v>NW</v>
          </cell>
          <cell r="E11" t="str">
            <v>NW</v>
          </cell>
          <cell r="F11" t="str">
            <v>NW</v>
          </cell>
          <cell r="G11" t="str">
            <v>NW</v>
          </cell>
          <cell r="H11" t="str">
            <v>NW</v>
          </cell>
          <cell r="I11" t="str">
            <v>NW</v>
          </cell>
          <cell r="J11" t="str">
            <v>S</v>
          </cell>
          <cell r="K11" t="str">
            <v>S</v>
          </cell>
          <cell r="L11" t="str">
            <v>S</v>
          </cell>
          <cell r="M11" t="str">
            <v>S</v>
          </cell>
          <cell r="N11" t="str">
            <v>S</v>
          </cell>
          <cell r="O11" t="str">
            <v>S</v>
          </cell>
          <cell r="P11" t="str">
            <v>WNW</v>
          </cell>
        </row>
        <row r="12">
          <cell r="B12"/>
          <cell r="C12"/>
          <cell r="D12">
            <v>8</v>
          </cell>
          <cell r="E12">
            <v>8</v>
          </cell>
          <cell r="F12">
            <v>8</v>
          </cell>
          <cell r="G12">
            <v>7</v>
          </cell>
          <cell r="H12">
            <v>6</v>
          </cell>
          <cell r="I12">
            <v>6</v>
          </cell>
          <cell r="J12">
            <v>6</v>
          </cell>
          <cell r="K12">
            <v>5</v>
          </cell>
          <cell r="L12">
            <v>6</v>
          </cell>
          <cell r="M12">
            <v>6</v>
          </cell>
          <cell r="N12">
            <v>7</v>
          </cell>
          <cell r="O12">
            <v>7</v>
          </cell>
          <cell r="P12">
            <v>7</v>
          </cell>
        </row>
        <row r="13">
          <cell r="B13"/>
          <cell r="C13"/>
          <cell r="D13">
            <v>43</v>
          </cell>
          <cell r="E13">
            <v>66</v>
          </cell>
          <cell r="F13">
            <v>54</v>
          </cell>
          <cell r="G13">
            <v>60</v>
          </cell>
          <cell r="H13">
            <v>60</v>
          </cell>
          <cell r="I13">
            <v>60</v>
          </cell>
          <cell r="J13">
            <v>55</v>
          </cell>
          <cell r="K13">
            <v>59</v>
          </cell>
          <cell r="L13">
            <v>41</v>
          </cell>
          <cell r="M13">
            <v>73</v>
          </cell>
          <cell r="N13">
            <v>56</v>
          </cell>
          <cell r="O13">
            <v>48</v>
          </cell>
          <cell r="P13">
            <v>73</v>
          </cell>
        </row>
        <row r="14">
          <cell r="B14" t="str">
            <v>Ozark</v>
          </cell>
          <cell r="C14"/>
          <cell r="D14" t="str">
            <v>NW</v>
          </cell>
          <cell r="E14" t="str">
            <v>N</v>
          </cell>
          <cell r="F14" t="str">
            <v>S</v>
          </cell>
          <cell r="G14" t="str">
            <v>S</v>
          </cell>
          <cell r="H14" t="str">
            <v>S</v>
          </cell>
          <cell r="I14" t="str">
            <v>W</v>
          </cell>
          <cell r="J14" t="str">
            <v>W</v>
          </cell>
          <cell r="K14" t="str">
            <v>E</v>
          </cell>
          <cell r="L14" t="str">
            <v>ENE</v>
          </cell>
          <cell r="M14" t="str">
            <v>E</v>
          </cell>
          <cell r="N14" t="str">
            <v>NNW</v>
          </cell>
          <cell r="O14" t="str">
            <v>NW</v>
          </cell>
          <cell r="P14" t="str">
            <v>E</v>
          </cell>
        </row>
        <row r="15">
          <cell r="B15" t="str">
            <v>Ft Rucker</v>
          </cell>
          <cell r="C15"/>
          <cell r="D15">
            <v>6</v>
          </cell>
          <cell r="E15">
            <v>6</v>
          </cell>
          <cell r="F15">
            <v>7</v>
          </cell>
          <cell r="G15">
            <v>6</v>
          </cell>
          <cell r="H15">
            <v>5</v>
          </cell>
          <cell r="I15">
            <v>3</v>
          </cell>
          <cell r="J15">
            <v>3</v>
          </cell>
          <cell r="K15">
            <v>3</v>
          </cell>
          <cell r="L15">
            <v>3</v>
          </cell>
          <cell r="M15">
            <v>5</v>
          </cell>
          <cell r="N15">
            <v>5</v>
          </cell>
          <cell r="O15">
            <v>6</v>
          </cell>
          <cell r="P15">
            <v>5</v>
          </cell>
        </row>
        <row r="16">
          <cell r="B16"/>
          <cell r="C16"/>
          <cell r="D16">
            <v>46</v>
          </cell>
          <cell r="E16">
            <v>64</v>
          </cell>
          <cell r="F16">
            <v>74</v>
          </cell>
          <cell r="G16">
            <v>61</v>
          </cell>
          <cell r="H16">
            <v>71</v>
          </cell>
          <cell r="I16">
            <v>60</v>
          </cell>
          <cell r="J16">
            <v>58</v>
          </cell>
          <cell r="K16">
            <v>60</v>
          </cell>
          <cell r="L16">
            <v>82</v>
          </cell>
          <cell r="M16">
            <v>48</v>
          </cell>
          <cell r="N16">
            <v>52</v>
          </cell>
          <cell r="O16">
            <v>44</v>
          </cell>
          <cell r="P16">
            <v>82</v>
          </cell>
        </row>
        <row r="17"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</row>
        <row r="18">
          <cell r="B18" t="str">
            <v>Anchorage</v>
          </cell>
          <cell r="C18"/>
          <cell r="D18" t="str">
            <v>N</v>
          </cell>
          <cell r="E18" t="str">
            <v>N</v>
          </cell>
          <cell r="F18" t="str">
            <v>N</v>
          </cell>
          <cell r="G18" t="str">
            <v>S</v>
          </cell>
          <cell r="H18" t="str">
            <v>SSE</v>
          </cell>
          <cell r="I18" t="str">
            <v>SSE</v>
          </cell>
          <cell r="J18" t="str">
            <v>SSE</v>
          </cell>
          <cell r="K18" t="str">
            <v>SSE</v>
          </cell>
          <cell r="L18" t="str">
            <v>SSE</v>
          </cell>
          <cell r="M18" t="str">
            <v>N</v>
          </cell>
          <cell r="N18" t="str">
            <v>N</v>
          </cell>
          <cell r="O18" t="str">
            <v>N</v>
          </cell>
          <cell r="P18" t="str">
            <v>N</v>
          </cell>
        </row>
        <row r="19">
          <cell r="B19"/>
          <cell r="C19"/>
          <cell r="D19">
            <v>6</v>
          </cell>
          <cell r="E19">
            <v>7</v>
          </cell>
          <cell r="F19">
            <v>7</v>
          </cell>
          <cell r="G19">
            <v>7</v>
          </cell>
          <cell r="H19">
            <v>8</v>
          </cell>
          <cell r="I19">
            <v>8</v>
          </cell>
          <cell r="J19">
            <v>7</v>
          </cell>
          <cell r="K19">
            <v>7</v>
          </cell>
          <cell r="L19">
            <v>7</v>
          </cell>
          <cell r="M19">
            <v>7</v>
          </cell>
          <cell r="N19">
            <v>7</v>
          </cell>
          <cell r="O19">
            <v>6</v>
          </cell>
          <cell r="P19">
            <v>7</v>
          </cell>
        </row>
        <row r="20">
          <cell r="B20"/>
          <cell r="C20"/>
          <cell r="D20">
            <v>64</v>
          </cell>
          <cell r="E20">
            <v>61</v>
          </cell>
          <cell r="F20">
            <v>75</v>
          </cell>
          <cell r="G20">
            <v>44</v>
          </cell>
          <cell r="H20">
            <v>43</v>
          </cell>
          <cell r="I20">
            <v>46</v>
          </cell>
          <cell r="J20">
            <v>40</v>
          </cell>
          <cell r="K20">
            <v>44</v>
          </cell>
          <cell r="L20">
            <v>48</v>
          </cell>
          <cell r="M20">
            <v>55</v>
          </cell>
          <cell r="N20">
            <v>55</v>
          </cell>
          <cell r="O20">
            <v>55</v>
          </cell>
          <cell r="P20">
            <v>75</v>
          </cell>
        </row>
        <row r="21">
          <cell r="B21" t="str">
            <v>Barrow</v>
          </cell>
          <cell r="C21"/>
          <cell r="D21" t="str">
            <v>ENE</v>
          </cell>
          <cell r="E21" t="str">
            <v>ENE</v>
          </cell>
          <cell r="F21" t="str">
            <v>ENE</v>
          </cell>
          <cell r="G21" t="str">
            <v>ENE</v>
          </cell>
          <cell r="H21" t="str">
            <v>ENE</v>
          </cell>
          <cell r="I21" t="str">
            <v>E</v>
          </cell>
          <cell r="J21" t="str">
            <v>E</v>
          </cell>
          <cell r="K21" t="str">
            <v>E</v>
          </cell>
          <cell r="L21" t="str">
            <v>ENE</v>
          </cell>
          <cell r="M21" t="str">
            <v>ENE</v>
          </cell>
          <cell r="N21" t="str">
            <v>ENE</v>
          </cell>
          <cell r="O21" t="str">
            <v>ENE</v>
          </cell>
          <cell r="P21" t="str">
            <v>ENE</v>
          </cell>
        </row>
        <row r="22">
          <cell r="B22"/>
          <cell r="C22"/>
          <cell r="D22">
            <v>12</v>
          </cell>
          <cell r="E22">
            <v>11</v>
          </cell>
          <cell r="F22">
            <v>11</v>
          </cell>
          <cell r="G22">
            <v>12</v>
          </cell>
          <cell r="H22">
            <v>12</v>
          </cell>
          <cell r="I22">
            <v>12</v>
          </cell>
          <cell r="J22">
            <v>12</v>
          </cell>
          <cell r="K22">
            <v>12</v>
          </cell>
          <cell r="L22">
            <v>13</v>
          </cell>
          <cell r="M22">
            <v>13</v>
          </cell>
          <cell r="N22">
            <v>12</v>
          </cell>
          <cell r="O22">
            <v>12</v>
          </cell>
          <cell r="P22">
            <v>12</v>
          </cell>
        </row>
        <row r="23">
          <cell r="B23"/>
          <cell r="C23"/>
          <cell r="D23">
            <v>58</v>
          </cell>
          <cell r="E23">
            <v>74</v>
          </cell>
          <cell r="F23">
            <v>56</v>
          </cell>
          <cell r="G23">
            <v>47</v>
          </cell>
          <cell r="H23">
            <v>41</v>
          </cell>
          <cell r="I23">
            <v>43</v>
          </cell>
          <cell r="J23">
            <v>55</v>
          </cell>
          <cell r="K23">
            <v>47</v>
          </cell>
          <cell r="L23">
            <v>66</v>
          </cell>
          <cell r="M23">
            <v>54</v>
          </cell>
          <cell r="N23">
            <v>53</v>
          </cell>
          <cell r="O23">
            <v>61</v>
          </cell>
          <cell r="P23">
            <v>74</v>
          </cell>
        </row>
        <row r="24">
          <cell r="B24" t="str">
            <v>Cold Bay</v>
          </cell>
          <cell r="C24"/>
          <cell r="D24" t="str">
            <v>SSE</v>
          </cell>
          <cell r="E24" t="str">
            <v>SE</v>
          </cell>
          <cell r="F24" t="str">
            <v>SE</v>
          </cell>
          <cell r="G24" t="str">
            <v>NNW</v>
          </cell>
          <cell r="H24" t="str">
            <v>SSE</v>
          </cell>
          <cell r="I24" t="str">
            <v>SSE</v>
          </cell>
          <cell r="J24" t="str">
            <v>SSE</v>
          </cell>
          <cell r="K24" t="str">
            <v>SSE</v>
          </cell>
          <cell r="L24" t="str">
            <v>SSE</v>
          </cell>
          <cell r="M24" t="str">
            <v>NNW</v>
          </cell>
          <cell r="N24" t="str">
            <v>NNW</v>
          </cell>
          <cell r="O24" t="str">
            <v>SSE</v>
          </cell>
          <cell r="P24" t="str">
            <v>SSE</v>
          </cell>
        </row>
        <row r="25">
          <cell r="B25"/>
          <cell r="C25"/>
          <cell r="D25">
            <v>18</v>
          </cell>
          <cell r="E25">
            <v>18</v>
          </cell>
          <cell r="F25">
            <v>17</v>
          </cell>
          <cell r="G25">
            <v>17</v>
          </cell>
          <cell r="H25">
            <v>16</v>
          </cell>
          <cell r="I25">
            <v>16</v>
          </cell>
          <cell r="J25">
            <v>16</v>
          </cell>
          <cell r="K25">
            <v>16</v>
          </cell>
          <cell r="L25">
            <v>17</v>
          </cell>
          <cell r="M25">
            <v>17</v>
          </cell>
          <cell r="N25">
            <v>18</v>
          </cell>
          <cell r="O25">
            <v>18</v>
          </cell>
          <cell r="P25">
            <v>17</v>
          </cell>
        </row>
        <row r="26">
          <cell r="B26"/>
          <cell r="C26"/>
          <cell r="D26">
            <v>85</v>
          </cell>
          <cell r="E26">
            <v>83</v>
          </cell>
          <cell r="F26">
            <v>76</v>
          </cell>
          <cell r="G26">
            <v>85</v>
          </cell>
          <cell r="H26">
            <v>72</v>
          </cell>
          <cell r="I26">
            <v>69</v>
          </cell>
          <cell r="J26">
            <v>58</v>
          </cell>
          <cell r="K26">
            <v>81</v>
          </cell>
          <cell r="L26">
            <v>95</v>
          </cell>
          <cell r="M26">
            <v>87</v>
          </cell>
          <cell r="N26">
            <v>75</v>
          </cell>
          <cell r="O26">
            <v>85</v>
          </cell>
          <cell r="P26">
            <v>95</v>
          </cell>
        </row>
        <row r="27">
          <cell r="B27" t="str">
            <v>Fairbanks</v>
          </cell>
          <cell r="C27"/>
          <cell r="D27" t="str">
            <v>N</v>
          </cell>
          <cell r="E27" t="str">
            <v>N</v>
          </cell>
          <cell r="F27" t="str">
            <v>N</v>
          </cell>
          <cell r="G27" t="str">
            <v>N</v>
          </cell>
          <cell r="H27" t="str">
            <v>N</v>
          </cell>
          <cell r="I27" t="str">
            <v>SW</v>
          </cell>
          <cell r="J27" t="str">
            <v>SW</v>
          </cell>
          <cell r="K27" t="str">
            <v>SW</v>
          </cell>
          <cell r="L27" t="str">
            <v>N</v>
          </cell>
          <cell r="M27" t="str">
            <v>N</v>
          </cell>
          <cell r="N27" t="str">
            <v>N</v>
          </cell>
          <cell r="O27" t="str">
            <v>N</v>
          </cell>
          <cell r="P27" t="str">
            <v>N</v>
          </cell>
        </row>
        <row r="28">
          <cell r="B28"/>
          <cell r="C28"/>
          <cell r="D28">
            <v>3</v>
          </cell>
          <cell r="E28">
            <v>4</v>
          </cell>
          <cell r="F28">
            <v>5</v>
          </cell>
          <cell r="G28">
            <v>6</v>
          </cell>
          <cell r="H28">
            <v>8</v>
          </cell>
          <cell r="I28">
            <v>7</v>
          </cell>
          <cell r="J28">
            <v>7</v>
          </cell>
          <cell r="K28">
            <v>6</v>
          </cell>
          <cell r="L28">
            <v>6</v>
          </cell>
          <cell r="M28">
            <v>5</v>
          </cell>
          <cell r="N28">
            <v>4</v>
          </cell>
          <cell r="O28">
            <v>3</v>
          </cell>
          <cell r="P28">
            <v>5</v>
          </cell>
        </row>
        <row r="29">
          <cell r="B29"/>
          <cell r="C29"/>
          <cell r="D29">
            <v>47</v>
          </cell>
          <cell r="E29">
            <v>49</v>
          </cell>
          <cell r="F29">
            <v>46</v>
          </cell>
          <cell r="G29">
            <v>40</v>
          </cell>
          <cell r="H29">
            <v>44</v>
          </cell>
          <cell r="I29">
            <v>48</v>
          </cell>
          <cell r="J29">
            <v>63</v>
          </cell>
          <cell r="K29">
            <v>54</v>
          </cell>
          <cell r="L29">
            <v>51</v>
          </cell>
          <cell r="M29">
            <v>40</v>
          </cell>
          <cell r="N29">
            <v>46</v>
          </cell>
          <cell r="O29">
            <v>38</v>
          </cell>
          <cell r="P29">
            <v>63</v>
          </cell>
        </row>
        <row r="30">
          <cell r="B30" t="str">
            <v>Juneau</v>
          </cell>
          <cell r="C30"/>
          <cell r="D30" t="str">
            <v>ESE</v>
          </cell>
          <cell r="E30" t="str">
            <v>ESE</v>
          </cell>
          <cell r="F30" t="str">
            <v>ESE</v>
          </cell>
          <cell r="G30" t="str">
            <v>ESE</v>
          </cell>
          <cell r="H30" t="str">
            <v>ESE</v>
          </cell>
          <cell r="I30" t="str">
            <v>ESE</v>
          </cell>
          <cell r="J30" t="str">
            <v>E</v>
          </cell>
          <cell r="K30" t="str">
            <v>E</v>
          </cell>
          <cell r="L30" t="str">
            <v>ESE</v>
          </cell>
          <cell r="M30" t="str">
            <v>ESE</v>
          </cell>
          <cell r="N30" t="str">
            <v>ESE</v>
          </cell>
          <cell r="O30" t="str">
            <v>ESE</v>
          </cell>
          <cell r="P30" t="str">
            <v>ESE</v>
          </cell>
        </row>
        <row r="31">
          <cell r="B31"/>
          <cell r="C31"/>
          <cell r="D31">
            <v>8</v>
          </cell>
          <cell r="E31">
            <v>8</v>
          </cell>
          <cell r="F31">
            <v>8</v>
          </cell>
          <cell r="G31">
            <v>9</v>
          </cell>
          <cell r="H31">
            <v>8</v>
          </cell>
          <cell r="I31">
            <v>8</v>
          </cell>
          <cell r="J31">
            <v>8</v>
          </cell>
          <cell r="K31">
            <v>8</v>
          </cell>
          <cell r="L31">
            <v>8</v>
          </cell>
          <cell r="M31">
            <v>9</v>
          </cell>
          <cell r="N31">
            <v>9</v>
          </cell>
          <cell r="O31">
            <v>9</v>
          </cell>
          <cell r="P31">
            <v>8</v>
          </cell>
        </row>
        <row r="32">
          <cell r="B32"/>
          <cell r="C32"/>
          <cell r="D32">
            <v>40</v>
          </cell>
          <cell r="E32">
            <v>44</v>
          </cell>
          <cell r="F32">
            <v>40</v>
          </cell>
          <cell r="G32">
            <v>40</v>
          </cell>
          <cell r="H32">
            <v>40</v>
          </cell>
          <cell r="I32">
            <v>32</v>
          </cell>
          <cell r="J32">
            <v>32</v>
          </cell>
          <cell r="K32">
            <v>38</v>
          </cell>
          <cell r="L32">
            <v>120</v>
          </cell>
          <cell r="M32">
            <v>49</v>
          </cell>
          <cell r="N32">
            <v>58</v>
          </cell>
          <cell r="O32">
            <v>55</v>
          </cell>
          <cell r="P32">
            <v>120</v>
          </cell>
        </row>
        <row r="33">
          <cell r="B33" t="str">
            <v>Kodiak</v>
          </cell>
          <cell r="C33"/>
          <cell r="D33" t="str">
            <v>NW</v>
          </cell>
          <cell r="E33" t="str">
            <v>NW</v>
          </cell>
          <cell r="F33" t="str">
            <v>NW</v>
          </cell>
          <cell r="G33" t="str">
            <v>NW</v>
          </cell>
          <cell r="H33" t="str">
            <v>NW</v>
          </cell>
          <cell r="I33" t="str">
            <v>E</v>
          </cell>
          <cell r="J33" t="str">
            <v>ENE</v>
          </cell>
          <cell r="K33" t="str">
            <v>NW</v>
          </cell>
          <cell r="L33" t="str">
            <v>NW</v>
          </cell>
          <cell r="M33" t="str">
            <v>NW</v>
          </cell>
          <cell r="N33" t="str">
            <v>WNW</v>
          </cell>
          <cell r="O33" t="str">
            <v>WNW</v>
          </cell>
          <cell r="P33" t="str">
            <v>NW</v>
          </cell>
        </row>
        <row r="34">
          <cell r="B34"/>
          <cell r="C34"/>
          <cell r="D34">
            <v>13</v>
          </cell>
          <cell r="E34">
            <v>13</v>
          </cell>
          <cell r="F34">
            <v>12</v>
          </cell>
          <cell r="G34">
            <v>12</v>
          </cell>
          <cell r="H34">
            <v>10</v>
          </cell>
          <cell r="I34">
            <v>9</v>
          </cell>
          <cell r="J34">
            <v>8</v>
          </cell>
          <cell r="K34">
            <v>8</v>
          </cell>
          <cell r="L34">
            <v>10</v>
          </cell>
          <cell r="M34">
            <v>12</v>
          </cell>
          <cell r="N34">
            <v>13</v>
          </cell>
          <cell r="O34">
            <v>13</v>
          </cell>
          <cell r="P34">
            <v>11</v>
          </cell>
        </row>
        <row r="35">
          <cell r="B35"/>
          <cell r="C35"/>
          <cell r="D35">
            <v>75</v>
          </cell>
          <cell r="E35">
            <v>83</v>
          </cell>
          <cell r="F35">
            <v>82</v>
          </cell>
          <cell r="G35">
            <v>67</v>
          </cell>
          <cell r="H35">
            <v>59</v>
          </cell>
          <cell r="I35">
            <v>52</v>
          </cell>
          <cell r="J35">
            <v>52</v>
          </cell>
          <cell r="K35">
            <v>67</v>
          </cell>
          <cell r="L35">
            <v>78</v>
          </cell>
          <cell r="M35">
            <v>70</v>
          </cell>
          <cell r="N35">
            <v>82</v>
          </cell>
          <cell r="O35">
            <v>83</v>
          </cell>
          <cell r="P35">
            <v>83</v>
          </cell>
        </row>
        <row r="36">
          <cell r="B36" t="str">
            <v>Nome</v>
          </cell>
          <cell r="C36"/>
          <cell r="D36" t="str">
            <v>E</v>
          </cell>
          <cell r="E36" t="str">
            <v>NE</v>
          </cell>
          <cell r="F36" t="str">
            <v>E</v>
          </cell>
          <cell r="G36" t="str">
            <v>N</v>
          </cell>
          <cell r="H36" t="str">
            <v>N</v>
          </cell>
          <cell r="I36" t="str">
            <v>WSW</v>
          </cell>
          <cell r="J36" t="str">
            <v>WSW</v>
          </cell>
          <cell r="K36" t="str">
            <v>SW</v>
          </cell>
          <cell r="L36" t="str">
            <v>N</v>
          </cell>
          <cell r="M36" t="str">
            <v>N</v>
          </cell>
          <cell r="N36" t="str">
            <v>N</v>
          </cell>
          <cell r="O36" t="str">
            <v>E</v>
          </cell>
          <cell r="P36" t="str">
            <v>N</v>
          </cell>
        </row>
        <row r="37">
          <cell r="B37"/>
          <cell r="C37"/>
          <cell r="D37">
            <v>11</v>
          </cell>
          <cell r="E37">
            <v>11</v>
          </cell>
          <cell r="F37">
            <v>10</v>
          </cell>
          <cell r="G37">
            <v>10</v>
          </cell>
          <cell r="H37">
            <v>10</v>
          </cell>
          <cell r="I37">
            <v>10</v>
          </cell>
          <cell r="J37">
            <v>10</v>
          </cell>
          <cell r="K37">
            <v>10</v>
          </cell>
          <cell r="L37">
            <v>11</v>
          </cell>
          <cell r="M37">
            <v>11</v>
          </cell>
          <cell r="N37">
            <v>12</v>
          </cell>
          <cell r="O37">
            <v>10</v>
          </cell>
          <cell r="P37">
            <v>11</v>
          </cell>
        </row>
        <row r="38">
          <cell r="B38"/>
          <cell r="C38"/>
          <cell r="D38">
            <v>59</v>
          </cell>
          <cell r="E38">
            <v>66</v>
          </cell>
          <cell r="F38">
            <v>59</v>
          </cell>
          <cell r="G38">
            <v>52</v>
          </cell>
          <cell r="H38">
            <v>46</v>
          </cell>
          <cell r="I38">
            <v>35</v>
          </cell>
          <cell r="J38">
            <v>39</v>
          </cell>
          <cell r="K38">
            <v>56</v>
          </cell>
          <cell r="L38">
            <v>52</v>
          </cell>
          <cell r="M38">
            <v>59</v>
          </cell>
          <cell r="N38">
            <v>59</v>
          </cell>
          <cell r="O38">
            <v>53</v>
          </cell>
          <cell r="P38">
            <v>66</v>
          </cell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</row>
        <row r="40">
          <cell r="B40" t="str">
            <v>Flagstaff</v>
          </cell>
          <cell r="C40"/>
          <cell r="D40" t="str">
            <v>SSW</v>
          </cell>
          <cell r="E40" t="str">
            <v>SSW</v>
          </cell>
          <cell r="F40" t="str">
            <v>SSW</v>
          </cell>
          <cell r="G40" t="str">
            <v>SSW</v>
          </cell>
          <cell r="H40" t="str">
            <v>SSW</v>
          </cell>
          <cell r="I40" t="str">
            <v>SSW</v>
          </cell>
          <cell r="J40" t="str">
            <v>SSW</v>
          </cell>
          <cell r="K40" t="str">
            <v>SSW</v>
          </cell>
          <cell r="L40" t="str">
            <v>SSW</v>
          </cell>
          <cell r="M40" t="str">
            <v>SSW</v>
          </cell>
          <cell r="N40" t="str">
            <v>SSW</v>
          </cell>
          <cell r="O40" t="str">
            <v>SSW</v>
          </cell>
          <cell r="P40" t="str">
            <v>SSW</v>
          </cell>
        </row>
        <row r="41">
          <cell r="B41"/>
          <cell r="C41"/>
          <cell r="D41">
            <v>6</v>
          </cell>
          <cell r="E41">
            <v>6</v>
          </cell>
          <cell r="F41">
            <v>6</v>
          </cell>
          <cell r="G41">
            <v>7</v>
          </cell>
          <cell r="H41">
            <v>7</v>
          </cell>
          <cell r="I41">
            <v>6</v>
          </cell>
          <cell r="J41">
            <v>5</v>
          </cell>
          <cell r="K41">
            <v>4</v>
          </cell>
          <cell r="L41">
            <v>5</v>
          </cell>
          <cell r="M41">
            <v>5</v>
          </cell>
          <cell r="N41">
            <v>6</v>
          </cell>
          <cell r="O41">
            <v>6</v>
          </cell>
          <cell r="P41">
            <v>6</v>
          </cell>
        </row>
        <row r="42">
          <cell r="B42"/>
          <cell r="C42"/>
          <cell r="D42">
            <v>45</v>
          </cell>
          <cell r="E42">
            <v>34</v>
          </cell>
          <cell r="F42">
            <v>49</v>
          </cell>
          <cell r="G42">
            <v>41</v>
          </cell>
          <cell r="H42">
            <v>41</v>
          </cell>
          <cell r="I42">
            <v>44</v>
          </cell>
          <cell r="J42">
            <v>36</v>
          </cell>
          <cell r="K42">
            <v>36</v>
          </cell>
          <cell r="L42">
            <v>34</v>
          </cell>
          <cell r="M42">
            <v>36</v>
          </cell>
          <cell r="N42">
            <v>33</v>
          </cell>
          <cell r="O42">
            <v>40</v>
          </cell>
          <cell r="P42">
            <v>49</v>
          </cell>
        </row>
        <row r="43">
          <cell r="B43" t="str">
            <v>Phoenix</v>
          </cell>
          <cell r="C43"/>
          <cell r="D43" t="str">
            <v>E</v>
          </cell>
          <cell r="E43" t="str">
            <v>E</v>
          </cell>
          <cell r="F43" t="str">
            <v>E</v>
          </cell>
          <cell r="G43" t="str">
            <v>E</v>
          </cell>
          <cell r="H43" t="str">
            <v>E</v>
          </cell>
          <cell r="I43" t="str">
            <v>E</v>
          </cell>
          <cell r="J43" t="str">
            <v>E</v>
          </cell>
          <cell r="K43" t="str">
            <v>E</v>
          </cell>
          <cell r="L43" t="str">
            <v>W</v>
          </cell>
          <cell r="M43" t="str">
            <v>W</v>
          </cell>
          <cell r="N43" t="str">
            <v>W</v>
          </cell>
          <cell r="O43" t="str">
            <v>W</v>
          </cell>
          <cell r="P43" t="str">
            <v>E</v>
          </cell>
        </row>
        <row r="44">
          <cell r="B44"/>
          <cell r="C44"/>
          <cell r="D44">
            <v>5</v>
          </cell>
          <cell r="E44">
            <v>6</v>
          </cell>
          <cell r="F44">
            <v>7</v>
          </cell>
          <cell r="G44">
            <v>7</v>
          </cell>
          <cell r="H44">
            <v>7</v>
          </cell>
          <cell r="I44">
            <v>7</v>
          </cell>
          <cell r="J44">
            <v>7</v>
          </cell>
          <cell r="K44">
            <v>7</v>
          </cell>
          <cell r="L44">
            <v>6</v>
          </cell>
          <cell r="M44">
            <v>6</v>
          </cell>
          <cell r="N44">
            <v>5</v>
          </cell>
          <cell r="O44">
            <v>5</v>
          </cell>
          <cell r="P44">
            <v>6</v>
          </cell>
        </row>
        <row r="45">
          <cell r="B45"/>
          <cell r="C45"/>
          <cell r="D45">
            <v>39</v>
          </cell>
          <cell r="E45">
            <v>29</v>
          </cell>
          <cell r="F45">
            <v>38</v>
          </cell>
          <cell r="G45">
            <v>46</v>
          </cell>
          <cell r="H45">
            <v>36</v>
          </cell>
          <cell r="I45">
            <v>33</v>
          </cell>
          <cell r="J45">
            <v>52</v>
          </cell>
          <cell r="K45">
            <v>46</v>
          </cell>
          <cell r="L45">
            <v>43</v>
          </cell>
          <cell r="M45">
            <v>40</v>
          </cell>
          <cell r="N45">
            <v>34</v>
          </cell>
          <cell r="O45">
            <v>32</v>
          </cell>
          <cell r="P45">
            <v>52</v>
          </cell>
        </row>
        <row r="46">
          <cell r="B46" t="str">
            <v>Tucson</v>
          </cell>
          <cell r="C46"/>
          <cell r="D46" t="str">
            <v>SE</v>
          </cell>
          <cell r="E46" t="str">
            <v>SE</v>
          </cell>
          <cell r="F46" t="str">
            <v>SE</v>
          </cell>
          <cell r="G46" t="str">
            <v>SE</v>
          </cell>
          <cell r="H46" t="str">
            <v>SE</v>
          </cell>
          <cell r="I46" t="str">
            <v>SSE</v>
          </cell>
          <cell r="J46" t="str">
            <v>SSE</v>
          </cell>
          <cell r="K46" t="str">
            <v>SE</v>
          </cell>
          <cell r="L46" t="str">
            <v>SE</v>
          </cell>
          <cell r="M46" t="str">
            <v>SE</v>
          </cell>
          <cell r="N46" t="str">
            <v>SE</v>
          </cell>
          <cell r="O46" t="str">
            <v>SE</v>
          </cell>
          <cell r="P46" t="str">
            <v>SE</v>
          </cell>
        </row>
        <row r="47">
          <cell r="B47"/>
          <cell r="C47"/>
          <cell r="D47">
            <v>8</v>
          </cell>
          <cell r="E47">
            <v>8</v>
          </cell>
          <cell r="F47">
            <v>8</v>
          </cell>
          <cell r="G47">
            <v>9</v>
          </cell>
          <cell r="H47">
            <v>9</v>
          </cell>
          <cell r="I47">
            <v>9</v>
          </cell>
          <cell r="J47">
            <v>8</v>
          </cell>
          <cell r="K47">
            <v>8</v>
          </cell>
          <cell r="L47">
            <v>8</v>
          </cell>
          <cell r="M47">
            <v>8</v>
          </cell>
          <cell r="N47">
            <v>8</v>
          </cell>
          <cell r="O47">
            <v>8</v>
          </cell>
          <cell r="P47">
            <v>8</v>
          </cell>
        </row>
        <row r="48">
          <cell r="B48"/>
          <cell r="C48"/>
          <cell r="D48">
            <v>55</v>
          </cell>
          <cell r="E48">
            <v>48</v>
          </cell>
          <cell r="F48">
            <v>53</v>
          </cell>
          <cell r="G48">
            <v>55</v>
          </cell>
          <cell r="H48">
            <v>55</v>
          </cell>
          <cell r="I48">
            <v>47</v>
          </cell>
          <cell r="J48">
            <v>66</v>
          </cell>
          <cell r="K48">
            <v>76</v>
          </cell>
          <cell r="L48">
            <v>71</v>
          </cell>
          <cell r="M48">
            <v>49</v>
          </cell>
          <cell r="N48">
            <v>46</v>
          </cell>
          <cell r="O48">
            <v>47</v>
          </cell>
          <cell r="P48">
            <v>76</v>
          </cell>
        </row>
        <row r="49">
          <cell r="B49" t="str">
            <v>Winslow</v>
          </cell>
          <cell r="C49"/>
          <cell r="D49" t="str">
            <v>SE</v>
          </cell>
          <cell r="E49" t="str">
            <v>SE</v>
          </cell>
          <cell r="F49" t="str">
            <v>WSW</v>
          </cell>
          <cell r="G49" t="str">
            <v>SW</v>
          </cell>
          <cell r="H49" t="str">
            <v>SW</v>
          </cell>
          <cell r="I49" t="str">
            <v>SW</v>
          </cell>
          <cell r="J49" t="str">
            <v>WSW</v>
          </cell>
          <cell r="K49" t="str">
            <v>SW</v>
          </cell>
          <cell r="L49" t="str">
            <v>SW</v>
          </cell>
          <cell r="M49" t="str">
            <v>SE</v>
          </cell>
          <cell r="N49" t="str">
            <v>SE</v>
          </cell>
          <cell r="O49" t="str">
            <v>SE</v>
          </cell>
          <cell r="P49" t="str">
            <v>SE</v>
          </cell>
        </row>
        <row r="50">
          <cell r="B50"/>
          <cell r="C50"/>
          <cell r="D50">
            <v>7</v>
          </cell>
          <cell r="E50">
            <v>9</v>
          </cell>
          <cell r="F50">
            <v>11</v>
          </cell>
          <cell r="G50">
            <v>11</v>
          </cell>
          <cell r="H50">
            <v>11</v>
          </cell>
          <cell r="I50">
            <v>11</v>
          </cell>
          <cell r="J50">
            <v>9</v>
          </cell>
          <cell r="K50">
            <v>8</v>
          </cell>
          <cell r="L50">
            <v>8</v>
          </cell>
          <cell r="M50">
            <v>8</v>
          </cell>
          <cell r="N50">
            <v>7</v>
          </cell>
          <cell r="O50">
            <v>7</v>
          </cell>
          <cell r="P50">
            <v>9</v>
          </cell>
        </row>
        <row r="51">
          <cell r="B51"/>
          <cell r="C51"/>
          <cell r="D51">
            <v>56</v>
          </cell>
          <cell r="E51">
            <v>63</v>
          </cell>
          <cell r="F51">
            <v>58</v>
          </cell>
          <cell r="G51">
            <v>56</v>
          </cell>
          <cell r="H51">
            <v>53</v>
          </cell>
          <cell r="I51">
            <v>52</v>
          </cell>
          <cell r="J51">
            <v>59</v>
          </cell>
          <cell r="K51">
            <v>43</v>
          </cell>
          <cell r="L51">
            <v>40</v>
          </cell>
          <cell r="M51">
            <v>49</v>
          </cell>
          <cell r="N51">
            <v>46</v>
          </cell>
          <cell r="O51">
            <v>52</v>
          </cell>
          <cell r="P51">
            <v>63</v>
          </cell>
        </row>
        <row r="52">
          <cell r="B52" t="str">
            <v>Yuma</v>
          </cell>
          <cell r="C52"/>
          <cell r="D52" t="str">
            <v>N</v>
          </cell>
          <cell r="E52" t="str">
            <v>N</v>
          </cell>
          <cell r="F52" t="str">
            <v>WNW</v>
          </cell>
          <cell r="G52" t="str">
            <v>W</v>
          </cell>
          <cell r="H52" t="str">
            <v>WNW</v>
          </cell>
          <cell r="I52" t="str">
            <v>SSE</v>
          </cell>
          <cell r="J52" t="str">
            <v>SSE</v>
          </cell>
          <cell r="K52" t="str">
            <v>SSE</v>
          </cell>
          <cell r="L52" t="str">
            <v>SSE</v>
          </cell>
          <cell r="M52" t="str">
            <v>N</v>
          </cell>
          <cell r="N52" t="str">
            <v>N</v>
          </cell>
          <cell r="O52" t="str">
            <v>N</v>
          </cell>
          <cell r="P52" t="str">
            <v>N</v>
          </cell>
        </row>
        <row r="53">
          <cell r="B53"/>
          <cell r="C53"/>
          <cell r="D53">
            <v>7</v>
          </cell>
          <cell r="E53">
            <v>7</v>
          </cell>
          <cell r="F53">
            <v>8</v>
          </cell>
          <cell r="G53">
            <v>8</v>
          </cell>
          <cell r="H53">
            <v>8</v>
          </cell>
          <cell r="I53">
            <v>9</v>
          </cell>
          <cell r="J53">
            <v>10</v>
          </cell>
          <cell r="K53">
            <v>9</v>
          </cell>
          <cell r="L53">
            <v>7</v>
          </cell>
          <cell r="M53">
            <v>7</v>
          </cell>
          <cell r="N53">
            <v>7</v>
          </cell>
          <cell r="O53">
            <v>7</v>
          </cell>
          <cell r="P53">
            <v>8</v>
          </cell>
        </row>
        <row r="54">
          <cell r="B54"/>
          <cell r="C54"/>
          <cell r="D54">
            <v>41</v>
          </cell>
          <cell r="E54">
            <v>50</v>
          </cell>
          <cell r="F54">
            <v>43</v>
          </cell>
          <cell r="G54">
            <v>47</v>
          </cell>
          <cell r="H54">
            <v>38</v>
          </cell>
          <cell r="I54">
            <v>42</v>
          </cell>
          <cell r="J54">
            <v>61</v>
          </cell>
          <cell r="K54">
            <v>60</v>
          </cell>
          <cell r="L54">
            <v>57</v>
          </cell>
          <cell r="M54">
            <v>47</v>
          </cell>
          <cell r="N54">
            <v>47</v>
          </cell>
          <cell r="O54">
            <v>47</v>
          </cell>
          <cell r="P54">
            <v>61</v>
          </cell>
        </row>
        <row r="55"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</row>
        <row r="56">
          <cell r="B56" t="str">
            <v>Blytheville</v>
          </cell>
          <cell r="C56"/>
          <cell r="D56" t="str">
            <v>N</v>
          </cell>
          <cell r="E56" t="str">
            <v>N</v>
          </cell>
          <cell r="F56" t="str">
            <v>S</v>
          </cell>
          <cell r="G56" t="str">
            <v>S</v>
          </cell>
          <cell r="H56" t="str">
            <v>S</v>
          </cell>
          <cell r="I56" t="str">
            <v>S</v>
          </cell>
          <cell r="J56" t="str">
            <v>S</v>
          </cell>
          <cell r="K56" t="str">
            <v>S</v>
          </cell>
          <cell r="L56" t="str">
            <v>N</v>
          </cell>
          <cell r="M56" t="str">
            <v>N</v>
          </cell>
          <cell r="N56" t="str">
            <v>S</v>
          </cell>
          <cell r="O56" t="str">
            <v>N</v>
          </cell>
          <cell r="P56" t="str">
            <v>S</v>
          </cell>
        </row>
        <row r="57">
          <cell r="B57"/>
          <cell r="C57"/>
          <cell r="D57">
            <v>9</v>
          </cell>
          <cell r="E57">
            <v>9</v>
          </cell>
          <cell r="F57">
            <v>9</v>
          </cell>
          <cell r="G57">
            <v>9</v>
          </cell>
          <cell r="H57">
            <v>7</v>
          </cell>
          <cell r="I57">
            <v>7</v>
          </cell>
          <cell r="J57">
            <v>5</v>
          </cell>
          <cell r="K57">
            <v>6</v>
          </cell>
          <cell r="L57">
            <v>6</v>
          </cell>
          <cell r="M57">
            <v>6</v>
          </cell>
          <cell r="N57">
            <v>8</v>
          </cell>
          <cell r="O57">
            <v>8</v>
          </cell>
          <cell r="P57">
            <v>7</v>
          </cell>
        </row>
        <row r="58">
          <cell r="B58"/>
          <cell r="C58"/>
          <cell r="D58">
            <v>58</v>
          </cell>
          <cell r="E58">
            <v>68</v>
          </cell>
          <cell r="F58">
            <v>87</v>
          </cell>
          <cell r="G58">
            <v>82</v>
          </cell>
          <cell r="H58">
            <v>61</v>
          </cell>
          <cell r="I58">
            <v>61</v>
          </cell>
          <cell r="J58">
            <v>58</v>
          </cell>
          <cell r="K58">
            <v>48</v>
          </cell>
          <cell r="L58">
            <v>54</v>
          </cell>
          <cell r="M58">
            <v>46</v>
          </cell>
          <cell r="N58">
            <v>60</v>
          </cell>
          <cell r="O58">
            <v>76</v>
          </cell>
          <cell r="P58">
            <v>87</v>
          </cell>
        </row>
        <row r="59">
          <cell r="B59" t="str">
            <v>Fort Smith</v>
          </cell>
          <cell r="C59"/>
          <cell r="D59" t="str">
            <v>E</v>
          </cell>
          <cell r="E59" t="str">
            <v>E</v>
          </cell>
          <cell r="F59" t="str">
            <v>E</v>
          </cell>
          <cell r="G59" t="str">
            <v>E</v>
          </cell>
          <cell r="H59" t="str">
            <v>E</v>
          </cell>
          <cell r="I59" t="str">
            <v>E</v>
          </cell>
          <cell r="J59" t="str">
            <v>E</v>
          </cell>
          <cell r="K59" t="str">
            <v>E</v>
          </cell>
          <cell r="L59" t="str">
            <v>E</v>
          </cell>
          <cell r="M59" t="str">
            <v>E</v>
          </cell>
          <cell r="N59" t="str">
            <v>E</v>
          </cell>
          <cell r="O59" t="str">
            <v>E</v>
          </cell>
          <cell r="P59" t="str">
            <v>E</v>
          </cell>
        </row>
        <row r="60">
          <cell r="B60"/>
          <cell r="C60"/>
          <cell r="D60">
            <v>8</v>
          </cell>
          <cell r="E60">
            <v>9</v>
          </cell>
          <cell r="F60">
            <v>10</v>
          </cell>
          <cell r="G60">
            <v>9</v>
          </cell>
          <cell r="H60">
            <v>8</v>
          </cell>
          <cell r="I60">
            <v>7</v>
          </cell>
          <cell r="J60">
            <v>6</v>
          </cell>
          <cell r="K60">
            <v>6</v>
          </cell>
          <cell r="L60">
            <v>7</v>
          </cell>
          <cell r="M60">
            <v>7</v>
          </cell>
          <cell r="N60">
            <v>8</v>
          </cell>
          <cell r="O60">
            <v>8</v>
          </cell>
          <cell r="P60">
            <v>8</v>
          </cell>
        </row>
        <row r="61">
          <cell r="B61"/>
          <cell r="C61"/>
          <cell r="D61">
            <v>51</v>
          </cell>
          <cell r="E61">
            <v>41</v>
          </cell>
          <cell r="F61">
            <v>40</v>
          </cell>
          <cell r="G61">
            <v>53</v>
          </cell>
          <cell r="H61">
            <v>52</v>
          </cell>
          <cell r="I61">
            <v>67</v>
          </cell>
          <cell r="J61">
            <v>51</v>
          </cell>
          <cell r="K61">
            <v>33</v>
          </cell>
          <cell r="L61">
            <v>49</v>
          </cell>
          <cell r="M61">
            <v>47</v>
          </cell>
          <cell r="N61">
            <v>41</v>
          </cell>
          <cell r="O61">
            <v>56</v>
          </cell>
          <cell r="P61">
            <v>67</v>
          </cell>
        </row>
        <row r="62">
          <cell r="B62" t="str">
            <v>Little Rock</v>
          </cell>
          <cell r="C62"/>
          <cell r="D62" t="str">
            <v>WSW</v>
          </cell>
          <cell r="E62" t="str">
            <v>WSW</v>
          </cell>
          <cell r="F62" t="str">
            <v>S</v>
          </cell>
          <cell r="G62" t="str">
            <v>S</v>
          </cell>
          <cell r="H62" t="str">
            <v>S</v>
          </cell>
          <cell r="I62" t="str">
            <v>SW</v>
          </cell>
          <cell r="J62" t="str">
            <v>SW</v>
          </cell>
          <cell r="K62" t="str">
            <v>S</v>
          </cell>
          <cell r="L62" t="str">
            <v>NE</v>
          </cell>
          <cell r="M62" t="str">
            <v>S</v>
          </cell>
          <cell r="N62" t="str">
            <v>S</v>
          </cell>
          <cell r="O62" t="str">
            <v>WSW</v>
          </cell>
          <cell r="P62" t="str">
            <v>S</v>
          </cell>
        </row>
        <row r="63">
          <cell r="B63"/>
          <cell r="C63"/>
          <cell r="D63">
            <v>8</v>
          </cell>
          <cell r="E63">
            <v>9</v>
          </cell>
          <cell r="F63">
            <v>9</v>
          </cell>
          <cell r="G63">
            <v>9</v>
          </cell>
          <cell r="H63">
            <v>8</v>
          </cell>
          <cell r="I63">
            <v>7</v>
          </cell>
          <cell r="J63">
            <v>7</v>
          </cell>
          <cell r="K63">
            <v>6</v>
          </cell>
          <cell r="L63">
            <v>7</v>
          </cell>
          <cell r="M63">
            <v>7</v>
          </cell>
          <cell r="N63">
            <v>8</v>
          </cell>
          <cell r="O63">
            <v>8</v>
          </cell>
          <cell r="P63">
            <v>8</v>
          </cell>
        </row>
        <row r="64">
          <cell r="B64"/>
          <cell r="C64"/>
          <cell r="D64">
            <v>44</v>
          </cell>
          <cell r="E64">
            <v>57</v>
          </cell>
          <cell r="F64">
            <v>56</v>
          </cell>
          <cell r="G64">
            <v>65</v>
          </cell>
          <cell r="H64">
            <v>61</v>
          </cell>
          <cell r="I64">
            <v>60</v>
          </cell>
          <cell r="J64">
            <v>56</v>
          </cell>
          <cell r="K64">
            <v>54</v>
          </cell>
          <cell r="L64">
            <v>50</v>
          </cell>
          <cell r="M64">
            <v>58</v>
          </cell>
          <cell r="N64">
            <v>49</v>
          </cell>
          <cell r="O64">
            <v>48</v>
          </cell>
          <cell r="P64">
            <v>65</v>
          </cell>
        </row>
        <row r="65"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</row>
        <row r="66">
          <cell r="B66" t="str">
            <v>Alameda</v>
          </cell>
          <cell r="C66"/>
          <cell r="D66" t="str">
            <v>NNW</v>
          </cell>
          <cell r="E66" t="str">
            <v>W</v>
          </cell>
          <cell r="F66" t="str">
            <v>W</v>
          </cell>
          <cell r="G66" t="str">
            <v>W</v>
          </cell>
          <cell r="H66" t="str">
            <v>W</v>
          </cell>
          <cell r="I66" t="str">
            <v>W</v>
          </cell>
          <cell r="J66" t="str">
            <v>W</v>
          </cell>
          <cell r="K66" t="str">
            <v>W</v>
          </cell>
          <cell r="L66" t="str">
            <v>W</v>
          </cell>
          <cell r="M66" t="str">
            <v>W</v>
          </cell>
          <cell r="N66" t="str">
            <v>W</v>
          </cell>
          <cell r="O66" t="str">
            <v>NNW</v>
          </cell>
          <cell r="P66" t="str">
            <v>W</v>
          </cell>
        </row>
        <row r="67">
          <cell r="B67"/>
          <cell r="C67"/>
          <cell r="D67">
            <v>7</v>
          </cell>
          <cell r="E67">
            <v>7</v>
          </cell>
          <cell r="F67">
            <v>8</v>
          </cell>
          <cell r="G67">
            <v>9</v>
          </cell>
          <cell r="H67">
            <v>9</v>
          </cell>
          <cell r="I67">
            <v>9</v>
          </cell>
          <cell r="J67">
            <v>9</v>
          </cell>
          <cell r="K67">
            <v>9</v>
          </cell>
          <cell r="L67">
            <v>8</v>
          </cell>
          <cell r="M67">
            <v>7</v>
          </cell>
          <cell r="N67">
            <v>6</v>
          </cell>
          <cell r="O67">
            <v>6</v>
          </cell>
          <cell r="P67">
            <v>8</v>
          </cell>
        </row>
        <row r="68">
          <cell r="B68"/>
          <cell r="C68"/>
          <cell r="D68">
            <v>69</v>
          </cell>
          <cell r="E68">
            <v>68</v>
          </cell>
          <cell r="F68">
            <v>58</v>
          </cell>
          <cell r="G68">
            <v>53</v>
          </cell>
          <cell r="H68">
            <v>53</v>
          </cell>
          <cell r="I68">
            <v>49</v>
          </cell>
          <cell r="J68">
            <v>40</v>
          </cell>
          <cell r="K68">
            <v>40</v>
          </cell>
          <cell r="L68">
            <v>48</v>
          </cell>
          <cell r="M68">
            <v>63</v>
          </cell>
          <cell r="N68">
            <v>70</v>
          </cell>
          <cell r="O68">
            <v>71</v>
          </cell>
          <cell r="P68">
            <v>71</v>
          </cell>
        </row>
        <row r="69">
          <cell r="B69" t="str">
            <v>San Bernardino</v>
          </cell>
          <cell r="C69"/>
          <cell r="D69" t="str">
            <v>W</v>
          </cell>
          <cell r="E69" t="str">
            <v>W</v>
          </cell>
          <cell r="F69" t="str">
            <v>W</v>
          </cell>
          <cell r="G69" t="str">
            <v>W</v>
          </cell>
          <cell r="H69" t="str">
            <v>W</v>
          </cell>
          <cell r="I69" t="str">
            <v>W</v>
          </cell>
          <cell r="J69" t="str">
            <v>W</v>
          </cell>
          <cell r="K69" t="str">
            <v>W</v>
          </cell>
          <cell r="L69" t="str">
            <v>W</v>
          </cell>
          <cell r="M69" t="str">
            <v>W</v>
          </cell>
          <cell r="N69" t="str">
            <v>W</v>
          </cell>
          <cell r="O69" t="str">
            <v>W</v>
          </cell>
          <cell r="P69" t="str">
            <v>W</v>
          </cell>
        </row>
        <row r="70">
          <cell r="B70"/>
          <cell r="C70"/>
          <cell r="D70">
            <v>8</v>
          </cell>
          <cell r="E70">
            <v>9</v>
          </cell>
          <cell r="F70">
            <v>13</v>
          </cell>
          <cell r="G70">
            <v>14</v>
          </cell>
          <cell r="H70">
            <v>14</v>
          </cell>
          <cell r="I70">
            <v>14</v>
          </cell>
          <cell r="J70">
            <v>13</v>
          </cell>
          <cell r="K70">
            <v>12</v>
          </cell>
          <cell r="L70">
            <v>10</v>
          </cell>
          <cell r="M70">
            <v>10</v>
          </cell>
          <cell r="N70">
            <v>9</v>
          </cell>
          <cell r="O70">
            <v>8</v>
          </cell>
          <cell r="P70">
            <v>10</v>
          </cell>
        </row>
        <row r="71">
          <cell r="B71"/>
          <cell r="C71"/>
          <cell r="D71" t="str">
            <v>N/A</v>
          </cell>
          <cell r="E71" t="str">
            <v>N/A</v>
          </cell>
          <cell r="F71" t="str">
            <v>N/A</v>
          </cell>
          <cell r="G71" t="str">
            <v>N/A</v>
          </cell>
          <cell r="H71" t="str">
            <v>N/A</v>
          </cell>
          <cell r="I71" t="str">
            <v>N/A</v>
          </cell>
          <cell r="J71" t="str">
            <v>N/A</v>
          </cell>
          <cell r="K71" t="str">
            <v>N/A</v>
          </cell>
          <cell r="L71" t="str">
            <v>N/A</v>
          </cell>
          <cell r="M71" t="str">
            <v>N/A</v>
          </cell>
          <cell r="N71" t="str">
            <v>N/A</v>
          </cell>
          <cell r="O71" t="str">
            <v>N/A</v>
          </cell>
          <cell r="P71" t="str">
            <v>N/A</v>
          </cell>
        </row>
        <row r="72">
          <cell r="B72" t="str">
            <v>Bakersfield</v>
          </cell>
          <cell r="C72"/>
          <cell r="D72" t="str">
            <v>ESE</v>
          </cell>
          <cell r="E72" t="str">
            <v>ESE</v>
          </cell>
          <cell r="F72" t="str">
            <v>ESE</v>
          </cell>
          <cell r="G72" t="str">
            <v>ESE</v>
          </cell>
          <cell r="H72" t="str">
            <v>NNW</v>
          </cell>
          <cell r="I72" t="str">
            <v>NNW</v>
          </cell>
          <cell r="J72" t="str">
            <v>NNW</v>
          </cell>
          <cell r="K72" t="str">
            <v>NNW</v>
          </cell>
          <cell r="L72" t="str">
            <v>NNW</v>
          </cell>
          <cell r="M72" t="str">
            <v>NNW</v>
          </cell>
          <cell r="N72" t="str">
            <v>NW</v>
          </cell>
          <cell r="O72" t="str">
            <v>NW</v>
          </cell>
          <cell r="P72" t="str">
            <v>NW</v>
          </cell>
        </row>
        <row r="73">
          <cell r="B73"/>
          <cell r="C73"/>
          <cell r="D73">
            <v>5</v>
          </cell>
          <cell r="E73">
            <v>6</v>
          </cell>
          <cell r="F73">
            <v>7</v>
          </cell>
          <cell r="G73">
            <v>7</v>
          </cell>
          <cell r="H73">
            <v>8</v>
          </cell>
          <cell r="I73">
            <v>8</v>
          </cell>
          <cell r="J73">
            <v>7</v>
          </cell>
          <cell r="K73">
            <v>7</v>
          </cell>
          <cell r="L73">
            <v>6</v>
          </cell>
          <cell r="M73">
            <v>6</v>
          </cell>
          <cell r="N73">
            <v>5</v>
          </cell>
          <cell r="O73">
            <v>5</v>
          </cell>
          <cell r="P73">
            <v>6</v>
          </cell>
        </row>
        <row r="74">
          <cell r="B74"/>
          <cell r="C74"/>
          <cell r="D74">
            <v>35</v>
          </cell>
          <cell r="E74">
            <v>44</v>
          </cell>
          <cell r="F74">
            <v>38</v>
          </cell>
          <cell r="G74">
            <v>40</v>
          </cell>
          <cell r="H74">
            <v>40</v>
          </cell>
          <cell r="I74">
            <v>41</v>
          </cell>
          <cell r="J74">
            <v>25</v>
          </cell>
          <cell r="K74">
            <v>30</v>
          </cell>
          <cell r="L74">
            <v>35</v>
          </cell>
          <cell r="M74">
            <v>38</v>
          </cell>
          <cell r="N74">
            <v>35</v>
          </cell>
          <cell r="O74">
            <v>46</v>
          </cell>
          <cell r="P74">
            <v>46</v>
          </cell>
        </row>
        <row r="75">
          <cell r="B75" t="str">
            <v>Bishop</v>
          </cell>
          <cell r="C75"/>
          <cell r="D75" t="str">
            <v>N</v>
          </cell>
          <cell r="E75" t="str">
            <v>N</v>
          </cell>
          <cell r="F75" t="str">
            <v>N</v>
          </cell>
          <cell r="G75" t="str">
            <v>N</v>
          </cell>
          <cell r="H75" t="str">
            <v>N</v>
          </cell>
          <cell r="I75" t="str">
            <v>N</v>
          </cell>
          <cell r="J75" t="str">
            <v>N</v>
          </cell>
          <cell r="K75" t="str">
            <v>N</v>
          </cell>
          <cell r="L75" t="str">
            <v>N</v>
          </cell>
          <cell r="M75" t="str">
            <v>N</v>
          </cell>
          <cell r="N75" t="str">
            <v>S</v>
          </cell>
          <cell r="O75" t="str">
            <v>S</v>
          </cell>
          <cell r="P75" t="str">
            <v>N</v>
          </cell>
        </row>
        <row r="76">
          <cell r="B76"/>
          <cell r="C76"/>
          <cell r="D76">
            <v>8</v>
          </cell>
          <cell r="E76">
            <v>8</v>
          </cell>
          <cell r="F76">
            <v>10</v>
          </cell>
          <cell r="G76">
            <v>11</v>
          </cell>
          <cell r="H76">
            <v>9</v>
          </cell>
          <cell r="I76">
            <v>9</v>
          </cell>
          <cell r="J76">
            <v>8</v>
          </cell>
          <cell r="K76">
            <v>8</v>
          </cell>
          <cell r="L76">
            <v>8</v>
          </cell>
          <cell r="M76">
            <v>9</v>
          </cell>
          <cell r="N76">
            <v>8</v>
          </cell>
          <cell r="O76">
            <v>7</v>
          </cell>
          <cell r="P76">
            <v>9</v>
          </cell>
        </row>
        <row r="77">
          <cell r="B77"/>
          <cell r="C77"/>
          <cell r="D77">
            <v>60</v>
          </cell>
          <cell r="E77">
            <v>63</v>
          </cell>
          <cell r="F77">
            <v>58</v>
          </cell>
          <cell r="G77">
            <v>62</v>
          </cell>
          <cell r="H77">
            <v>62</v>
          </cell>
          <cell r="I77">
            <v>54</v>
          </cell>
          <cell r="J77">
            <v>60</v>
          </cell>
          <cell r="K77">
            <v>70</v>
          </cell>
          <cell r="L77">
            <v>47</v>
          </cell>
          <cell r="M77">
            <v>52</v>
          </cell>
          <cell r="N77">
            <v>66</v>
          </cell>
          <cell r="O77">
            <v>68</v>
          </cell>
          <cell r="P77">
            <v>70</v>
          </cell>
        </row>
        <row r="78">
          <cell r="B78" t="str">
            <v>Camp Pendleton</v>
          </cell>
          <cell r="C78"/>
          <cell r="D78" t="str">
            <v>W</v>
          </cell>
          <cell r="E78" t="str">
            <v>W</v>
          </cell>
          <cell r="F78" t="str">
            <v>W</v>
          </cell>
          <cell r="G78" t="str">
            <v>W</v>
          </cell>
          <cell r="H78" t="str">
            <v>SSW</v>
          </cell>
          <cell r="I78" t="str">
            <v>WSW</v>
          </cell>
          <cell r="J78" t="str">
            <v>SSW</v>
          </cell>
          <cell r="K78" t="str">
            <v>WSW</v>
          </cell>
          <cell r="L78" t="str">
            <v>WSW</v>
          </cell>
          <cell r="M78" t="str">
            <v>W</v>
          </cell>
          <cell r="N78" t="str">
            <v>W</v>
          </cell>
          <cell r="O78" t="str">
            <v>WSW</v>
          </cell>
          <cell r="P78" t="str">
            <v>W</v>
          </cell>
        </row>
        <row r="79">
          <cell r="B79"/>
          <cell r="C79"/>
          <cell r="D79">
            <v>5</v>
          </cell>
          <cell r="E79">
            <v>5</v>
          </cell>
          <cell r="F79">
            <v>6</v>
          </cell>
          <cell r="G79">
            <v>7</v>
          </cell>
          <cell r="H79">
            <v>7</v>
          </cell>
          <cell r="I79">
            <v>7</v>
          </cell>
          <cell r="J79">
            <v>7</v>
          </cell>
          <cell r="K79">
            <v>6</v>
          </cell>
          <cell r="L79">
            <v>6</v>
          </cell>
          <cell r="M79">
            <v>5</v>
          </cell>
          <cell r="N79">
            <v>5</v>
          </cell>
          <cell r="O79">
            <v>5</v>
          </cell>
          <cell r="P79">
            <v>6</v>
          </cell>
        </row>
        <row r="80">
          <cell r="B80"/>
          <cell r="C80"/>
          <cell r="D80">
            <v>46</v>
          </cell>
          <cell r="E80">
            <v>45</v>
          </cell>
          <cell r="F80">
            <v>43</v>
          </cell>
          <cell r="G80">
            <v>51</v>
          </cell>
          <cell r="H80">
            <v>32</v>
          </cell>
          <cell r="I80">
            <v>26</v>
          </cell>
          <cell r="J80">
            <v>23</v>
          </cell>
          <cell r="K80">
            <v>30</v>
          </cell>
          <cell r="L80">
            <v>33</v>
          </cell>
          <cell r="M80">
            <v>35</v>
          </cell>
          <cell r="N80">
            <v>40</v>
          </cell>
          <cell r="O80">
            <v>46</v>
          </cell>
          <cell r="P80">
            <v>51</v>
          </cell>
        </row>
        <row r="81">
          <cell r="B81" t="str">
            <v>China Lake</v>
          </cell>
          <cell r="C81"/>
          <cell r="D81" t="str">
            <v>SW</v>
          </cell>
          <cell r="E81" t="str">
            <v>S</v>
          </cell>
          <cell r="F81" t="str">
            <v>SSW</v>
          </cell>
          <cell r="G81" t="str">
            <v>SSW</v>
          </cell>
          <cell r="H81" t="str">
            <v>W</v>
          </cell>
          <cell r="I81" t="str">
            <v>SSW</v>
          </cell>
          <cell r="J81" t="str">
            <v>SSW</v>
          </cell>
          <cell r="K81" t="str">
            <v>SSW</v>
          </cell>
          <cell r="L81" t="str">
            <v>SSW</v>
          </cell>
          <cell r="M81" t="str">
            <v>SSW</v>
          </cell>
          <cell r="N81" t="str">
            <v>SW</v>
          </cell>
          <cell r="O81" t="str">
            <v>SW</v>
          </cell>
          <cell r="P81" t="str">
            <v>SSW</v>
          </cell>
        </row>
        <row r="82">
          <cell r="B82"/>
          <cell r="C82"/>
          <cell r="D82">
            <v>5</v>
          </cell>
          <cell r="E82">
            <v>6</v>
          </cell>
          <cell r="F82">
            <v>7</v>
          </cell>
          <cell r="G82">
            <v>8</v>
          </cell>
          <cell r="H82">
            <v>8</v>
          </cell>
          <cell r="I82">
            <v>7</v>
          </cell>
          <cell r="J82">
            <v>7</v>
          </cell>
          <cell r="K82">
            <v>6</v>
          </cell>
          <cell r="L82">
            <v>6</v>
          </cell>
          <cell r="M82">
            <v>5</v>
          </cell>
          <cell r="N82">
            <v>5</v>
          </cell>
          <cell r="O82">
            <v>3</v>
          </cell>
          <cell r="P82">
            <v>6</v>
          </cell>
        </row>
        <row r="83">
          <cell r="B83"/>
          <cell r="C83"/>
          <cell r="D83">
            <v>77</v>
          </cell>
          <cell r="E83">
            <v>79</v>
          </cell>
          <cell r="F83">
            <v>81</v>
          </cell>
          <cell r="G83">
            <v>74</v>
          </cell>
          <cell r="H83">
            <v>82</v>
          </cell>
          <cell r="I83">
            <v>68</v>
          </cell>
          <cell r="J83">
            <v>60</v>
          </cell>
          <cell r="K83">
            <v>58</v>
          </cell>
          <cell r="L83">
            <v>69</v>
          </cell>
          <cell r="M83">
            <v>68</v>
          </cell>
          <cell r="N83">
            <v>71</v>
          </cell>
          <cell r="O83">
            <v>71</v>
          </cell>
          <cell r="P83">
            <v>82</v>
          </cell>
        </row>
        <row r="84">
          <cell r="B84" t="str">
            <v>Edwards</v>
          </cell>
          <cell r="C84"/>
          <cell r="D84" t="str">
            <v>SW</v>
          </cell>
          <cell r="E84" t="str">
            <v>SW</v>
          </cell>
          <cell r="F84" t="str">
            <v>SW</v>
          </cell>
          <cell r="G84" t="str">
            <v>SW</v>
          </cell>
          <cell r="H84" t="str">
            <v>SW</v>
          </cell>
          <cell r="I84" t="str">
            <v>SW</v>
          </cell>
          <cell r="J84" t="str">
            <v>SW</v>
          </cell>
          <cell r="K84" t="str">
            <v>SW</v>
          </cell>
          <cell r="L84" t="str">
            <v>SW</v>
          </cell>
          <cell r="M84" t="str">
            <v>SW</v>
          </cell>
          <cell r="N84" t="str">
            <v>SW</v>
          </cell>
          <cell r="O84" t="str">
            <v>SW</v>
          </cell>
          <cell r="P84" t="str">
            <v>SW</v>
          </cell>
        </row>
        <row r="85">
          <cell r="B85"/>
          <cell r="C85"/>
          <cell r="D85">
            <v>5</v>
          </cell>
          <cell r="E85">
            <v>6</v>
          </cell>
          <cell r="F85">
            <v>8</v>
          </cell>
          <cell r="G85">
            <v>9</v>
          </cell>
          <cell r="H85">
            <v>10</v>
          </cell>
          <cell r="I85">
            <v>9</v>
          </cell>
          <cell r="J85">
            <v>9</v>
          </cell>
          <cell r="K85">
            <v>8</v>
          </cell>
          <cell r="L85">
            <v>7</v>
          </cell>
          <cell r="M85">
            <v>6</v>
          </cell>
          <cell r="N85">
            <v>6</v>
          </cell>
          <cell r="O85">
            <v>5</v>
          </cell>
          <cell r="P85">
            <v>7</v>
          </cell>
        </row>
        <row r="86">
          <cell r="B86"/>
          <cell r="C86"/>
          <cell r="D86">
            <v>60</v>
          </cell>
          <cell r="E86">
            <v>67</v>
          </cell>
          <cell r="F86">
            <v>74</v>
          </cell>
          <cell r="G86">
            <v>60</v>
          </cell>
          <cell r="H86">
            <v>62</v>
          </cell>
          <cell r="I86">
            <v>59</v>
          </cell>
          <cell r="J86">
            <v>59</v>
          </cell>
          <cell r="K86">
            <v>61</v>
          </cell>
          <cell r="L86">
            <v>75</v>
          </cell>
          <cell r="M86">
            <v>75</v>
          </cell>
          <cell r="N86">
            <v>55</v>
          </cell>
          <cell r="O86">
            <v>57</v>
          </cell>
          <cell r="P86">
            <v>75</v>
          </cell>
        </row>
        <row r="87">
          <cell r="B87" t="str">
            <v>Eureka</v>
          </cell>
          <cell r="C87"/>
          <cell r="D87" t="str">
            <v>SE</v>
          </cell>
          <cell r="E87" t="str">
            <v>SE</v>
          </cell>
          <cell r="F87" t="str">
            <v>N</v>
          </cell>
          <cell r="G87" t="str">
            <v>N</v>
          </cell>
          <cell r="H87" t="str">
            <v>N</v>
          </cell>
          <cell r="I87" t="str">
            <v>N</v>
          </cell>
          <cell r="J87" t="str">
            <v>N</v>
          </cell>
          <cell r="K87" t="str">
            <v>NW</v>
          </cell>
          <cell r="L87" t="str">
            <v>N</v>
          </cell>
          <cell r="M87" t="str">
            <v>N</v>
          </cell>
          <cell r="N87" t="str">
            <v>SE</v>
          </cell>
          <cell r="O87" t="str">
            <v>SE</v>
          </cell>
          <cell r="P87" t="str">
            <v>N</v>
          </cell>
        </row>
        <row r="88">
          <cell r="B88"/>
          <cell r="C88"/>
          <cell r="D88">
            <v>7</v>
          </cell>
          <cell r="E88">
            <v>7</v>
          </cell>
          <cell r="F88">
            <v>8</v>
          </cell>
          <cell r="G88">
            <v>8</v>
          </cell>
          <cell r="H88">
            <v>8</v>
          </cell>
          <cell r="I88">
            <v>7</v>
          </cell>
          <cell r="J88">
            <v>7</v>
          </cell>
          <cell r="K88">
            <v>6</v>
          </cell>
          <cell r="L88">
            <v>6</v>
          </cell>
          <cell r="M88">
            <v>6</v>
          </cell>
          <cell r="N88">
            <v>6</v>
          </cell>
          <cell r="O88">
            <v>6</v>
          </cell>
          <cell r="P88">
            <v>7</v>
          </cell>
        </row>
        <row r="89">
          <cell r="B89"/>
          <cell r="C89"/>
          <cell r="D89">
            <v>70</v>
          </cell>
          <cell r="E89">
            <v>60</v>
          </cell>
          <cell r="F89">
            <v>72</v>
          </cell>
          <cell r="G89">
            <v>53</v>
          </cell>
          <cell r="H89">
            <v>60</v>
          </cell>
          <cell r="I89">
            <v>51</v>
          </cell>
          <cell r="J89">
            <v>45</v>
          </cell>
          <cell r="K89">
            <v>45</v>
          </cell>
          <cell r="L89">
            <v>49</v>
          </cell>
          <cell r="M89">
            <v>52</v>
          </cell>
          <cell r="N89">
            <v>62</v>
          </cell>
          <cell r="O89">
            <v>62</v>
          </cell>
          <cell r="P89">
            <v>72</v>
          </cell>
        </row>
        <row r="90">
          <cell r="B90" t="str">
            <v>Fairfield</v>
          </cell>
          <cell r="C90"/>
          <cell r="D90" t="str">
            <v>N</v>
          </cell>
          <cell r="E90" t="str">
            <v>N</v>
          </cell>
          <cell r="F90" t="str">
            <v>WSW</v>
          </cell>
          <cell r="G90" t="str">
            <v>WSW</v>
          </cell>
          <cell r="H90" t="str">
            <v>WSW</v>
          </cell>
          <cell r="I90" t="str">
            <v>SW</v>
          </cell>
          <cell r="J90" t="str">
            <v>SW</v>
          </cell>
          <cell r="K90" t="str">
            <v>WSW</v>
          </cell>
          <cell r="L90" t="str">
            <v>SW</v>
          </cell>
          <cell r="M90" t="str">
            <v>SW</v>
          </cell>
          <cell r="N90" t="str">
            <v>N</v>
          </cell>
          <cell r="O90" t="str">
            <v>N</v>
          </cell>
          <cell r="P90" t="str">
            <v>SW</v>
          </cell>
        </row>
        <row r="91">
          <cell r="B91"/>
          <cell r="C91"/>
          <cell r="D91">
            <v>6</v>
          </cell>
          <cell r="E91">
            <v>7</v>
          </cell>
          <cell r="F91">
            <v>7</v>
          </cell>
          <cell r="G91">
            <v>8</v>
          </cell>
          <cell r="H91">
            <v>12</v>
          </cell>
          <cell r="I91">
            <v>14</v>
          </cell>
          <cell r="J91">
            <v>14</v>
          </cell>
          <cell r="K91">
            <v>14</v>
          </cell>
          <cell r="L91">
            <v>10</v>
          </cell>
          <cell r="M91">
            <v>7</v>
          </cell>
          <cell r="N91">
            <v>6</v>
          </cell>
          <cell r="O91">
            <v>6</v>
          </cell>
          <cell r="P91">
            <v>9</v>
          </cell>
        </row>
        <row r="92">
          <cell r="B92"/>
          <cell r="C92"/>
          <cell r="D92">
            <v>69</v>
          </cell>
          <cell r="E92">
            <v>75</v>
          </cell>
          <cell r="F92">
            <v>67</v>
          </cell>
          <cell r="G92">
            <v>61</v>
          </cell>
          <cell r="H92">
            <v>53</v>
          </cell>
          <cell r="I92">
            <v>54</v>
          </cell>
          <cell r="J92">
            <v>53</v>
          </cell>
          <cell r="K92">
            <v>52</v>
          </cell>
          <cell r="L92">
            <v>54</v>
          </cell>
          <cell r="M92">
            <v>59</v>
          </cell>
          <cell r="N92">
            <v>62</v>
          </cell>
          <cell r="O92">
            <v>62</v>
          </cell>
          <cell r="P92">
            <v>75</v>
          </cell>
        </row>
        <row r="93">
          <cell r="B93" t="str">
            <v>Fresno</v>
          </cell>
          <cell r="C93"/>
          <cell r="D93" t="str">
            <v>ESE</v>
          </cell>
          <cell r="E93" t="str">
            <v>ESE</v>
          </cell>
          <cell r="F93" t="str">
            <v>NW</v>
          </cell>
          <cell r="G93" t="str">
            <v>NW</v>
          </cell>
          <cell r="H93" t="str">
            <v>WNW</v>
          </cell>
          <cell r="I93" t="str">
            <v>WNW</v>
          </cell>
          <cell r="J93" t="str">
            <v>WNW</v>
          </cell>
          <cell r="K93" t="str">
            <v>WNW</v>
          </cell>
          <cell r="L93" t="str">
            <v>WNW</v>
          </cell>
          <cell r="M93" t="str">
            <v>WNW</v>
          </cell>
          <cell r="N93" t="str">
            <v>WNW</v>
          </cell>
          <cell r="O93" t="str">
            <v>ESE</v>
          </cell>
          <cell r="P93" t="str">
            <v>WNW</v>
          </cell>
        </row>
        <row r="94">
          <cell r="B94"/>
          <cell r="C94"/>
          <cell r="D94">
            <v>5</v>
          </cell>
          <cell r="E94">
            <v>6</v>
          </cell>
          <cell r="F94">
            <v>7</v>
          </cell>
          <cell r="G94">
            <v>7</v>
          </cell>
          <cell r="H94">
            <v>8</v>
          </cell>
          <cell r="I94">
            <v>8</v>
          </cell>
          <cell r="J94">
            <v>7</v>
          </cell>
          <cell r="K94">
            <v>7</v>
          </cell>
          <cell r="L94">
            <v>6</v>
          </cell>
          <cell r="M94">
            <v>5</v>
          </cell>
          <cell r="N94">
            <v>5</v>
          </cell>
          <cell r="O94">
            <v>5</v>
          </cell>
          <cell r="P94">
            <v>6</v>
          </cell>
        </row>
        <row r="95">
          <cell r="B95"/>
          <cell r="C95"/>
          <cell r="D95">
            <v>43</v>
          </cell>
          <cell r="E95">
            <v>40</v>
          </cell>
          <cell r="F95">
            <v>49</v>
          </cell>
          <cell r="G95">
            <v>46</v>
          </cell>
          <cell r="H95">
            <v>43</v>
          </cell>
          <cell r="I95">
            <v>40</v>
          </cell>
          <cell r="J95">
            <v>28</v>
          </cell>
          <cell r="K95">
            <v>28</v>
          </cell>
          <cell r="L95">
            <v>29</v>
          </cell>
          <cell r="M95">
            <v>39</v>
          </cell>
          <cell r="N95">
            <v>54</v>
          </cell>
          <cell r="O95">
            <v>45</v>
          </cell>
          <cell r="P95">
            <v>54</v>
          </cell>
        </row>
        <row r="96">
          <cell r="B96" t="str">
            <v>Long Beach</v>
          </cell>
          <cell r="C96"/>
          <cell r="D96" t="str">
            <v>WNW</v>
          </cell>
          <cell r="E96" t="str">
            <v>WNW</v>
          </cell>
          <cell r="F96" t="str">
            <v>W</v>
          </cell>
          <cell r="G96" t="str">
            <v>S</v>
          </cell>
          <cell r="H96" t="str">
            <v>S</v>
          </cell>
          <cell r="I96" t="str">
            <v>S</v>
          </cell>
          <cell r="J96" t="str">
            <v>S</v>
          </cell>
          <cell r="K96" t="str">
            <v>WNW</v>
          </cell>
          <cell r="L96" t="str">
            <v>WNW</v>
          </cell>
          <cell r="M96" t="str">
            <v>WNW</v>
          </cell>
          <cell r="N96" t="str">
            <v>WNW</v>
          </cell>
          <cell r="O96" t="str">
            <v>WNW</v>
          </cell>
          <cell r="P96" t="str">
            <v>WNW</v>
          </cell>
        </row>
        <row r="97">
          <cell r="B97"/>
          <cell r="C97"/>
          <cell r="D97">
            <v>6</v>
          </cell>
          <cell r="E97">
            <v>6</v>
          </cell>
          <cell r="F97">
            <v>7</v>
          </cell>
          <cell r="G97">
            <v>7</v>
          </cell>
          <cell r="H97">
            <v>7</v>
          </cell>
          <cell r="I97">
            <v>7</v>
          </cell>
          <cell r="J97">
            <v>7</v>
          </cell>
          <cell r="K97">
            <v>7</v>
          </cell>
          <cell r="L97">
            <v>6</v>
          </cell>
          <cell r="M97">
            <v>6</v>
          </cell>
          <cell r="N97">
            <v>6</v>
          </cell>
          <cell r="O97">
            <v>5</v>
          </cell>
          <cell r="P97">
            <v>6</v>
          </cell>
        </row>
        <row r="98">
          <cell r="B98"/>
          <cell r="C98"/>
          <cell r="D98">
            <v>43</v>
          </cell>
          <cell r="E98">
            <v>40</v>
          </cell>
          <cell r="F98">
            <v>49</v>
          </cell>
          <cell r="G98">
            <v>46</v>
          </cell>
          <cell r="H98">
            <v>43</v>
          </cell>
          <cell r="I98">
            <v>40</v>
          </cell>
          <cell r="J98">
            <v>28</v>
          </cell>
          <cell r="K98">
            <v>28</v>
          </cell>
          <cell r="L98">
            <v>29</v>
          </cell>
          <cell r="M98">
            <v>38</v>
          </cell>
          <cell r="N98">
            <v>54</v>
          </cell>
          <cell r="O98">
            <v>45</v>
          </cell>
          <cell r="P98">
            <v>44</v>
          </cell>
        </row>
        <row r="99">
          <cell r="B99" t="str">
            <v>El Segundo</v>
          </cell>
          <cell r="C99"/>
          <cell r="D99" t="str">
            <v>WSW</v>
          </cell>
          <cell r="E99" t="str">
            <v>WSW</v>
          </cell>
          <cell r="F99" t="str">
            <v>WSW</v>
          </cell>
          <cell r="G99" t="str">
            <v>WSW</v>
          </cell>
          <cell r="H99" t="str">
            <v>WSW</v>
          </cell>
          <cell r="I99" t="str">
            <v>WSW</v>
          </cell>
          <cell r="J99" t="str">
            <v>WSW</v>
          </cell>
          <cell r="K99" t="str">
            <v>WSW</v>
          </cell>
          <cell r="L99" t="str">
            <v>WSW</v>
          </cell>
          <cell r="M99" t="str">
            <v>WSW</v>
          </cell>
          <cell r="N99" t="str">
            <v>W</v>
          </cell>
          <cell r="O99" t="str">
            <v>W</v>
          </cell>
          <cell r="P99" t="str">
            <v>WSW</v>
          </cell>
        </row>
        <row r="100">
          <cell r="B100"/>
          <cell r="C100"/>
          <cell r="D100">
            <v>7</v>
          </cell>
          <cell r="E100">
            <v>7</v>
          </cell>
          <cell r="F100">
            <v>8</v>
          </cell>
          <cell r="G100">
            <v>9</v>
          </cell>
          <cell r="H100">
            <v>8</v>
          </cell>
          <cell r="I100">
            <v>8</v>
          </cell>
          <cell r="J100">
            <v>8</v>
          </cell>
          <cell r="K100">
            <v>8</v>
          </cell>
          <cell r="L100">
            <v>7</v>
          </cell>
          <cell r="M100">
            <v>7</v>
          </cell>
          <cell r="N100">
            <v>7</v>
          </cell>
          <cell r="O100">
            <v>7</v>
          </cell>
          <cell r="P100">
            <v>8</v>
          </cell>
        </row>
        <row r="101">
          <cell r="B101"/>
          <cell r="C101"/>
          <cell r="D101">
            <v>51</v>
          </cell>
          <cell r="E101">
            <v>57</v>
          </cell>
          <cell r="F101">
            <v>62</v>
          </cell>
          <cell r="G101">
            <v>59</v>
          </cell>
          <cell r="H101">
            <v>49</v>
          </cell>
          <cell r="I101">
            <v>40</v>
          </cell>
          <cell r="J101">
            <v>31</v>
          </cell>
          <cell r="K101">
            <v>33</v>
          </cell>
          <cell r="L101">
            <v>39</v>
          </cell>
          <cell r="M101">
            <v>46</v>
          </cell>
          <cell r="N101">
            <v>60</v>
          </cell>
          <cell r="O101">
            <v>49</v>
          </cell>
          <cell r="P101">
            <v>62</v>
          </cell>
        </row>
        <row r="102">
          <cell r="B102" t="str">
            <v>Los Angeles</v>
          </cell>
          <cell r="C102"/>
          <cell r="D102" t="str">
            <v>NE</v>
          </cell>
          <cell r="E102" t="str">
            <v>W</v>
          </cell>
          <cell r="F102" t="str">
            <v>W</v>
          </cell>
          <cell r="G102" t="str">
            <v>W</v>
          </cell>
          <cell r="H102" t="str">
            <v>W</v>
          </cell>
          <cell r="I102" t="str">
            <v>W</v>
          </cell>
          <cell r="J102" t="str">
            <v>W</v>
          </cell>
          <cell r="K102" t="str">
            <v>W</v>
          </cell>
          <cell r="L102" t="str">
            <v>W</v>
          </cell>
          <cell r="M102" t="str">
            <v>W</v>
          </cell>
          <cell r="N102" t="str">
            <v>W</v>
          </cell>
          <cell r="O102" t="str">
            <v>NE</v>
          </cell>
          <cell r="P102" t="str">
            <v>W</v>
          </cell>
        </row>
        <row r="103">
          <cell r="B103"/>
          <cell r="C103"/>
          <cell r="D103">
            <v>7</v>
          </cell>
          <cell r="E103">
            <v>7</v>
          </cell>
          <cell r="F103">
            <v>7</v>
          </cell>
          <cell r="G103">
            <v>7</v>
          </cell>
          <cell r="H103">
            <v>6</v>
          </cell>
          <cell r="I103">
            <v>6</v>
          </cell>
          <cell r="J103">
            <v>5</v>
          </cell>
          <cell r="K103">
            <v>5</v>
          </cell>
          <cell r="L103">
            <v>5</v>
          </cell>
          <cell r="M103">
            <v>6</v>
          </cell>
          <cell r="N103">
            <v>6</v>
          </cell>
          <cell r="O103">
            <v>7</v>
          </cell>
          <cell r="P103">
            <v>6</v>
          </cell>
        </row>
        <row r="104">
          <cell r="B104"/>
          <cell r="C104"/>
          <cell r="D104">
            <v>49</v>
          </cell>
          <cell r="E104">
            <v>40</v>
          </cell>
          <cell r="F104">
            <v>47</v>
          </cell>
          <cell r="G104">
            <v>40</v>
          </cell>
          <cell r="H104">
            <v>39</v>
          </cell>
          <cell r="I104">
            <v>32</v>
          </cell>
          <cell r="J104">
            <v>21</v>
          </cell>
          <cell r="K104">
            <v>24</v>
          </cell>
          <cell r="L104">
            <v>27</v>
          </cell>
          <cell r="M104">
            <v>48</v>
          </cell>
          <cell r="N104">
            <v>42</v>
          </cell>
          <cell r="O104">
            <v>44</v>
          </cell>
          <cell r="P104">
            <v>49</v>
          </cell>
        </row>
        <row r="105">
          <cell r="B105" t="str">
            <v>Marysville</v>
          </cell>
          <cell r="C105"/>
          <cell r="D105" t="str">
            <v>SSE</v>
          </cell>
          <cell r="E105" t="str">
            <v>SSE</v>
          </cell>
          <cell r="F105" t="str">
            <v>SSE</v>
          </cell>
          <cell r="G105" t="str">
            <v>SSE</v>
          </cell>
          <cell r="H105" t="str">
            <v>SSE</v>
          </cell>
          <cell r="I105" t="str">
            <v>S</v>
          </cell>
          <cell r="J105" t="str">
            <v>S</v>
          </cell>
          <cell r="K105" t="str">
            <v>S</v>
          </cell>
          <cell r="L105" t="str">
            <v>S</v>
          </cell>
          <cell r="M105" t="str">
            <v>NNW</v>
          </cell>
          <cell r="N105" t="str">
            <v>SSE</v>
          </cell>
          <cell r="O105" t="str">
            <v>NNW</v>
          </cell>
          <cell r="P105" t="str">
            <v>SSE</v>
          </cell>
        </row>
        <row r="106">
          <cell r="B106"/>
          <cell r="C106"/>
          <cell r="D106">
            <v>5</v>
          </cell>
          <cell r="E106">
            <v>5</v>
          </cell>
          <cell r="F106">
            <v>6</v>
          </cell>
          <cell r="G106">
            <v>6</v>
          </cell>
          <cell r="H106">
            <v>6</v>
          </cell>
          <cell r="I106">
            <v>6</v>
          </cell>
          <cell r="J106">
            <v>5</v>
          </cell>
          <cell r="K106">
            <v>5</v>
          </cell>
          <cell r="L106">
            <v>5</v>
          </cell>
          <cell r="M106">
            <v>3</v>
          </cell>
          <cell r="N106">
            <v>5</v>
          </cell>
          <cell r="O106">
            <v>5</v>
          </cell>
          <cell r="P106">
            <v>5</v>
          </cell>
        </row>
        <row r="107">
          <cell r="B107"/>
          <cell r="C107"/>
          <cell r="D107">
            <v>59</v>
          </cell>
          <cell r="E107">
            <v>62</v>
          </cell>
          <cell r="F107">
            <v>51</v>
          </cell>
          <cell r="G107">
            <v>53</v>
          </cell>
          <cell r="H107">
            <v>43</v>
          </cell>
          <cell r="I107">
            <v>44</v>
          </cell>
          <cell r="J107">
            <v>38</v>
          </cell>
          <cell r="K107">
            <v>35</v>
          </cell>
          <cell r="L107">
            <v>48</v>
          </cell>
          <cell r="M107">
            <v>53</v>
          </cell>
          <cell r="N107">
            <v>64</v>
          </cell>
          <cell r="O107">
            <v>67</v>
          </cell>
          <cell r="P107">
            <v>67</v>
          </cell>
        </row>
        <row r="108">
          <cell r="B108" t="str">
            <v>Monterey</v>
          </cell>
          <cell r="C108"/>
          <cell r="D108" t="str">
            <v>SE</v>
          </cell>
          <cell r="E108" t="str">
            <v>SW</v>
          </cell>
          <cell r="F108" t="str">
            <v>W</v>
          </cell>
          <cell r="G108" t="str">
            <v>W</v>
          </cell>
          <cell r="H108" t="str">
            <v>W</v>
          </cell>
          <cell r="I108" t="str">
            <v>W</v>
          </cell>
          <cell r="J108" t="str">
            <v>W</v>
          </cell>
          <cell r="K108" t="str">
            <v>W</v>
          </cell>
          <cell r="L108" t="str">
            <v>W</v>
          </cell>
          <cell r="M108" t="str">
            <v>W</v>
          </cell>
          <cell r="N108" t="str">
            <v>SW</v>
          </cell>
          <cell r="O108" t="str">
            <v>SE</v>
          </cell>
          <cell r="P108" t="str">
            <v>W</v>
          </cell>
        </row>
        <row r="109">
          <cell r="B109"/>
          <cell r="C109"/>
          <cell r="D109">
            <v>5</v>
          </cell>
          <cell r="E109">
            <v>5</v>
          </cell>
          <cell r="F109">
            <v>7</v>
          </cell>
          <cell r="G109">
            <v>8</v>
          </cell>
          <cell r="H109">
            <v>9</v>
          </cell>
          <cell r="I109">
            <v>8</v>
          </cell>
          <cell r="J109">
            <v>8</v>
          </cell>
          <cell r="K109">
            <v>7</v>
          </cell>
          <cell r="L109">
            <v>6</v>
          </cell>
          <cell r="M109">
            <v>6</v>
          </cell>
          <cell r="N109">
            <v>5</v>
          </cell>
          <cell r="O109">
            <v>5</v>
          </cell>
          <cell r="P109">
            <v>7</v>
          </cell>
        </row>
        <row r="110">
          <cell r="B110"/>
          <cell r="C110"/>
          <cell r="D110" t="str">
            <v>N/A</v>
          </cell>
          <cell r="E110" t="str">
            <v>N/A</v>
          </cell>
          <cell r="F110" t="str">
            <v>N/A</v>
          </cell>
          <cell r="G110" t="str">
            <v>N/A</v>
          </cell>
          <cell r="H110" t="str">
            <v>N/A</v>
          </cell>
          <cell r="I110" t="str">
            <v>N/A</v>
          </cell>
          <cell r="J110" t="str">
            <v>N/A</v>
          </cell>
          <cell r="K110" t="str">
            <v>N/A</v>
          </cell>
          <cell r="L110" t="str">
            <v>N/A</v>
          </cell>
          <cell r="M110" t="str">
            <v>N/A</v>
          </cell>
          <cell r="N110" t="str">
            <v>N/A</v>
          </cell>
          <cell r="O110" t="str">
            <v>N/A</v>
          </cell>
          <cell r="P110" t="str">
            <v>N/A</v>
          </cell>
        </row>
        <row r="111">
          <cell r="B111" t="str">
            <v>Mountain View</v>
          </cell>
          <cell r="C111"/>
          <cell r="D111" t="str">
            <v xml:space="preserve">N </v>
          </cell>
          <cell r="E111" t="str">
            <v xml:space="preserve">N </v>
          </cell>
          <cell r="F111" t="str">
            <v xml:space="preserve">NNW </v>
          </cell>
          <cell r="G111" t="str">
            <v xml:space="preserve">NNW </v>
          </cell>
          <cell r="H111" t="str">
            <v xml:space="preserve">NNW </v>
          </cell>
          <cell r="I111" t="str">
            <v xml:space="preserve">NNW </v>
          </cell>
          <cell r="J111" t="str">
            <v xml:space="preserve">NNW </v>
          </cell>
          <cell r="K111" t="str">
            <v xml:space="preserve">NNW </v>
          </cell>
          <cell r="L111" t="str">
            <v xml:space="preserve">NNW </v>
          </cell>
          <cell r="M111" t="str">
            <v xml:space="preserve">NNW </v>
          </cell>
          <cell r="N111" t="str">
            <v xml:space="preserve">NNW </v>
          </cell>
          <cell r="O111" t="str">
            <v xml:space="preserve">NNW </v>
          </cell>
          <cell r="P111" t="str">
            <v xml:space="preserve">NNW </v>
          </cell>
        </row>
        <row r="112">
          <cell r="B112"/>
          <cell r="C112"/>
          <cell r="D112">
            <v>5</v>
          </cell>
          <cell r="E112">
            <v>5</v>
          </cell>
          <cell r="F112">
            <v>6</v>
          </cell>
          <cell r="G112">
            <v>6</v>
          </cell>
          <cell r="H112">
            <v>7</v>
          </cell>
          <cell r="I112">
            <v>7</v>
          </cell>
          <cell r="J112">
            <v>7</v>
          </cell>
          <cell r="K112">
            <v>7</v>
          </cell>
          <cell r="L112">
            <v>5</v>
          </cell>
          <cell r="M112">
            <v>5</v>
          </cell>
          <cell r="N112">
            <v>5</v>
          </cell>
          <cell r="O112">
            <v>3</v>
          </cell>
          <cell r="P112">
            <v>6</v>
          </cell>
        </row>
        <row r="113">
          <cell r="B113"/>
          <cell r="C113"/>
          <cell r="D113">
            <v>64</v>
          </cell>
          <cell r="E113">
            <v>64</v>
          </cell>
          <cell r="F113">
            <v>51</v>
          </cell>
          <cell r="G113">
            <v>49</v>
          </cell>
          <cell r="H113">
            <v>44</v>
          </cell>
          <cell r="I113">
            <v>46</v>
          </cell>
          <cell r="J113">
            <v>38</v>
          </cell>
          <cell r="K113">
            <v>39</v>
          </cell>
          <cell r="L113">
            <v>38</v>
          </cell>
          <cell r="M113">
            <v>55</v>
          </cell>
          <cell r="N113">
            <v>53</v>
          </cell>
          <cell r="O113">
            <v>62</v>
          </cell>
          <cell r="P113">
            <v>64</v>
          </cell>
        </row>
        <row r="114">
          <cell r="B114" t="str">
            <v>Palmdale</v>
          </cell>
          <cell r="C114"/>
          <cell r="D114" t="str">
            <v>SW</v>
          </cell>
          <cell r="E114" t="str">
            <v>SW</v>
          </cell>
          <cell r="F114" t="str">
            <v>SW</v>
          </cell>
          <cell r="G114" t="str">
            <v>SW</v>
          </cell>
          <cell r="H114" t="str">
            <v>SW</v>
          </cell>
          <cell r="I114" t="str">
            <v>SW</v>
          </cell>
          <cell r="J114" t="str">
            <v>SW</v>
          </cell>
          <cell r="K114" t="str">
            <v>SW</v>
          </cell>
          <cell r="L114" t="str">
            <v>SW</v>
          </cell>
          <cell r="M114" t="str">
            <v>SW</v>
          </cell>
          <cell r="N114" t="str">
            <v>SW</v>
          </cell>
          <cell r="O114" t="str">
            <v>SW</v>
          </cell>
          <cell r="P114" t="str">
            <v>SW</v>
          </cell>
        </row>
        <row r="115">
          <cell r="B115"/>
          <cell r="C115"/>
          <cell r="D115">
            <v>8</v>
          </cell>
          <cell r="E115">
            <v>9</v>
          </cell>
          <cell r="F115">
            <v>12</v>
          </cell>
          <cell r="G115">
            <v>13</v>
          </cell>
          <cell r="H115">
            <v>13</v>
          </cell>
          <cell r="I115">
            <v>13</v>
          </cell>
          <cell r="J115">
            <v>12</v>
          </cell>
          <cell r="K115">
            <v>10</v>
          </cell>
          <cell r="L115">
            <v>9</v>
          </cell>
          <cell r="M115">
            <v>8</v>
          </cell>
          <cell r="N115">
            <v>8</v>
          </cell>
          <cell r="O115">
            <v>8</v>
          </cell>
          <cell r="P115">
            <v>10</v>
          </cell>
        </row>
        <row r="116">
          <cell r="B116"/>
          <cell r="C116"/>
          <cell r="D116">
            <v>46</v>
          </cell>
          <cell r="E116">
            <v>63</v>
          </cell>
          <cell r="F116">
            <v>46</v>
          </cell>
          <cell r="G116">
            <v>46</v>
          </cell>
          <cell r="H116">
            <v>46</v>
          </cell>
          <cell r="I116">
            <v>46</v>
          </cell>
          <cell r="J116">
            <v>46</v>
          </cell>
          <cell r="K116">
            <v>46</v>
          </cell>
          <cell r="L116">
            <v>38</v>
          </cell>
          <cell r="M116">
            <v>46</v>
          </cell>
          <cell r="N116">
            <v>46</v>
          </cell>
          <cell r="O116">
            <v>46</v>
          </cell>
          <cell r="P116">
            <v>63</v>
          </cell>
        </row>
        <row r="117">
          <cell r="B117" t="str">
            <v>Pt. Mugu NAS</v>
          </cell>
          <cell r="C117"/>
          <cell r="D117" t="str">
            <v>NE</v>
          </cell>
          <cell r="E117" t="str">
            <v>W</v>
          </cell>
          <cell r="F117" t="str">
            <v>W</v>
          </cell>
          <cell r="G117" t="str">
            <v>W</v>
          </cell>
          <cell r="H117" t="str">
            <v>W</v>
          </cell>
          <cell r="I117" t="str">
            <v>W</v>
          </cell>
          <cell r="J117" t="str">
            <v>W</v>
          </cell>
          <cell r="K117" t="str">
            <v>W</v>
          </cell>
          <cell r="L117" t="str">
            <v>W</v>
          </cell>
          <cell r="M117" t="str">
            <v>W</v>
          </cell>
          <cell r="N117" t="str">
            <v>W</v>
          </cell>
          <cell r="O117" t="str">
            <v>NE</v>
          </cell>
          <cell r="P117" t="str">
            <v>W</v>
          </cell>
        </row>
        <row r="118">
          <cell r="B118"/>
          <cell r="C118"/>
          <cell r="D118">
            <v>6</v>
          </cell>
          <cell r="E118">
            <v>6</v>
          </cell>
          <cell r="F118">
            <v>6</v>
          </cell>
          <cell r="G118">
            <v>6</v>
          </cell>
          <cell r="H118">
            <v>6</v>
          </cell>
          <cell r="I118">
            <v>5</v>
          </cell>
          <cell r="J118">
            <v>5</v>
          </cell>
          <cell r="K118">
            <v>5</v>
          </cell>
          <cell r="L118">
            <v>5</v>
          </cell>
          <cell r="M118">
            <v>5</v>
          </cell>
          <cell r="N118">
            <v>5</v>
          </cell>
          <cell r="O118">
            <v>6</v>
          </cell>
          <cell r="P118">
            <v>6</v>
          </cell>
        </row>
        <row r="119">
          <cell r="B119"/>
          <cell r="C119"/>
          <cell r="D119">
            <v>70</v>
          </cell>
          <cell r="E119">
            <v>56</v>
          </cell>
          <cell r="F119">
            <v>54</v>
          </cell>
          <cell r="G119">
            <v>58</v>
          </cell>
          <cell r="H119">
            <v>51</v>
          </cell>
          <cell r="I119">
            <v>40</v>
          </cell>
          <cell r="J119">
            <v>38</v>
          </cell>
          <cell r="K119">
            <v>29</v>
          </cell>
          <cell r="L119">
            <v>46</v>
          </cell>
          <cell r="M119">
            <v>49</v>
          </cell>
          <cell r="N119">
            <v>64</v>
          </cell>
          <cell r="O119">
            <v>67</v>
          </cell>
          <cell r="P119">
            <v>70</v>
          </cell>
        </row>
        <row r="120">
          <cell r="B120" t="str">
            <v>Red Bluff</v>
          </cell>
          <cell r="C120"/>
          <cell r="D120" t="str">
            <v>SSE</v>
          </cell>
          <cell r="E120" t="str">
            <v>SSE</v>
          </cell>
          <cell r="F120" t="str">
            <v>SSE</v>
          </cell>
          <cell r="G120" t="str">
            <v>SSE</v>
          </cell>
          <cell r="H120" t="str">
            <v>SSE</v>
          </cell>
          <cell r="I120" t="str">
            <v>SSE</v>
          </cell>
          <cell r="J120" t="str">
            <v>SSE</v>
          </cell>
          <cell r="K120" t="str">
            <v>SSE</v>
          </cell>
          <cell r="L120" t="str">
            <v>SSE</v>
          </cell>
          <cell r="M120" t="str">
            <v>NW</v>
          </cell>
          <cell r="N120" t="str">
            <v>NW</v>
          </cell>
          <cell r="O120" t="str">
            <v>NW</v>
          </cell>
          <cell r="P120" t="str">
            <v>SSE</v>
          </cell>
        </row>
        <row r="121">
          <cell r="B121"/>
          <cell r="C121"/>
          <cell r="D121">
            <v>9</v>
          </cell>
          <cell r="E121">
            <v>9</v>
          </cell>
          <cell r="F121">
            <v>10</v>
          </cell>
          <cell r="G121">
            <v>10</v>
          </cell>
          <cell r="H121">
            <v>9</v>
          </cell>
          <cell r="I121">
            <v>9</v>
          </cell>
          <cell r="J121">
            <v>8</v>
          </cell>
          <cell r="K121">
            <v>8</v>
          </cell>
          <cell r="L121">
            <v>8</v>
          </cell>
          <cell r="M121">
            <v>8</v>
          </cell>
          <cell r="N121">
            <v>8</v>
          </cell>
          <cell r="O121">
            <v>8</v>
          </cell>
          <cell r="P121">
            <v>9</v>
          </cell>
        </row>
        <row r="122">
          <cell r="B122"/>
          <cell r="C122"/>
          <cell r="D122">
            <v>47</v>
          </cell>
          <cell r="E122">
            <v>55</v>
          </cell>
          <cell r="F122">
            <v>60</v>
          </cell>
          <cell r="G122">
            <v>47</v>
          </cell>
          <cell r="H122">
            <v>45</v>
          </cell>
          <cell r="I122">
            <v>41</v>
          </cell>
          <cell r="J122">
            <v>39</v>
          </cell>
          <cell r="K122">
            <v>35</v>
          </cell>
          <cell r="L122">
            <v>43</v>
          </cell>
          <cell r="M122">
            <v>48</v>
          </cell>
          <cell r="N122">
            <v>54</v>
          </cell>
          <cell r="O122">
            <v>49</v>
          </cell>
          <cell r="P122">
            <v>60</v>
          </cell>
        </row>
        <row r="123">
          <cell r="B123" t="str">
            <v>Redding</v>
          </cell>
          <cell r="C123"/>
          <cell r="D123" t="str">
            <v>N</v>
          </cell>
          <cell r="E123" t="str">
            <v>N</v>
          </cell>
          <cell r="F123" t="str">
            <v>N</v>
          </cell>
          <cell r="G123" t="str">
            <v>N</v>
          </cell>
          <cell r="H123" t="str">
            <v>S</v>
          </cell>
          <cell r="I123" t="str">
            <v>S</v>
          </cell>
          <cell r="J123" t="str">
            <v>S</v>
          </cell>
          <cell r="K123" t="str">
            <v>S</v>
          </cell>
          <cell r="L123" t="str">
            <v>S</v>
          </cell>
          <cell r="M123" t="str">
            <v>S</v>
          </cell>
          <cell r="N123" t="str">
            <v>NNW</v>
          </cell>
          <cell r="O123" t="str">
            <v>NNW</v>
          </cell>
          <cell r="P123" t="str">
            <v>N</v>
          </cell>
        </row>
        <row r="124">
          <cell r="B124"/>
          <cell r="C124"/>
          <cell r="D124">
            <v>7</v>
          </cell>
          <cell r="E124">
            <v>7</v>
          </cell>
          <cell r="F124">
            <v>8</v>
          </cell>
          <cell r="G124">
            <v>7</v>
          </cell>
          <cell r="H124">
            <v>8</v>
          </cell>
          <cell r="I124">
            <v>8</v>
          </cell>
          <cell r="J124">
            <v>7</v>
          </cell>
          <cell r="K124">
            <v>7</v>
          </cell>
          <cell r="L124">
            <v>6</v>
          </cell>
          <cell r="M124">
            <v>7</v>
          </cell>
          <cell r="N124">
            <v>6</v>
          </cell>
          <cell r="O124">
            <v>7</v>
          </cell>
          <cell r="P124">
            <v>7</v>
          </cell>
        </row>
        <row r="125">
          <cell r="B125"/>
          <cell r="C125"/>
          <cell r="D125">
            <v>70</v>
          </cell>
          <cell r="E125">
            <v>64</v>
          </cell>
          <cell r="F125">
            <v>74</v>
          </cell>
          <cell r="G125">
            <v>47</v>
          </cell>
          <cell r="H125">
            <v>54</v>
          </cell>
          <cell r="I125">
            <v>60</v>
          </cell>
          <cell r="J125">
            <v>36</v>
          </cell>
          <cell r="K125">
            <v>46</v>
          </cell>
          <cell r="L125">
            <v>44</v>
          </cell>
          <cell r="M125">
            <v>66</v>
          </cell>
          <cell r="N125">
            <v>58</v>
          </cell>
          <cell r="O125">
            <v>85</v>
          </cell>
          <cell r="P125">
            <v>85</v>
          </cell>
        </row>
        <row r="126">
          <cell r="B126" t="str">
            <v>Riverside</v>
          </cell>
          <cell r="C126"/>
          <cell r="D126" t="str">
            <v>NNW</v>
          </cell>
          <cell r="E126" t="str">
            <v>WNW</v>
          </cell>
          <cell r="F126" t="str">
            <v>WNW</v>
          </cell>
          <cell r="G126" t="str">
            <v>WNW</v>
          </cell>
          <cell r="H126" t="str">
            <v>WNW</v>
          </cell>
          <cell r="I126" t="str">
            <v>WNW</v>
          </cell>
          <cell r="J126" t="str">
            <v>WNW</v>
          </cell>
          <cell r="K126" t="str">
            <v>WNW</v>
          </cell>
          <cell r="L126" t="str">
            <v>WNW</v>
          </cell>
          <cell r="M126" t="str">
            <v>WNW</v>
          </cell>
          <cell r="N126" t="str">
            <v>WNW</v>
          </cell>
          <cell r="O126" t="str">
            <v>NNW</v>
          </cell>
          <cell r="P126" t="str">
            <v>NNW</v>
          </cell>
        </row>
        <row r="127">
          <cell r="B127"/>
          <cell r="C127"/>
          <cell r="D127">
            <v>3</v>
          </cell>
          <cell r="E127">
            <v>3</v>
          </cell>
          <cell r="F127">
            <v>3</v>
          </cell>
          <cell r="G127">
            <v>5</v>
          </cell>
          <cell r="H127">
            <v>5</v>
          </cell>
          <cell r="I127">
            <v>5</v>
          </cell>
          <cell r="J127">
            <v>5</v>
          </cell>
          <cell r="K127">
            <v>5</v>
          </cell>
          <cell r="L127">
            <v>3</v>
          </cell>
          <cell r="M127">
            <v>3</v>
          </cell>
          <cell r="N127">
            <v>3</v>
          </cell>
          <cell r="O127">
            <v>3</v>
          </cell>
          <cell r="P127">
            <v>3</v>
          </cell>
        </row>
        <row r="128">
          <cell r="B128"/>
          <cell r="C128"/>
          <cell r="D128">
            <v>53</v>
          </cell>
          <cell r="E128">
            <v>52</v>
          </cell>
          <cell r="F128">
            <v>55</v>
          </cell>
          <cell r="G128">
            <v>46</v>
          </cell>
          <cell r="H128">
            <v>44</v>
          </cell>
          <cell r="I128">
            <v>45</v>
          </cell>
          <cell r="J128">
            <v>49</v>
          </cell>
          <cell r="K128">
            <v>41</v>
          </cell>
          <cell r="L128">
            <v>45</v>
          </cell>
          <cell r="M128">
            <v>47</v>
          </cell>
          <cell r="N128">
            <v>51</v>
          </cell>
          <cell r="O128">
            <v>56</v>
          </cell>
          <cell r="P128">
            <v>56</v>
          </cell>
        </row>
        <row r="129">
          <cell r="B129" t="str">
            <v>Sacramento</v>
          </cell>
          <cell r="C129"/>
          <cell r="D129" t="str">
            <v>SE</v>
          </cell>
          <cell r="E129" t="str">
            <v>SE</v>
          </cell>
          <cell r="F129" t="str">
            <v>SE</v>
          </cell>
          <cell r="G129" t="str">
            <v>SE</v>
          </cell>
          <cell r="H129" t="str">
            <v>SE</v>
          </cell>
          <cell r="I129" t="str">
            <v>SE</v>
          </cell>
          <cell r="J129" t="str">
            <v>SE</v>
          </cell>
          <cell r="K129" t="str">
            <v>SE</v>
          </cell>
          <cell r="L129" t="str">
            <v>SE</v>
          </cell>
          <cell r="M129" t="str">
            <v>SW</v>
          </cell>
          <cell r="N129" t="str">
            <v>SW</v>
          </cell>
          <cell r="O129" t="str">
            <v>SW</v>
          </cell>
          <cell r="P129" t="str">
            <v>SE</v>
          </cell>
        </row>
        <row r="130">
          <cell r="C130" t="str">
            <v>SPD</v>
          </cell>
          <cell r="D130">
            <v>7</v>
          </cell>
          <cell r="E130">
            <v>8</v>
          </cell>
          <cell r="F130">
            <v>9</v>
          </cell>
          <cell r="G130">
            <v>9</v>
          </cell>
          <cell r="H130">
            <v>9</v>
          </cell>
          <cell r="I130">
            <v>10</v>
          </cell>
          <cell r="J130">
            <v>9</v>
          </cell>
          <cell r="K130">
            <v>9</v>
          </cell>
          <cell r="L130">
            <v>8</v>
          </cell>
          <cell r="M130">
            <v>7</v>
          </cell>
          <cell r="N130">
            <v>6</v>
          </cell>
          <cell r="O130">
            <v>7</v>
          </cell>
          <cell r="P130">
            <v>8</v>
          </cell>
        </row>
        <row r="131">
          <cell r="C131" t="str">
            <v>$PGU</v>
          </cell>
          <cell r="D131">
            <v>60</v>
          </cell>
          <cell r="E131">
            <v>51</v>
          </cell>
          <cell r="F131">
            <v>66</v>
          </cell>
          <cell r="G131">
            <v>45</v>
          </cell>
          <cell r="H131">
            <v>74</v>
          </cell>
          <cell r="I131">
            <v>47</v>
          </cell>
          <cell r="J131">
            <v>36</v>
          </cell>
          <cell r="K131">
            <v>38</v>
          </cell>
          <cell r="L131">
            <v>42</v>
          </cell>
          <cell r="M131">
            <v>68</v>
          </cell>
          <cell r="N131">
            <v>70</v>
          </cell>
          <cell r="O131">
            <v>70</v>
          </cell>
          <cell r="P131">
            <v>74</v>
          </cell>
        </row>
        <row r="132">
          <cell r="B132" t="str">
            <v>San Diego</v>
          </cell>
          <cell r="C132"/>
          <cell r="D132" t="str">
            <v>WNW</v>
          </cell>
          <cell r="E132" t="str">
            <v>WNW</v>
          </cell>
          <cell r="F132" t="str">
            <v>WNW</v>
          </cell>
          <cell r="G132" t="str">
            <v>WNW</v>
          </cell>
          <cell r="H132" t="str">
            <v>WNW</v>
          </cell>
          <cell r="I132" t="str">
            <v>WNW</v>
          </cell>
          <cell r="J132" t="str">
            <v>WNW</v>
          </cell>
          <cell r="K132" t="str">
            <v>WNW</v>
          </cell>
          <cell r="L132" t="str">
            <v>WNW</v>
          </cell>
          <cell r="M132" t="str">
            <v>WNW</v>
          </cell>
          <cell r="N132" t="str">
            <v>WNW</v>
          </cell>
          <cell r="O132" t="str">
            <v>WNW</v>
          </cell>
          <cell r="P132" t="str">
            <v>WNW</v>
          </cell>
        </row>
        <row r="133">
          <cell r="C133" t="str">
            <v>SPD</v>
          </cell>
          <cell r="D133">
            <v>6</v>
          </cell>
          <cell r="E133">
            <v>7</v>
          </cell>
          <cell r="F133">
            <v>8</v>
          </cell>
          <cell r="G133">
            <v>8</v>
          </cell>
          <cell r="H133">
            <v>8</v>
          </cell>
          <cell r="I133">
            <v>8</v>
          </cell>
          <cell r="J133">
            <v>8</v>
          </cell>
          <cell r="K133">
            <v>7</v>
          </cell>
          <cell r="L133">
            <v>7</v>
          </cell>
          <cell r="M133">
            <v>7</v>
          </cell>
          <cell r="N133">
            <v>6</v>
          </cell>
          <cell r="O133">
            <v>6</v>
          </cell>
          <cell r="P133">
            <v>7</v>
          </cell>
        </row>
        <row r="134">
          <cell r="C134" t="str">
            <v>PGU</v>
          </cell>
          <cell r="D134">
            <v>64</v>
          </cell>
          <cell r="E134">
            <v>46</v>
          </cell>
          <cell r="F134">
            <v>44</v>
          </cell>
          <cell r="G134">
            <v>40</v>
          </cell>
          <cell r="H134">
            <v>40</v>
          </cell>
          <cell r="I134">
            <v>35</v>
          </cell>
          <cell r="J134">
            <v>30</v>
          </cell>
          <cell r="K134">
            <v>29</v>
          </cell>
          <cell r="L134">
            <v>35</v>
          </cell>
          <cell r="M134">
            <v>32</v>
          </cell>
          <cell r="N134">
            <v>37</v>
          </cell>
          <cell r="O134">
            <v>44</v>
          </cell>
          <cell r="P134">
            <v>64</v>
          </cell>
        </row>
        <row r="135">
          <cell r="B135" t="str">
            <v>San Clemente</v>
          </cell>
          <cell r="C135"/>
          <cell r="D135" t="str">
            <v>WNW</v>
          </cell>
          <cell r="E135" t="str">
            <v>WNW</v>
          </cell>
          <cell r="F135" t="str">
            <v>WNW</v>
          </cell>
          <cell r="G135" t="str">
            <v>W</v>
          </cell>
          <cell r="H135" t="str">
            <v>W</v>
          </cell>
          <cell r="I135" t="str">
            <v>W</v>
          </cell>
          <cell r="J135" t="str">
            <v>W</v>
          </cell>
          <cell r="K135" t="str">
            <v>W</v>
          </cell>
          <cell r="L135" t="str">
            <v>W</v>
          </cell>
          <cell r="M135" t="str">
            <v>W</v>
          </cell>
          <cell r="N135" t="str">
            <v>W</v>
          </cell>
          <cell r="O135" t="str">
            <v>W</v>
          </cell>
          <cell r="P135" t="str">
            <v>W</v>
          </cell>
        </row>
        <row r="136">
          <cell r="C136" t="str">
            <v>SPD</v>
          </cell>
          <cell r="D136">
            <v>7</v>
          </cell>
          <cell r="E136">
            <v>7</v>
          </cell>
          <cell r="F136">
            <v>9</v>
          </cell>
          <cell r="G136">
            <v>8</v>
          </cell>
          <cell r="H136">
            <v>8</v>
          </cell>
          <cell r="I136">
            <v>8</v>
          </cell>
          <cell r="J136">
            <v>7</v>
          </cell>
          <cell r="K136">
            <v>7</v>
          </cell>
          <cell r="L136">
            <v>7</v>
          </cell>
          <cell r="M136">
            <v>7</v>
          </cell>
          <cell r="N136">
            <v>7</v>
          </cell>
          <cell r="O136">
            <v>6</v>
          </cell>
          <cell r="P136">
            <v>7</v>
          </cell>
        </row>
        <row r="137">
          <cell r="C137" t="str">
            <v>PGU</v>
          </cell>
          <cell r="D137">
            <v>47</v>
          </cell>
          <cell r="E137">
            <v>53</v>
          </cell>
          <cell r="F137">
            <v>51</v>
          </cell>
          <cell r="G137">
            <v>52</v>
          </cell>
          <cell r="H137">
            <v>49</v>
          </cell>
          <cell r="I137">
            <v>36</v>
          </cell>
          <cell r="J137">
            <v>32</v>
          </cell>
          <cell r="K137">
            <v>32</v>
          </cell>
          <cell r="L137">
            <v>33</v>
          </cell>
          <cell r="M137">
            <v>47</v>
          </cell>
          <cell r="N137">
            <v>46</v>
          </cell>
          <cell r="O137">
            <v>53</v>
          </cell>
          <cell r="P137">
            <v>53</v>
          </cell>
        </row>
        <row r="138">
          <cell r="B138" t="str">
            <v>San Francisco</v>
          </cell>
          <cell r="C138"/>
          <cell r="D138" t="str">
            <v>WNW</v>
          </cell>
          <cell r="E138" t="str">
            <v>WNW</v>
          </cell>
          <cell r="F138" t="str">
            <v>WNW</v>
          </cell>
          <cell r="G138" t="str">
            <v>WNW</v>
          </cell>
          <cell r="H138" t="str">
            <v>WNW</v>
          </cell>
          <cell r="I138" t="str">
            <v>WNW</v>
          </cell>
          <cell r="J138" t="str">
            <v>WNW</v>
          </cell>
          <cell r="K138" t="str">
            <v>WNW</v>
          </cell>
          <cell r="L138" t="str">
            <v>WNW</v>
          </cell>
          <cell r="M138" t="str">
            <v>WNW</v>
          </cell>
          <cell r="N138" t="str">
            <v>WNW</v>
          </cell>
          <cell r="O138" t="str">
            <v>WNW</v>
          </cell>
          <cell r="P138" t="str">
            <v>WNW</v>
          </cell>
        </row>
        <row r="139">
          <cell r="B139"/>
          <cell r="C139"/>
          <cell r="D139">
            <v>8</v>
          </cell>
          <cell r="E139">
            <v>9</v>
          </cell>
          <cell r="F139">
            <v>11</v>
          </cell>
          <cell r="G139">
            <v>13</v>
          </cell>
          <cell r="H139">
            <v>14</v>
          </cell>
          <cell r="I139">
            <v>14</v>
          </cell>
          <cell r="J139">
            <v>14</v>
          </cell>
          <cell r="K139">
            <v>13</v>
          </cell>
          <cell r="L139">
            <v>12</v>
          </cell>
          <cell r="M139">
            <v>10</v>
          </cell>
          <cell r="N139">
            <v>8</v>
          </cell>
          <cell r="O139">
            <v>8</v>
          </cell>
          <cell r="P139">
            <v>11</v>
          </cell>
        </row>
        <row r="140">
          <cell r="B140"/>
          <cell r="C140"/>
          <cell r="D140">
            <v>61</v>
          </cell>
          <cell r="E140">
            <v>69</v>
          </cell>
          <cell r="F140">
            <v>64</v>
          </cell>
          <cell r="G140">
            <v>54</v>
          </cell>
          <cell r="H140">
            <v>58</v>
          </cell>
          <cell r="I140">
            <v>51</v>
          </cell>
          <cell r="J140">
            <v>52</v>
          </cell>
          <cell r="K140">
            <v>45</v>
          </cell>
          <cell r="L140">
            <v>44</v>
          </cell>
          <cell r="M140">
            <v>58</v>
          </cell>
          <cell r="N140">
            <v>60</v>
          </cell>
          <cell r="O140">
            <v>74</v>
          </cell>
          <cell r="P140">
            <v>74</v>
          </cell>
        </row>
        <row r="141">
          <cell r="B141" t="str">
            <v>San Nicholas</v>
          </cell>
          <cell r="C141"/>
          <cell r="D141" t="str">
            <v>NW</v>
          </cell>
          <cell r="E141" t="str">
            <v>NW</v>
          </cell>
          <cell r="F141" t="str">
            <v>NW</v>
          </cell>
          <cell r="G141" t="str">
            <v>NW</v>
          </cell>
          <cell r="H141" t="str">
            <v>NW</v>
          </cell>
          <cell r="I141" t="str">
            <v>NW</v>
          </cell>
          <cell r="J141" t="str">
            <v>NW</v>
          </cell>
          <cell r="K141" t="str">
            <v>NW</v>
          </cell>
          <cell r="L141" t="str">
            <v>NW</v>
          </cell>
          <cell r="M141" t="str">
            <v>NW</v>
          </cell>
          <cell r="N141" t="str">
            <v>NW</v>
          </cell>
          <cell r="O141" t="str">
            <v>NW</v>
          </cell>
          <cell r="P141" t="str">
            <v>NW</v>
          </cell>
        </row>
        <row r="142">
          <cell r="B142"/>
          <cell r="C142"/>
          <cell r="D142">
            <v>9</v>
          </cell>
          <cell r="E142">
            <v>10</v>
          </cell>
          <cell r="F142">
            <v>13</v>
          </cell>
          <cell r="G142">
            <v>13</v>
          </cell>
          <cell r="H142">
            <v>12</v>
          </cell>
          <cell r="I142">
            <v>12</v>
          </cell>
          <cell r="J142">
            <v>10</v>
          </cell>
          <cell r="K142">
            <v>10</v>
          </cell>
          <cell r="L142">
            <v>9</v>
          </cell>
          <cell r="M142">
            <v>9</v>
          </cell>
          <cell r="N142">
            <v>9</v>
          </cell>
          <cell r="O142">
            <v>8</v>
          </cell>
          <cell r="P142">
            <v>10</v>
          </cell>
        </row>
        <row r="143">
          <cell r="B143"/>
          <cell r="C143"/>
          <cell r="D143">
            <v>60</v>
          </cell>
          <cell r="E143">
            <v>74</v>
          </cell>
          <cell r="F143">
            <v>62</v>
          </cell>
          <cell r="G143">
            <v>64</v>
          </cell>
          <cell r="H143">
            <v>64</v>
          </cell>
          <cell r="I143">
            <v>60</v>
          </cell>
          <cell r="J143">
            <v>52</v>
          </cell>
          <cell r="K143">
            <v>47</v>
          </cell>
          <cell r="L143">
            <v>54</v>
          </cell>
          <cell r="M143">
            <v>58</v>
          </cell>
          <cell r="N143">
            <v>60</v>
          </cell>
          <cell r="O143">
            <v>63</v>
          </cell>
          <cell r="P143">
            <v>74</v>
          </cell>
        </row>
        <row r="144">
          <cell r="B144" t="str">
            <v>Santa Ana</v>
          </cell>
          <cell r="C144"/>
          <cell r="D144" t="str">
            <v>W</v>
          </cell>
          <cell r="E144" t="str">
            <v>WSW</v>
          </cell>
          <cell r="F144" t="str">
            <v>WSW</v>
          </cell>
          <cell r="G144" t="str">
            <v>WSW</v>
          </cell>
          <cell r="H144" t="str">
            <v>WSW</v>
          </cell>
          <cell r="I144" t="str">
            <v>WSW</v>
          </cell>
          <cell r="J144" t="str">
            <v>WSW</v>
          </cell>
          <cell r="K144" t="str">
            <v>WSW</v>
          </cell>
          <cell r="L144" t="str">
            <v>WSW</v>
          </cell>
          <cell r="M144" t="str">
            <v>WSW</v>
          </cell>
          <cell r="N144" t="str">
            <v>W</v>
          </cell>
          <cell r="O144" t="str">
            <v>W</v>
          </cell>
          <cell r="P144" t="str">
            <v>WSW</v>
          </cell>
        </row>
        <row r="145">
          <cell r="B145"/>
          <cell r="C145"/>
          <cell r="D145">
            <v>3</v>
          </cell>
          <cell r="E145">
            <v>5</v>
          </cell>
          <cell r="F145">
            <v>5</v>
          </cell>
          <cell r="G145">
            <v>5</v>
          </cell>
          <cell r="H145">
            <v>5</v>
          </cell>
          <cell r="I145">
            <v>5</v>
          </cell>
          <cell r="J145">
            <v>5</v>
          </cell>
          <cell r="K145">
            <v>3</v>
          </cell>
          <cell r="L145">
            <v>3</v>
          </cell>
          <cell r="M145">
            <v>3</v>
          </cell>
          <cell r="N145">
            <v>3</v>
          </cell>
          <cell r="O145">
            <v>3</v>
          </cell>
          <cell r="P145">
            <v>3</v>
          </cell>
        </row>
        <row r="146">
          <cell r="B146"/>
          <cell r="C146"/>
          <cell r="D146">
            <v>66</v>
          </cell>
          <cell r="E146">
            <v>61</v>
          </cell>
          <cell r="F146">
            <v>48</v>
          </cell>
          <cell r="G146">
            <v>52</v>
          </cell>
          <cell r="H146">
            <v>46</v>
          </cell>
          <cell r="I146">
            <v>33</v>
          </cell>
          <cell r="J146">
            <v>31</v>
          </cell>
          <cell r="K146">
            <v>36</v>
          </cell>
          <cell r="L146">
            <v>46</v>
          </cell>
          <cell r="M146">
            <v>46</v>
          </cell>
          <cell r="N146">
            <v>63</v>
          </cell>
          <cell r="O146">
            <v>68</v>
          </cell>
          <cell r="P146">
            <v>68</v>
          </cell>
        </row>
        <row r="147">
          <cell r="B147" t="str">
            <v>Santa Maria</v>
          </cell>
          <cell r="C147"/>
          <cell r="D147" t="str">
            <v>WNW</v>
          </cell>
          <cell r="E147" t="str">
            <v>WNW</v>
          </cell>
          <cell r="F147" t="str">
            <v>WNW</v>
          </cell>
          <cell r="G147" t="str">
            <v>WNW</v>
          </cell>
          <cell r="H147" t="str">
            <v>WNW</v>
          </cell>
          <cell r="I147" t="str">
            <v>WNW</v>
          </cell>
          <cell r="J147" t="str">
            <v>WNW</v>
          </cell>
          <cell r="K147" t="str">
            <v>NW</v>
          </cell>
          <cell r="L147" t="str">
            <v>WNW</v>
          </cell>
          <cell r="M147" t="str">
            <v>W</v>
          </cell>
          <cell r="N147" t="str">
            <v>WNW</v>
          </cell>
          <cell r="O147" t="str">
            <v>WNW</v>
          </cell>
          <cell r="P147" t="str">
            <v>WNW</v>
          </cell>
        </row>
        <row r="148">
          <cell r="B148"/>
          <cell r="C148"/>
          <cell r="D148">
            <v>6</v>
          </cell>
          <cell r="E148">
            <v>7</v>
          </cell>
          <cell r="F148">
            <v>8</v>
          </cell>
          <cell r="G148">
            <v>9</v>
          </cell>
          <cell r="H148">
            <v>9</v>
          </cell>
          <cell r="I148">
            <v>8</v>
          </cell>
          <cell r="J148">
            <v>7</v>
          </cell>
          <cell r="K148">
            <v>6</v>
          </cell>
          <cell r="L148">
            <v>6</v>
          </cell>
          <cell r="M148">
            <v>6</v>
          </cell>
          <cell r="N148">
            <v>6</v>
          </cell>
          <cell r="O148">
            <v>6</v>
          </cell>
          <cell r="P148">
            <v>7</v>
          </cell>
        </row>
        <row r="149">
          <cell r="B149"/>
          <cell r="C149"/>
          <cell r="D149">
            <v>54</v>
          </cell>
          <cell r="E149">
            <v>58</v>
          </cell>
          <cell r="F149">
            <v>53</v>
          </cell>
          <cell r="G149">
            <v>47</v>
          </cell>
          <cell r="H149">
            <v>45</v>
          </cell>
          <cell r="I149">
            <v>45</v>
          </cell>
          <cell r="J149">
            <v>41</v>
          </cell>
          <cell r="K149">
            <v>35</v>
          </cell>
          <cell r="L149">
            <v>38</v>
          </cell>
          <cell r="M149">
            <v>37</v>
          </cell>
          <cell r="N149">
            <v>38</v>
          </cell>
          <cell r="O149">
            <v>52</v>
          </cell>
          <cell r="P149">
            <v>58</v>
          </cell>
        </row>
        <row r="150">
          <cell r="B150" t="str">
            <v>Stockton</v>
          </cell>
          <cell r="C150"/>
          <cell r="D150" t="str">
            <v>SE</v>
          </cell>
          <cell r="E150" t="str">
            <v>SE</v>
          </cell>
          <cell r="F150" t="str">
            <v>WNW</v>
          </cell>
          <cell r="G150" t="str">
            <v>WNW</v>
          </cell>
          <cell r="H150" t="str">
            <v>W</v>
          </cell>
          <cell r="I150" t="str">
            <v>W</v>
          </cell>
          <cell r="J150" t="str">
            <v>WNW</v>
          </cell>
          <cell r="K150" t="str">
            <v>WNW</v>
          </cell>
          <cell r="L150" t="str">
            <v>WNW</v>
          </cell>
          <cell r="M150" t="str">
            <v>WNW</v>
          </cell>
          <cell r="N150" t="str">
            <v>SE</v>
          </cell>
          <cell r="O150" t="str">
            <v>SE</v>
          </cell>
          <cell r="P150" t="str">
            <v>WNW</v>
          </cell>
        </row>
        <row r="151">
          <cell r="B151"/>
          <cell r="C151"/>
          <cell r="D151">
            <v>7</v>
          </cell>
          <cell r="E151">
            <v>6</v>
          </cell>
          <cell r="F151">
            <v>8</v>
          </cell>
          <cell r="G151">
            <v>8</v>
          </cell>
          <cell r="H151">
            <v>9</v>
          </cell>
          <cell r="I151">
            <v>9</v>
          </cell>
          <cell r="J151">
            <v>8</v>
          </cell>
          <cell r="K151">
            <v>8</v>
          </cell>
          <cell r="L151">
            <v>7</v>
          </cell>
          <cell r="M151">
            <v>6</v>
          </cell>
          <cell r="N151">
            <v>6</v>
          </cell>
          <cell r="O151">
            <v>6</v>
          </cell>
          <cell r="P151">
            <v>7</v>
          </cell>
        </row>
        <row r="152">
          <cell r="B152"/>
          <cell r="C152"/>
          <cell r="D152">
            <v>46</v>
          </cell>
          <cell r="E152">
            <v>40</v>
          </cell>
          <cell r="F152">
            <v>39</v>
          </cell>
          <cell r="G152">
            <v>35</v>
          </cell>
          <cell r="H152">
            <v>35</v>
          </cell>
          <cell r="I152">
            <v>35</v>
          </cell>
          <cell r="J152">
            <v>29</v>
          </cell>
          <cell r="K152">
            <v>30</v>
          </cell>
          <cell r="L152">
            <v>33</v>
          </cell>
          <cell r="M152">
            <v>37</v>
          </cell>
          <cell r="N152">
            <v>40</v>
          </cell>
          <cell r="O152">
            <v>44</v>
          </cell>
          <cell r="P152">
            <v>46</v>
          </cell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</row>
        <row r="154">
          <cell r="B154" t="str">
            <v>Alamosa</v>
          </cell>
          <cell r="C154"/>
          <cell r="D154" t="str">
            <v>S</v>
          </cell>
          <cell r="E154" t="str">
            <v>S</v>
          </cell>
          <cell r="F154" t="str">
            <v>S</v>
          </cell>
          <cell r="G154" t="str">
            <v>S</v>
          </cell>
          <cell r="H154" t="str">
            <v>S</v>
          </cell>
          <cell r="I154" t="str">
            <v>S</v>
          </cell>
          <cell r="J154" t="str">
            <v>S</v>
          </cell>
          <cell r="K154" t="str">
            <v>S</v>
          </cell>
          <cell r="L154" t="str">
            <v>S</v>
          </cell>
          <cell r="M154" t="str">
            <v>S</v>
          </cell>
          <cell r="N154" t="str">
            <v>S</v>
          </cell>
          <cell r="O154" t="str">
            <v>S</v>
          </cell>
          <cell r="P154" t="str">
            <v>S</v>
          </cell>
        </row>
        <row r="155">
          <cell r="B155"/>
          <cell r="C155"/>
          <cell r="D155">
            <v>5</v>
          </cell>
          <cell r="E155">
            <v>7</v>
          </cell>
          <cell r="F155">
            <v>8</v>
          </cell>
          <cell r="G155">
            <v>9</v>
          </cell>
          <cell r="H155">
            <v>9</v>
          </cell>
          <cell r="I155">
            <v>9</v>
          </cell>
          <cell r="J155">
            <v>7</v>
          </cell>
          <cell r="K155">
            <v>6</v>
          </cell>
          <cell r="L155">
            <v>6</v>
          </cell>
          <cell r="M155">
            <v>6</v>
          </cell>
          <cell r="N155">
            <v>6</v>
          </cell>
          <cell r="O155">
            <v>5</v>
          </cell>
          <cell r="P155">
            <v>7</v>
          </cell>
        </row>
        <row r="156">
          <cell r="B156"/>
          <cell r="C156"/>
          <cell r="D156">
            <v>49</v>
          </cell>
          <cell r="E156">
            <v>46</v>
          </cell>
          <cell r="F156">
            <v>52</v>
          </cell>
          <cell r="G156">
            <v>61</v>
          </cell>
          <cell r="H156">
            <v>57</v>
          </cell>
          <cell r="I156">
            <v>49</v>
          </cell>
          <cell r="J156">
            <v>57</v>
          </cell>
          <cell r="K156">
            <v>44</v>
          </cell>
          <cell r="L156">
            <v>43</v>
          </cell>
          <cell r="M156">
            <v>48</v>
          </cell>
          <cell r="N156">
            <v>55</v>
          </cell>
          <cell r="O156">
            <v>45</v>
          </cell>
          <cell r="P156">
            <v>61</v>
          </cell>
        </row>
        <row r="157">
          <cell r="B157" t="str">
            <v>Colorado Springs</v>
          </cell>
          <cell r="C157"/>
          <cell r="D157" t="str">
            <v>N</v>
          </cell>
          <cell r="E157" t="str">
            <v>N</v>
          </cell>
          <cell r="F157" t="str">
            <v>N</v>
          </cell>
          <cell r="G157" t="str">
            <v>N</v>
          </cell>
          <cell r="H157" t="str">
            <v>N</v>
          </cell>
          <cell r="I157" t="str">
            <v>N</v>
          </cell>
          <cell r="J157" t="str">
            <v>N</v>
          </cell>
          <cell r="K157" t="str">
            <v>N</v>
          </cell>
          <cell r="L157" t="str">
            <v>N</v>
          </cell>
          <cell r="M157" t="str">
            <v>N</v>
          </cell>
          <cell r="N157" t="str">
            <v>N</v>
          </cell>
          <cell r="O157" t="str">
            <v>N</v>
          </cell>
          <cell r="P157" t="str">
            <v>N</v>
          </cell>
        </row>
        <row r="158">
          <cell r="B158"/>
          <cell r="C158"/>
          <cell r="D158">
            <v>10</v>
          </cell>
          <cell r="E158">
            <v>10</v>
          </cell>
          <cell r="F158">
            <v>11</v>
          </cell>
          <cell r="G158">
            <v>12</v>
          </cell>
          <cell r="H158">
            <v>11</v>
          </cell>
          <cell r="I158">
            <v>10</v>
          </cell>
          <cell r="J158">
            <v>9</v>
          </cell>
          <cell r="K158">
            <v>9</v>
          </cell>
          <cell r="L158">
            <v>9</v>
          </cell>
          <cell r="M158">
            <v>10</v>
          </cell>
          <cell r="N158">
            <v>10</v>
          </cell>
          <cell r="O158">
            <v>10</v>
          </cell>
          <cell r="P158">
            <v>10</v>
          </cell>
        </row>
        <row r="159">
          <cell r="B159"/>
          <cell r="C159"/>
          <cell r="D159">
            <v>55</v>
          </cell>
          <cell r="E159">
            <v>53</v>
          </cell>
          <cell r="F159">
            <v>47</v>
          </cell>
          <cell r="G159">
            <v>68</v>
          </cell>
          <cell r="H159">
            <v>49</v>
          </cell>
          <cell r="I159">
            <v>53</v>
          </cell>
          <cell r="J159">
            <v>57</v>
          </cell>
          <cell r="K159">
            <v>55</v>
          </cell>
          <cell r="L159">
            <v>55</v>
          </cell>
          <cell r="M159">
            <v>70</v>
          </cell>
          <cell r="N159">
            <v>57</v>
          </cell>
          <cell r="O159">
            <v>59</v>
          </cell>
          <cell r="P159">
            <v>70</v>
          </cell>
        </row>
        <row r="160">
          <cell r="B160" t="str">
            <v>Denver</v>
          </cell>
          <cell r="C160"/>
          <cell r="D160" t="str">
            <v>S</v>
          </cell>
          <cell r="E160" t="str">
            <v>S</v>
          </cell>
          <cell r="F160" t="str">
            <v>S</v>
          </cell>
          <cell r="G160" t="str">
            <v>S</v>
          </cell>
          <cell r="H160" t="str">
            <v>S</v>
          </cell>
          <cell r="I160" t="str">
            <v>S</v>
          </cell>
          <cell r="J160" t="str">
            <v>S</v>
          </cell>
          <cell r="K160" t="str">
            <v>S</v>
          </cell>
          <cell r="L160" t="str">
            <v>S</v>
          </cell>
          <cell r="M160" t="str">
            <v>S</v>
          </cell>
          <cell r="N160" t="str">
            <v>S</v>
          </cell>
          <cell r="O160" t="str">
            <v>S</v>
          </cell>
          <cell r="P160" t="str">
            <v>S</v>
          </cell>
        </row>
        <row r="161">
          <cell r="B161"/>
          <cell r="C161"/>
          <cell r="D161">
            <v>10</v>
          </cell>
          <cell r="E161">
            <v>10</v>
          </cell>
          <cell r="F161">
            <v>10</v>
          </cell>
          <cell r="G161">
            <v>11</v>
          </cell>
          <cell r="H161">
            <v>10</v>
          </cell>
          <cell r="I161">
            <v>10</v>
          </cell>
          <cell r="J161">
            <v>9</v>
          </cell>
          <cell r="K161">
            <v>9</v>
          </cell>
          <cell r="L161">
            <v>9</v>
          </cell>
          <cell r="M161">
            <v>10</v>
          </cell>
          <cell r="N161">
            <v>9</v>
          </cell>
          <cell r="O161">
            <v>10</v>
          </cell>
          <cell r="P161">
            <v>10</v>
          </cell>
        </row>
        <row r="162">
          <cell r="B162"/>
          <cell r="C162"/>
          <cell r="D162">
            <v>55</v>
          </cell>
          <cell r="E162">
            <v>52</v>
          </cell>
          <cell r="F162">
            <v>59</v>
          </cell>
          <cell r="G162">
            <v>62</v>
          </cell>
          <cell r="H162">
            <v>60</v>
          </cell>
          <cell r="I162">
            <v>60</v>
          </cell>
          <cell r="J162">
            <v>55</v>
          </cell>
          <cell r="K162">
            <v>52</v>
          </cell>
          <cell r="L162">
            <v>56</v>
          </cell>
          <cell r="M162">
            <v>51</v>
          </cell>
          <cell r="N162">
            <v>49</v>
          </cell>
          <cell r="O162">
            <v>51</v>
          </cell>
          <cell r="P162">
            <v>62</v>
          </cell>
        </row>
        <row r="163">
          <cell r="B163" t="str">
            <v>Grand Junction</v>
          </cell>
          <cell r="C163"/>
          <cell r="D163" t="str">
            <v>ESE</v>
          </cell>
          <cell r="E163" t="str">
            <v>ESE</v>
          </cell>
          <cell r="F163" t="str">
            <v>ESE</v>
          </cell>
          <cell r="G163" t="str">
            <v>ESE</v>
          </cell>
          <cell r="H163" t="str">
            <v>ESE</v>
          </cell>
          <cell r="I163" t="str">
            <v>ESE</v>
          </cell>
          <cell r="J163" t="str">
            <v>ESE</v>
          </cell>
          <cell r="K163" t="str">
            <v>ESE</v>
          </cell>
          <cell r="L163" t="str">
            <v>ESE</v>
          </cell>
          <cell r="M163" t="str">
            <v>ESE</v>
          </cell>
          <cell r="N163" t="str">
            <v>ESE</v>
          </cell>
          <cell r="O163" t="str">
            <v>ESE</v>
          </cell>
          <cell r="P163" t="str">
            <v>ESE</v>
          </cell>
        </row>
        <row r="164">
          <cell r="B164"/>
          <cell r="C164"/>
          <cell r="D164">
            <v>6</v>
          </cell>
          <cell r="E164">
            <v>7</v>
          </cell>
          <cell r="F164">
            <v>8</v>
          </cell>
          <cell r="G164">
            <v>9</v>
          </cell>
          <cell r="H164">
            <v>10</v>
          </cell>
          <cell r="I164">
            <v>10</v>
          </cell>
          <cell r="J164">
            <v>9</v>
          </cell>
          <cell r="K164">
            <v>9</v>
          </cell>
          <cell r="L164">
            <v>9</v>
          </cell>
          <cell r="M164">
            <v>8</v>
          </cell>
          <cell r="N164">
            <v>7</v>
          </cell>
          <cell r="O164">
            <v>6</v>
          </cell>
          <cell r="P164">
            <v>8</v>
          </cell>
        </row>
        <row r="165">
          <cell r="B165"/>
          <cell r="C165"/>
          <cell r="D165">
            <v>41</v>
          </cell>
          <cell r="E165">
            <v>59</v>
          </cell>
          <cell r="F165">
            <v>53</v>
          </cell>
          <cell r="G165">
            <v>78</v>
          </cell>
          <cell r="H165">
            <v>62</v>
          </cell>
          <cell r="I165">
            <v>74</v>
          </cell>
          <cell r="J165">
            <v>64</v>
          </cell>
          <cell r="K165">
            <v>74</v>
          </cell>
          <cell r="L165">
            <v>64</v>
          </cell>
          <cell r="M165">
            <v>57</v>
          </cell>
          <cell r="N165">
            <v>49</v>
          </cell>
          <cell r="O165">
            <v>45</v>
          </cell>
          <cell r="P165">
            <v>78</v>
          </cell>
        </row>
        <row r="166">
          <cell r="B166" t="str">
            <v>Pueblo</v>
          </cell>
          <cell r="C166"/>
          <cell r="D166" t="str">
            <v>W</v>
          </cell>
          <cell r="E166" t="str">
            <v>W</v>
          </cell>
          <cell r="F166" t="str">
            <v>ESE</v>
          </cell>
          <cell r="G166" t="str">
            <v>ESE</v>
          </cell>
          <cell r="H166" t="str">
            <v>ESE</v>
          </cell>
          <cell r="I166" t="str">
            <v>ESE</v>
          </cell>
          <cell r="J166" t="str">
            <v>ESE</v>
          </cell>
          <cell r="K166" t="str">
            <v>ESE</v>
          </cell>
          <cell r="L166" t="str">
            <v>ESE</v>
          </cell>
          <cell r="M166" t="str">
            <v>ESE</v>
          </cell>
          <cell r="N166" t="str">
            <v>ESE</v>
          </cell>
          <cell r="O166" t="str">
            <v>ESE</v>
          </cell>
          <cell r="P166" t="str">
            <v>ESE</v>
          </cell>
        </row>
        <row r="167">
          <cell r="B167"/>
          <cell r="C167"/>
          <cell r="D167">
            <v>7</v>
          </cell>
          <cell r="E167">
            <v>8</v>
          </cell>
          <cell r="F167">
            <v>10</v>
          </cell>
          <cell r="G167">
            <v>11</v>
          </cell>
          <cell r="H167">
            <v>10</v>
          </cell>
          <cell r="I167">
            <v>9</v>
          </cell>
          <cell r="J167">
            <v>9</v>
          </cell>
          <cell r="K167">
            <v>8</v>
          </cell>
          <cell r="L167">
            <v>8</v>
          </cell>
          <cell r="M167">
            <v>7</v>
          </cell>
          <cell r="N167">
            <v>7</v>
          </cell>
          <cell r="O167">
            <v>8</v>
          </cell>
          <cell r="P167">
            <v>8</v>
          </cell>
        </row>
        <row r="168">
          <cell r="B168"/>
          <cell r="C168"/>
          <cell r="D168">
            <v>53</v>
          </cell>
          <cell r="E168">
            <v>48</v>
          </cell>
          <cell r="F168">
            <v>56</v>
          </cell>
          <cell r="G168">
            <v>55</v>
          </cell>
          <cell r="H168">
            <v>49</v>
          </cell>
          <cell r="I168">
            <v>54</v>
          </cell>
          <cell r="J168">
            <v>60</v>
          </cell>
          <cell r="K168">
            <v>52</v>
          </cell>
          <cell r="L168">
            <v>48</v>
          </cell>
          <cell r="M168">
            <v>55</v>
          </cell>
          <cell r="N168">
            <v>44</v>
          </cell>
          <cell r="O168">
            <v>49</v>
          </cell>
          <cell r="P168">
            <v>60</v>
          </cell>
        </row>
        <row r="169">
          <cell r="C169"/>
          <cell r="D169"/>
          <cell r="E169"/>
          <cell r="F169"/>
          <cell r="G169"/>
          <cell r="H169"/>
          <cell r="I169"/>
          <cell r="K169"/>
          <cell r="L169"/>
          <cell r="M169"/>
          <cell r="N169"/>
          <cell r="O169"/>
          <cell r="P169"/>
        </row>
        <row r="170">
          <cell r="B170" t="str">
            <v>Bridgeport</v>
          </cell>
          <cell r="C170"/>
          <cell r="D170" t="str">
            <v>W</v>
          </cell>
          <cell r="E170" t="str">
            <v>W</v>
          </cell>
          <cell r="F170" t="str">
            <v>NW</v>
          </cell>
          <cell r="G170" t="str">
            <v>NW</v>
          </cell>
          <cell r="H170" t="str">
            <v>NW</v>
          </cell>
          <cell r="I170" t="str">
            <v>NW</v>
          </cell>
          <cell r="J170" t="str">
            <v>WSW</v>
          </cell>
          <cell r="K170" t="str">
            <v>WSW</v>
          </cell>
          <cell r="L170" t="str">
            <v>WSW</v>
          </cell>
          <cell r="M170" t="str">
            <v>WSW</v>
          </cell>
          <cell r="N170" t="str">
            <v>WSW</v>
          </cell>
          <cell r="O170" t="str">
            <v>WSW</v>
          </cell>
          <cell r="P170" t="str">
            <v>WSW</v>
          </cell>
        </row>
        <row r="171">
          <cell r="B171"/>
          <cell r="C171"/>
          <cell r="D171">
            <v>13</v>
          </cell>
          <cell r="E171">
            <v>13</v>
          </cell>
          <cell r="F171">
            <v>13</v>
          </cell>
          <cell r="G171">
            <v>13</v>
          </cell>
          <cell r="H171">
            <v>11</v>
          </cell>
          <cell r="I171">
            <v>10</v>
          </cell>
          <cell r="J171">
            <v>10</v>
          </cell>
          <cell r="K171">
            <v>10</v>
          </cell>
          <cell r="L171">
            <v>11</v>
          </cell>
          <cell r="M171">
            <v>12</v>
          </cell>
          <cell r="N171">
            <v>12</v>
          </cell>
          <cell r="O171">
            <v>12</v>
          </cell>
          <cell r="P171">
            <v>12</v>
          </cell>
        </row>
        <row r="172">
          <cell r="B172"/>
          <cell r="C172"/>
          <cell r="D172">
            <v>61</v>
          </cell>
          <cell r="E172">
            <v>61</v>
          </cell>
          <cell r="F172">
            <v>69</v>
          </cell>
          <cell r="G172">
            <v>63</v>
          </cell>
          <cell r="H172">
            <v>51</v>
          </cell>
          <cell r="I172">
            <v>48</v>
          </cell>
          <cell r="J172">
            <v>59</v>
          </cell>
          <cell r="K172">
            <v>68</v>
          </cell>
          <cell r="L172">
            <v>49</v>
          </cell>
          <cell r="M172">
            <v>56</v>
          </cell>
          <cell r="N172">
            <v>61</v>
          </cell>
          <cell r="O172">
            <v>64</v>
          </cell>
          <cell r="P172">
            <v>69</v>
          </cell>
        </row>
        <row r="173">
          <cell r="B173" t="str">
            <v>Hartford</v>
          </cell>
          <cell r="C173"/>
          <cell r="D173" t="str">
            <v>NW</v>
          </cell>
          <cell r="E173" t="str">
            <v>NW</v>
          </cell>
          <cell r="F173" t="str">
            <v>NW</v>
          </cell>
          <cell r="G173" t="str">
            <v>NW</v>
          </cell>
          <cell r="H173" t="str">
            <v>NW</v>
          </cell>
          <cell r="I173" t="str">
            <v>NW</v>
          </cell>
          <cell r="J173" t="str">
            <v>N</v>
          </cell>
          <cell r="K173" t="str">
            <v>N</v>
          </cell>
          <cell r="L173" t="str">
            <v>N</v>
          </cell>
          <cell r="M173" t="str">
            <v>S</v>
          </cell>
          <cell r="N173" t="str">
            <v>S</v>
          </cell>
          <cell r="O173" t="str">
            <v>S</v>
          </cell>
          <cell r="P173" t="str">
            <v>NW</v>
          </cell>
        </row>
        <row r="174">
          <cell r="B174"/>
          <cell r="C174"/>
          <cell r="D174">
            <v>9</v>
          </cell>
          <cell r="E174">
            <v>10</v>
          </cell>
          <cell r="F174">
            <v>10</v>
          </cell>
          <cell r="G174">
            <v>10</v>
          </cell>
          <cell r="H174">
            <v>9</v>
          </cell>
          <cell r="I174">
            <v>8</v>
          </cell>
          <cell r="J174">
            <v>7</v>
          </cell>
          <cell r="K174">
            <v>7</v>
          </cell>
          <cell r="L174">
            <v>7</v>
          </cell>
          <cell r="M174">
            <v>8</v>
          </cell>
          <cell r="N174">
            <v>9</v>
          </cell>
          <cell r="O174">
            <v>9</v>
          </cell>
          <cell r="P174">
            <v>9</v>
          </cell>
        </row>
        <row r="175">
          <cell r="B175"/>
          <cell r="C175"/>
          <cell r="D175">
            <v>58</v>
          </cell>
          <cell r="E175">
            <v>63</v>
          </cell>
          <cell r="F175">
            <v>62</v>
          </cell>
          <cell r="G175">
            <v>60</v>
          </cell>
          <cell r="H175">
            <v>51</v>
          </cell>
          <cell r="I175">
            <v>53</v>
          </cell>
          <cell r="J175">
            <v>89</v>
          </cell>
          <cell r="K175">
            <v>55</v>
          </cell>
          <cell r="L175">
            <v>66</v>
          </cell>
          <cell r="M175">
            <v>72</v>
          </cell>
          <cell r="N175">
            <v>64</v>
          </cell>
          <cell r="O175">
            <v>55</v>
          </cell>
          <cell r="P175">
            <v>89</v>
          </cell>
        </row>
        <row r="176">
          <cell r="C176"/>
          <cell r="D176"/>
          <cell r="E176"/>
          <cell r="F176"/>
          <cell r="G176"/>
          <cell r="H176"/>
          <cell r="I176"/>
          <cell r="K176"/>
          <cell r="L176"/>
          <cell r="M176"/>
          <cell r="N176"/>
          <cell r="O176"/>
          <cell r="P176"/>
        </row>
        <row r="177">
          <cell r="B177" t="str">
            <v>Dover</v>
          </cell>
          <cell r="C177"/>
          <cell r="D177" t="str">
            <v>WNW</v>
          </cell>
          <cell r="E177" t="str">
            <v>NNW</v>
          </cell>
          <cell r="F177" t="str">
            <v>NNW</v>
          </cell>
          <cell r="G177" t="str">
            <v>WNW</v>
          </cell>
          <cell r="H177" t="str">
            <v>SSW</v>
          </cell>
          <cell r="I177" t="str">
            <v>SSW</v>
          </cell>
          <cell r="J177" t="str">
            <v>SSW</v>
          </cell>
          <cell r="K177" t="str">
            <v>SSW</v>
          </cell>
          <cell r="L177" t="str">
            <v>SSW</v>
          </cell>
          <cell r="M177" t="str">
            <v>SSW</v>
          </cell>
          <cell r="N177" t="str">
            <v>SSW</v>
          </cell>
          <cell r="O177" t="str">
            <v>NNW</v>
          </cell>
          <cell r="P177" t="str">
            <v>SSW</v>
          </cell>
        </row>
        <row r="178">
          <cell r="B178"/>
          <cell r="C178"/>
          <cell r="D178">
            <v>8</v>
          </cell>
          <cell r="E178">
            <v>8</v>
          </cell>
          <cell r="F178">
            <v>9</v>
          </cell>
          <cell r="G178">
            <v>8</v>
          </cell>
          <cell r="H178">
            <v>7</v>
          </cell>
          <cell r="I178">
            <v>6</v>
          </cell>
          <cell r="J178">
            <v>6</v>
          </cell>
          <cell r="K178">
            <v>5</v>
          </cell>
          <cell r="L178">
            <v>6</v>
          </cell>
          <cell r="M178">
            <v>6</v>
          </cell>
          <cell r="N178">
            <v>7</v>
          </cell>
          <cell r="O178">
            <v>8</v>
          </cell>
          <cell r="P178">
            <v>7</v>
          </cell>
        </row>
        <row r="179">
          <cell r="B179"/>
          <cell r="C179"/>
          <cell r="D179">
            <v>68</v>
          </cell>
          <cell r="E179">
            <v>79</v>
          </cell>
          <cell r="F179">
            <v>85</v>
          </cell>
          <cell r="G179">
            <v>59</v>
          </cell>
          <cell r="H179">
            <v>62</v>
          </cell>
          <cell r="I179">
            <v>67</v>
          </cell>
          <cell r="J179">
            <v>71</v>
          </cell>
          <cell r="K179">
            <v>60</v>
          </cell>
          <cell r="L179">
            <v>69</v>
          </cell>
          <cell r="M179">
            <v>59</v>
          </cell>
          <cell r="N179">
            <v>59</v>
          </cell>
          <cell r="O179">
            <v>70</v>
          </cell>
          <cell r="P179">
            <v>85</v>
          </cell>
        </row>
        <row r="180">
          <cell r="B180" t="str">
            <v>Wilmington</v>
          </cell>
          <cell r="C180"/>
          <cell r="D180" t="str">
            <v>WNW</v>
          </cell>
          <cell r="E180" t="str">
            <v>NW</v>
          </cell>
          <cell r="F180" t="str">
            <v>WNW</v>
          </cell>
          <cell r="G180" t="str">
            <v>WNW</v>
          </cell>
          <cell r="H180" t="str">
            <v>WNW</v>
          </cell>
          <cell r="I180" t="str">
            <v>S</v>
          </cell>
          <cell r="J180" t="str">
            <v>S</v>
          </cell>
          <cell r="K180" t="str">
            <v>S</v>
          </cell>
          <cell r="L180" t="str">
            <v>WNW</v>
          </cell>
          <cell r="M180" t="str">
            <v>NW</v>
          </cell>
          <cell r="N180" t="str">
            <v>NW</v>
          </cell>
          <cell r="O180" t="str">
            <v>WNW</v>
          </cell>
          <cell r="P180" t="str">
            <v>WNW</v>
          </cell>
        </row>
        <row r="181">
          <cell r="B181"/>
          <cell r="C181"/>
          <cell r="D181">
            <v>10</v>
          </cell>
          <cell r="E181">
            <v>10</v>
          </cell>
          <cell r="F181">
            <v>11</v>
          </cell>
          <cell r="G181">
            <v>11</v>
          </cell>
          <cell r="H181">
            <v>9</v>
          </cell>
          <cell r="I181">
            <v>8</v>
          </cell>
          <cell r="J181">
            <v>7</v>
          </cell>
          <cell r="K181">
            <v>7</v>
          </cell>
          <cell r="L181">
            <v>8</v>
          </cell>
          <cell r="M181">
            <v>8</v>
          </cell>
          <cell r="N181">
            <v>9</v>
          </cell>
          <cell r="O181">
            <v>9</v>
          </cell>
          <cell r="P181">
            <v>9</v>
          </cell>
        </row>
        <row r="182">
          <cell r="B182"/>
          <cell r="C182"/>
          <cell r="D182">
            <v>49</v>
          </cell>
          <cell r="E182">
            <v>54</v>
          </cell>
          <cell r="F182">
            <v>56</v>
          </cell>
          <cell r="G182">
            <v>53</v>
          </cell>
          <cell r="H182">
            <v>51</v>
          </cell>
          <cell r="I182">
            <v>31</v>
          </cell>
          <cell r="J182">
            <v>55</v>
          </cell>
          <cell r="K182">
            <v>38</v>
          </cell>
          <cell r="L182">
            <v>38</v>
          </cell>
          <cell r="M182">
            <v>41</v>
          </cell>
          <cell r="N182">
            <v>47</v>
          </cell>
          <cell r="O182">
            <v>40</v>
          </cell>
          <cell r="P182">
            <v>56</v>
          </cell>
        </row>
        <row r="184">
          <cell r="B184" t="str">
            <v>Washington National AP</v>
          </cell>
        </row>
        <row r="185">
          <cell r="B185" t="str">
            <v>Washington</v>
          </cell>
          <cell r="C185"/>
          <cell r="D185" t="str">
            <v>NNW</v>
          </cell>
          <cell r="E185" t="str">
            <v>NW</v>
          </cell>
          <cell r="F185" t="str">
            <v>NNW</v>
          </cell>
          <cell r="G185" t="str">
            <v>S</v>
          </cell>
          <cell r="H185" t="str">
            <v>S</v>
          </cell>
          <cell r="I185" t="str">
            <v>S</v>
          </cell>
          <cell r="J185" t="str">
            <v>S</v>
          </cell>
          <cell r="K185" t="str">
            <v>S</v>
          </cell>
          <cell r="L185" t="str">
            <v>S</v>
          </cell>
          <cell r="M185" t="str">
            <v>S</v>
          </cell>
          <cell r="N185" t="str">
            <v>S</v>
          </cell>
          <cell r="O185" t="str">
            <v>NW</v>
          </cell>
          <cell r="P185" t="str">
            <v>S</v>
          </cell>
        </row>
        <row r="186">
          <cell r="B186"/>
          <cell r="C186"/>
          <cell r="D186">
            <v>10</v>
          </cell>
          <cell r="E186">
            <v>11</v>
          </cell>
          <cell r="F186">
            <v>11</v>
          </cell>
          <cell r="G186">
            <v>11</v>
          </cell>
          <cell r="H186">
            <v>10</v>
          </cell>
          <cell r="I186">
            <v>9</v>
          </cell>
          <cell r="J186">
            <v>9</v>
          </cell>
          <cell r="K186">
            <v>8</v>
          </cell>
          <cell r="L186">
            <v>9</v>
          </cell>
          <cell r="M186">
            <v>9</v>
          </cell>
          <cell r="N186">
            <v>10</v>
          </cell>
          <cell r="O186">
            <v>10</v>
          </cell>
          <cell r="P186">
            <v>10</v>
          </cell>
        </row>
        <row r="187">
          <cell r="B187"/>
          <cell r="C187"/>
          <cell r="D187">
            <v>51</v>
          </cell>
          <cell r="E187">
            <v>49</v>
          </cell>
          <cell r="F187">
            <v>55</v>
          </cell>
          <cell r="G187">
            <v>48</v>
          </cell>
          <cell r="H187">
            <v>60</v>
          </cell>
          <cell r="I187">
            <v>59</v>
          </cell>
          <cell r="J187">
            <v>63</v>
          </cell>
          <cell r="K187">
            <v>53</v>
          </cell>
          <cell r="L187">
            <v>54</v>
          </cell>
          <cell r="M187">
            <v>58</v>
          </cell>
          <cell r="N187">
            <v>59</v>
          </cell>
          <cell r="O187">
            <v>56</v>
          </cell>
          <cell r="P187">
            <v>63</v>
          </cell>
        </row>
        <row r="188">
          <cell r="B188" t="str">
            <v>Washington Dulles IAP</v>
          </cell>
          <cell r="C188"/>
          <cell r="D188"/>
          <cell r="E188"/>
          <cell r="F188"/>
          <cell r="G188"/>
          <cell r="H188"/>
          <cell r="I188"/>
          <cell r="K188"/>
          <cell r="L188"/>
          <cell r="M188"/>
          <cell r="N188"/>
          <cell r="O188"/>
          <cell r="P188"/>
        </row>
        <row r="189">
          <cell r="B189"/>
          <cell r="C189"/>
          <cell r="D189" t="str">
            <v>NW</v>
          </cell>
          <cell r="E189" t="str">
            <v>NW</v>
          </cell>
          <cell r="F189" t="str">
            <v>NW</v>
          </cell>
          <cell r="G189" t="str">
            <v>NW</v>
          </cell>
          <cell r="H189" t="str">
            <v>NW</v>
          </cell>
          <cell r="I189" t="str">
            <v>NW</v>
          </cell>
          <cell r="J189" t="str">
            <v>NW</v>
          </cell>
          <cell r="K189" t="str">
            <v>NW</v>
          </cell>
          <cell r="L189" t="str">
            <v>S</v>
          </cell>
          <cell r="M189" t="str">
            <v>S</v>
          </cell>
          <cell r="N189" t="str">
            <v>S</v>
          </cell>
          <cell r="O189" t="str">
            <v>S</v>
          </cell>
          <cell r="P189" t="str">
            <v>NW</v>
          </cell>
        </row>
        <row r="190">
          <cell r="B190"/>
          <cell r="C190"/>
          <cell r="D190">
            <v>8</v>
          </cell>
          <cell r="E190">
            <v>9</v>
          </cell>
          <cell r="F190">
            <v>9</v>
          </cell>
          <cell r="G190">
            <v>9</v>
          </cell>
          <cell r="H190">
            <v>7</v>
          </cell>
          <cell r="I190">
            <v>7</v>
          </cell>
          <cell r="J190">
            <v>6</v>
          </cell>
          <cell r="K190">
            <v>6</v>
          </cell>
          <cell r="L190">
            <v>6</v>
          </cell>
          <cell r="M190">
            <v>7</v>
          </cell>
          <cell r="N190">
            <v>8</v>
          </cell>
          <cell r="O190">
            <v>8</v>
          </cell>
          <cell r="P190">
            <v>7</v>
          </cell>
        </row>
        <row r="191">
          <cell r="B191"/>
          <cell r="C191"/>
          <cell r="D191">
            <v>52</v>
          </cell>
          <cell r="E191">
            <v>53</v>
          </cell>
          <cell r="F191">
            <v>58</v>
          </cell>
          <cell r="G191">
            <v>48</v>
          </cell>
          <cell r="H191">
            <v>59</v>
          </cell>
          <cell r="I191">
            <v>78</v>
          </cell>
          <cell r="J191">
            <v>56</v>
          </cell>
          <cell r="K191">
            <v>46</v>
          </cell>
          <cell r="L191">
            <v>43</v>
          </cell>
          <cell r="M191">
            <v>44</v>
          </cell>
          <cell r="N191">
            <v>56</v>
          </cell>
          <cell r="O191">
            <v>56</v>
          </cell>
          <cell r="P191">
            <v>78</v>
          </cell>
        </row>
        <row r="192">
          <cell r="C192"/>
          <cell r="D192"/>
          <cell r="E192"/>
          <cell r="F192"/>
          <cell r="G192"/>
          <cell r="H192"/>
          <cell r="I192"/>
          <cell r="K192"/>
          <cell r="L192"/>
          <cell r="M192"/>
          <cell r="N192"/>
          <cell r="O192"/>
          <cell r="P192"/>
        </row>
        <row r="193">
          <cell r="B193" t="str">
            <v>Apalachicola</v>
          </cell>
          <cell r="C193"/>
          <cell r="D193" t="str">
            <v>N</v>
          </cell>
          <cell r="E193" t="str">
            <v>N</v>
          </cell>
          <cell r="F193" t="str">
            <v>SE</v>
          </cell>
          <cell r="G193" t="str">
            <v>SE</v>
          </cell>
          <cell r="H193" t="str">
            <v>SE</v>
          </cell>
          <cell r="I193" t="str">
            <v>SW</v>
          </cell>
          <cell r="J193" t="str">
            <v>W</v>
          </cell>
          <cell r="K193" t="str">
            <v>SW</v>
          </cell>
          <cell r="L193" t="str">
            <v>NE</v>
          </cell>
          <cell r="M193" t="str">
            <v>NE</v>
          </cell>
          <cell r="N193" t="str">
            <v>N</v>
          </cell>
          <cell r="O193" t="str">
            <v>N</v>
          </cell>
          <cell r="P193" t="str">
            <v>N</v>
          </cell>
        </row>
        <row r="194">
          <cell r="C194"/>
          <cell r="D194">
            <v>8</v>
          </cell>
          <cell r="E194">
            <v>9</v>
          </cell>
          <cell r="F194">
            <v>9</v>
          </cell>
          <cell r="G194">
            <v>9</v>
          </cell>
          <cell r="H194">
            <v>8</v>
          </cell>
          <cell r="I194">
            <v>7</v>
          </cell>
          <cell r="J194">
            <v>6</v>
          </cell>
          <cell r="K194">
            <v>6</v>
          </cell>
          <cell r="L194">
            <v>8</v>
          </cell>
          <cell r="M194">
            <v>8</v>
          </cell>
          <cell r="N194">
            <v>8</v>
          </cell>
          <cell r="O194">
            <v>8</v>
          </cell>
          <cell r="P194">
            <v>8</v>
          </cell>
        </row>
        <row r="195">
          <cell r="C195"/>
          <cell r="D195">
            <v>41</v>
          </cell>
          <cell r="E195">
            <v>49</v>
          </cell>
          <cell r="F195">
            <v>41</v>
          </cell>
          <cell r="G195">
            <v>43</v>
          </cell>
          <cell r="H195">
            <v>61</v>
          </cell>
          <cell r="I195">
            <v>38</v>
          </cell>
          <cell r="J195">
            <v>41</v>
          </cell>
          <cell r="K195">
            <v>68</v>
          </cell>
          <cell r="L195">
            <v>68</v>
          </cell>
          <cell r="M195">
            <v>44</v>
          </cell>
          <cell r="N195">
            <v>85</v>
          </cell>
          <cell r="O195">
            <v>47</v>
          </cell>
          <cell r="P195">
            <v>85</v>
          </cell>
        </row>
        <row r="196">
          <cell r="B196" t="str">
            <v>Daytona Beach</v>
          </cell>
          <cell r="C196"/>
          <cell r="D196" t="str">
            <v>N</v>
          </cell>
          <cell r="E196" t="str">
            <v>N</v>
          </cell>
          <cell r="F196" t="str">
            <v>ESE</v>
          </cell>
          <cell r="G196" t="str">
            <v>ESE</v>
          </cell>
          <cell r="H196" t="str">
            <v>ESE</v>
          </cell>
          <cell r="I196" t="str">
            <v>E</v>
          </cell>
          <cell r="J196" t="str">
            <v>ESE</v>
          </cell>
          <cell r="K196" t="str">
            <v>ESE</v>
          </cell>
          <cell r="L196" t="str">
            <v>ENE</v>
          </cell>
          <cell r="M196" t="str">
            <v>ENE</v>
          </cell>
          <cell r="N196" t="str">
            <v>NW</v>
          </cell>
          <cell r="O196" t="str">
            <v>WNW</v>
          </cell>
          <cell r="P196" t="str">
            <v>ESE</v>
          </cell>
        </row>
        <row r="197">
          <cell r="C197"/>
          <cell r="D197">
            <v>9</v>
          </cell>
          <cell r="E197">
            <v>10</v>
          </cell>
          <cell r="F197">
            <v>10</v>
          </cell>
          <cell r="G197">
            <v>10</v>
          </cell>
          <cell r="H197">
            <v>9</v>
          </cell>
          <cell r="I197">
            <v>8</v>
          </cell>
          <cell r="J197">
            <v>7</v>
          </cell>
          <cell r="K197">
            <v>7</v>
          </cell>
          <cell r="L197">
            <v>8</v>
          </cell>
          <cell r="M197">
            <v>9</v>
          </cell>
          <cell r="N197">
            <v>9</v>
          </cell>
          <cell r="O197">
            <v>9</v>
          </cell>
          <cell r="P197">
            <v>9</v>
          </cell>
        </row>
        <row r="198">
          <cell r="C198"/>
          <cell r="D198">
            <v>52</v>
          </cell>
          <cell r="E198">
            <v>58</v>
          </cell>
          <cell r="F198">
            <v>77</v>
          </cell>
          <cell r="G198">
            <v>49</v>
          </cell>
          <cell r="H198">
            <v>69</v>
          </cell>
          <cell r="I198">
            <v>67</v>
          </cell>
          <cell r="J198">
            <v>67</v>
          </cell>
          <cell r="K198">
            <v>68</v>
          </cell>
          <cell r="L198">
            <v>48</v>
          </cell>
          <cell r="M198">
            <v>56</v>
          </cell>
          <cell r="N198">
            <v>47</v>
          </cell>
          <cell r="O198">
            <v>43</v>
          </cell>
          <cell r="P198">
            <v>77</v>
          </cell>
        </row>
        <row r="199">
          <cell r="B199" t="str">
            <v>Cocoa Beach</v>
          </cell>
          <cell r="C199"/>
          <cell r="D199" t="str">
            <v>NNW</v>
          </cell>
          <cell r="E199" t="str">
            <v>N</v>
          </cell>
          <cell r="F199" t="str">
            <v>SE</v>
          </cell>
          <cell r="G199" t="str">
            <v>E</v>
          </cell>
          <cell r="H199" t="str">
            <v>E</v>
          </cell>
          <cell r="I199" t="str">
            <v>E</v>
          </cell>
          <cell r="J199" t="str">
            <v>E</v>
          </cell>
          <cell r="K199" t="str">
            <v>E</v>
          </cell>
          <cell r="L199" t="str">
            <v>E</v>
          </cell>
          <cell r="M199" t="str">
            <v>E</v>
          </cell>
          <cell r="N199" t="str">
            <v>N</v>
          </cell>
          <cell r="O199" t="str">
            <v>NNW</v>
          </cell>
          <cell r="P199" t="str">
            <v>E</v>
          </cell>
        </row>
        <row r="200">
          <cell r="C200"/>
          <cell r="D200">
            <v>8</v>
          </cell>
          <cell r="E200">
            <v>9</v>
          </cell>
          <cell r="F200">
            <v>9</v>
          </cell>
          <cell r="G200">
            <v>9</v>
          </cell>
          <cell r="H200">
            <v>8</v>
          </cell>
          <cell r="I200">
            <v>7</v>
          </cell>
          <cell r="J200">
            <v>6</v>
          </cell>
          <cell r="K200">
            <v>6</v>
          </cell>
          <cell r="L200">
            <v>7</v>
          </cell>
          <cell r="M200">
            <v>9</v>
          </cell>
          <cell r="N200">
            <v>8</v>
          </cell>
          <cell r="O200">
            <v>8</v>
          </cell>
          <cell r="P200">
            <v>8</v>
          </cell>
        </row>
        <row r="201">
          <cell r="C201"/>
          <cell r="D201">
            <v>52</v>
          </cell>
          <cell r="E201">
            <v>58</v>
          </cell>
          <cell r="F201">
            <v>48</v>
          </cell>
          <cell r="G201">
            <v>52</v>
          </cell>
          <cell r="H201">
            <v>62</v>
          </cell>
          <cell r="I201">
            <v>97</v>
          </cell>
          <cell r="J201">
            <v>69</v>
          </cell>
          <cell r="K201">
            <v>69</v>
          </cell>
          <cell r="L201">
            <v>74</v>
          </cell>
          <cell r="M201">
            <v>74</v>
          </cell>
          <cell r="N201">
            <v>68</v>
          </cell>
          <cell r="O201">
            <v>49</v>
          </cell>
          <cell r="P201">
            <v>97</v>
          </cell>
        </row>
        <row r="202">
          <cell r="B202" t="str">
            <v>Fort Myers</v>
          </cell>
          <cell r="C202"/>
          <cell r="D202" t="str">
            <v>E</v>
          </cell>
          <cell r="E202" t="str">
            <v>E</v>
          </cell>
          <cell r="F202" t="str">
            <v>SW</v>
          </cell>
          <cell r="G202" t="str">
            <v>E</v>
          </cell>
          <cell r="H202" t="str">
            <v>E</v>
          </cell>
          <cell r="I202" t="str">
            <v>E</v>
          </cell>
          <cell r="J202" t="str">
            <v>ESE</v>
          </cell>
          <cell r="K202" t="str">
            <v>E</v>
          </cell>
          <cell r="L202" t="str">
            <v>E</v>
          </cell>
          <cell r="M202" t="str">
            <v>NE</v>
          </cell>
          <cell r="N202" t="str">
            <v>NE</v>
          </cell>
          <cell r="O202" t="str">
            <v>NE</v>
          </cell>
          <cell r="P202" t="str">
            <v>E</v>
          </cell>
        </row>
        <row r="203">
          <cell r="C203"/>
          <cell r="D203">
            <v>8</v>
          </cell>
          <cell r="E203">
            <v>9</v>
          </cell>
          <cell r="F203">
            <v>9</v>
          </cell>
          <cell r="G203">
            <v>9</v>
          </cell>
          <cell r="H203">
            <v>8</v>
          </cell>
          <cell r="I203">
            <v>7</v>
          </cell>
          <cell r="J203">
            <v>7</v>
          </cell>
          <cell r="K203">
            <v>7</v>
          </cell>
          <cell r="L203">
            <v>7</v>
          </cell>
          <cell r="M203">
            <v>8</v>
          </cell>
          <cell r="N203">
            <v>8</v>
          </cell>
          <cell r="O203">
            <v>8</v>
          </cell>
          <cell r="P203">
            <v>8</v>
          </cell>
        </row>
        <row r="204">
          <cell r="C204"/>
          <cell r="D204">
            <v>40</v>
          </cell>
          <cell r="E204">
            <v>39</v>
          </cell>
          <cell r="F204">
            <v>46</v>
          </cell>
          <cell r="G204">
            <v>39</v>
          </cell>
          <cell r="H204">
            <v>40</v>
          </cell>
          <cell r="I204">
            <v>46</v>
          </cell>
          <cell r="J204">
            <v>45</v>
          </cell>
          <cell r="K204">
            <v>44</v>
          </cell>
          <cell r="L204">
            <v>92</v>
          </cell>
          <cell r="M204">
            <v>45</v>
          </cell>
          <cell r="N204">
            <v>31</v>
          </cell>
          <cell r="O204">
            <v>35</v>
          </cell>
          <cell r="P204">
            <v>92</v>
          </cell>
        </row>
        <row r="205">
          <cell r="B205" t="str">
            <v>Gainesville</v>
          </cell>
          <cell r="C205"/>
          <cell r="D205" t="str">
            <v>WNW</v>
          </cell>
          <cell r="E205" t="str">
            <v>WNW</v>
          </cell>
          <cell r="F205" t="str">
            <v>W</v>
          </cell>
          <cell r="G205" t="str">
            <v>W</v>
          </cell>
          <cell r="H205" t="str">
            <v>W</v>
          </cell>
          <cell r="I205" t="str">
            <v>W</v>
          </cell>
          <cell r="J205" t="str">
            <v>W</v>
          </cell>
          <cell r="K205" t="str">
            <v>W</v>
          </cell>
          <cell r="L205" t="str">
            <v>ESE</v>
          </cell>
          <cell r="M205" t="str">
            <v>ESE</v>
          </cell>
          <cell r="N205" t="str">
            <v>E</v>
          </cell>
          <cell r="O205" t="str">
            <v>E</v>
          </cell>
          <cell r="P205" t="str">
            <v>W</v>
          </cell>
        </row>
        <row r="206">
          <cell r="C206"/>
          <cell r="D206">
            <v>7</v>
          </cell>
          <cell r="E206">
            <v>8</v>
          </cell>
          <cell r="F206">
            <v>8</v>
          </cell>
          <cell r="G206">
            <v>8</v>
          </cell>
          <cell r="H206">
            <v>7</v>
          </cell>
          <cell r="I206">
            <v>6</v>
          </cell>
          <cell r="J206">
            <v>6</v>
          </cell>
          <cell r="K206">
            <v>6</v>
          </cell>
          <cell r="L206">
            <v>6</v>
          </cell>
          <cell r="M206">
            <v>7</v>
          </cell>
          <cell r="N206">
            <v>7</v>
          </cell>
          <cell r="O206">
            <v>6</v>
          </cell>
          <cell r="P206">
            <v>7</v>
          </cell>
        </row>
        <row r="207">
          <cell r="C207"/>
          <cell r="D207" t="str">
            <v>N/A</v>
          </cell>
          <cell r="E207" t="str">
            <v>N/A</v>
          </cell>
          <cell r="F207" t="str">
            <v>N/A</v>
          </cell>
          <cell r="G207" t="str">
            <v>N/A</v>
          </cell>
          <cell r="H207" t="str">
            <v>N/A</v>
          </cell>
          <cell r="I207" t="str">
            <v>N/A</v>
          </cell>
          <cell r="J207" t="str">
            <v>N/A</v>
          </cell>
          <cell r="K207" t="str">
            <v>N/A</v>
          </cell>
          <cell r="L207" t="str">
            <v>N/A</v>
          </cell>
          <cell r="M207" t="str">
            <v>N/A</v>
          </cell>
          <cell r="N207" t="str">
            <v>N/A</v>
          </cell>
          <cell r="O207" t="str">
            <v>N/A</v>
          </cell>
          <cell r="P207" t="str">
            <v>N/A</v>
          </cell>
        </row>
        <row r="208">
          <cell r="B208" t="str">
            <v>Jacksonville</v>
          </cell>
          <cell r="D208" t="str">
            <v>WNW</v>
          </cell>
          <cell r="E208" t="str">
            <v>NW</v>
          </cell>
          <cell r="F208" t="str">
            <v>WSW</v>
          </cell>
          <cell r="G208" t="str">
            <v>ESE</v>
          </cell>
          <cell r="H208" t="str">
            <v>SE</v>
          </cell>
          <cell r="I208" t="str">
            <v>WSW</v>
          </cell>
          <cell r="J208" t="str">
            <v>SW</v>
          </cell>
          <cell r="K208" t="str">
            <v>SW</v>
          </cell>
          <cell r="L208" t="str">
            <v>ENE</v>
          </cell>
          <cell r="M208" t="str">
            <v>NE</v>
          </cell>
          <cell r="N208" t="str">
            <v>NE</v>
          </cell>
          <cell r="O208" t="str">
            <v>NW</v>
          </cell>
          <cell r="P208" t="str">
            <v>WSW</v>
          </cell>
        </row>
        <row r="209">
          <cell r="B209"/>
          <cell r="D209">
            <v>8</v>
          </cell>
          <cell r="E209">
            <v>9</v>
          </cell>
          <cell r="F209">
            <v>9</v>
          </cell>
          <cell r="G209">
            <v>9</v>
          </cell>
          <cell r="H209">
            <v>8</v>
          </cell>
          <cell r="I209">
            <v>8</v>
          </cell>
          <cell r="J209">
            <v>7</v>
          </cell>
          <cell r="K209">
            <v>7</v>
          </cell>
          <cell r="L209">
            <v>8</v>
          </cell>
          <cell r="M209">
            <v>8</v>
          </cell>
          <cell r="N209">
            <v>8</v>
          </cell>
          <cell r="O209">
            <v>8</v>
          </cell>
          <cell r="P209">
            <v>8</v>
          </cell>
        </row>
        <row r="210">
          <cell r="B210"/>
          <cell r="D210">
            <v>55</v>
          </cell>
          <cell r="E210">
            <v>62</v>
          </cell>
          <cell r="F210">
            <v>66</v>
          </cell>
          <cell r="G210">
            <v>67</v>
          </cell>
          <cell r="H210">
            <v>56</v>
          </cell>
          <cell r="I210">
            <v>58</v>
          </cell>
          <cell r="J210">
            <v>69</v>
          </cell>
          <cell r="K210">
            <v>61</v>
          </cell>
          <cell r="L210">
            <v>55</v>
          </cell>
          <cell r="M210">
            <v>47</v>
          </cell>
          <cell r="N210">
            <v>46</v>
          </cell>
          <cell r="O210">
            <v>45</v>
          </cell>
          <cell r="P210">
            <v>69</v>
          </cell>
        </row>
        <row r="211">
          <cell r="B211" t="str">
            <v>Key West</v>
          </cell>
          <cell r="D211" t="str">
            <v>NE</v>
          </cell>
          <cell r="E211" t="str">
            <v>NE</v>
          </cell>
          <cell r="F211" t="str">
            <v>NE</v>
          </cell>
          <cell r="G211" t="str">
            <v>NE</v>
          </cell>
          <cell r="H211" t="str">
            <v>ESE</v>
          </cell>
          <cell r="I211" t="str">
            <v>ESE</v>
          </cell>
          <cell r="J211" t="str">
            <v>ESE</v>
          </cell>
          <cell r="K211" t="str">
            <v>ESE</v>
          </cell>
          <cell r="L211" t="str">
            <v>ESE</v>
          </cell>
          <cell r="M211" t="str">
            <v>ESE</v>
          </cell>
          <cell r="N211" t="str">
            <v>ESE</v>
          </cell>
          <cell r="O211" t="str">
            <v>ESE</v>
          </cell>
          <cell r="P211" t="str">
            <v>ESE</v>
          </cell>
        </row>
        <row r="212">
          <cell r="B212"/>
          <cell r="D212">
            <v>12</v>
          </cell>
          <cell r="E212">
            <v>12</v>
          </cell>
          <cell r="F212">
            <v>12</v>
          </cell>
          <cell r="G212">
            <v>12</v>
          </cell>
          <cell r="H212">
            <v>11</v>
          </cell>
          <cell r="I212">
            <v>10</v>
          </cell>
          <cell r="J212">
            <v>10</v>
          </cell>
          <cell r="K212">
            <v>9</v>
          </cell>
          <cell r="L212">
            <v>10</v>
          </cell>
          <cell r="M212">
            <v>11</v>
          </cell>
          <cell r="N212">
            <v>12</v>
          </cell>
          <cell r="O212">
            <v>12</v>
          </cell>
          <cell r="P212">
            <v>11</v>
          </cell>
        </row>
        <row r="213">
          <cell r="B213"/>
          <cell r="D213">
            <v>58</v>
          </cell>
          <cell r="E213">
            <v>52</v>
          </cell>
          <cell r="F213">
            <v>75</v>
          </cell>
          <cell r="G213">
            <v>63</v>
          </cell>
          <cell r="H213">
            <v>52</v>
          </cell>
          <cell r="I213">
            <v>51</v>
          </cell>
          <cell r="J213">
            <v>51</v>
          </cell>
          <cell r="K213">
            <v>56</v>
          </cell>
          <cell r="L213">
            <v>58</v>
          </cell>
          <cell r="M213">
            <v>67</v>
          </cell>
          <cell r="N213">
            <v>69</v>
          </cell>
          <cell r="O213">
            <v>48</v>
          </cell>
          <cell r="P213">
            <v>75</v>
          </cell>
        </row>
        <row r="214">
          <cell r="B214" t="str">
            <v>Miami</v>
          </cell>
          <cell r="D214" t="str">
            <v>NNW</v>
          </cell>
          <cell r="E214" t="str">
            <v>NNW</v>
          </cell>
          <cell r="F214" t="str">
            <v>ESE</v>
          </cell>
          <cell r="G214" t="str">
            <v>ESE</v>
          </cell>
          <cell r="H214" t="str">
            <v>ESE</v>
          </cell>
          <cell r="I214" t="str">
            <v>ESE</v>
          </cell>
          <cell r="J214" t="str">
            <v>ESE</v>
          </cell>
          <cell r="K214" t="str">
            <v>ESE</v>
          </cell>
          <cell r="L214" t="str">
            <v>E</v>
          </cell>
          <cell r="M214" t="str">
            <v>ENE</v>
          </cell>
          <cell r="N214" t="str">
            <v>E</v>
          </cell>
          <cell r="O214" t="str">
            <v>NNW</v>
          </cell>
          <cell r="P214" t="str">
            <v>ESE</v>
          </cell>
        </row>
        <row r="215">
          <cell r="B215"/>
          <cell r="C215"/>
          <cell r="D215">
            <v>10</v>
          </cell>
          <cell r="E215">
            <v>10</v>
          </cell>
          <cell r="F215">
            <v>11</v>
          </cell>
          <cell r="G215">
            <v>11</v>
          </cell>
          <cell r="H215">
            <v>10</v>
          </cell>
          <cell r="I215">
            <v>8</v>
          </cell>
          <cell r="J215">
            <v>8</v>
          </cell>
          <cell r="K215">
            <v>8</v>
          </cell>
          <cell r="L215">
            <v>8</v>
          </cell>
          <cell r="M215">
            <v>9</v>
          </cell>
          <cell r="N215">
            <v>10</v>
          </cell>
          <cell r="O215">
            <v>9</v>
          </cell>
          <cell r="P215">
            <v>9</v>
          </cell>
        </row>
        <row r="216">
          <cell r="B216"/>
          <cell r="C216"/>
          <cell r="D216">
            <v>45</v>
          </cell>
          <cell r="E216">
            <v>61</v>
          </cell>
          <cell r="F216">
            <v>59</v>
          </cell>
          <cell r="G216">
            <v>55</v>
          </cell>
          <cell r="H216">
            <v>46</v>
          </cell>
          <cell r="I216">
            <v>58</v>
          </cell>
          <cell r="J216">
            <v>56</v>
          </cell>
          <cell r="K216">
            <v>115</v>
          </cell>
          <cell r="L216">
            <v>62</v>
          </cell>
          <cell r="M216">
            <v>47</v>
          </cell>
          <cell r="N216">
            <v>49</v>
          </cell>
          <cell r="O216">
            <v>46</v>
          </cell>
          <cell r="P216">
            <v>115</v>
          </cell>
        </row>
        <row r="217">
          <cell r="B217" t="str">
            <v>Orlando</v>
          </cell>
          <cell r="C217"/>
          <cell r="D217" t="str">
            <v>N</v>
          </cell>
          <cell r="E217" t="str">
            <v>N</v>
          </cell>
          <cell r="F217" t="str">
            <v>N</v>
          </cell>
          <cell r="G217" t="str">
            <v>N</v>
          </cell>
          <cell r="H217" t="str">
            <v>N</v>
          </cell>
          <cell r="I217" t="str">
            <v>N</v>
          </cell>
          <cell r="J217" t="str">
            <v>N</v>
          </cell>
          <cell r="K217" t="str">
            <v>N</v>
          </cell>
          <cell r="L217" t="str">
            <v>S</v>
          </cell>
          <cell r="M217" t="str">
            <v>S</v>
          </cell>
          <cell r="N217" t="str">
            <v>S</v>
          </cell>
          <cell r="O217" t="str">
            <v>S</v>
          </cell>
          <cell r="P217" t="str">
            <v>N</v>
          </cell>
        </row>
        <row r="218">
          <cell r="B218"/>
          <cell r="C218"/>
          <cell r="D218">
            <v>8</v>
          </cell>
          <cell r="E218">
            <v>9</v>
          </cell>
          <cell r="F218">
            <v>9</v>
          </cell>
          <cell r="G218">
            <v>9</v>
          </cell>
          <cell r="H218">
            <v>8</v>
          </cell>
          <cell r="I218">
            <v>7</v>
          </cell>
          <cell r="J218">
            <v>6</v>
          </cell>
          <cell r="K218">
            <v>6</v>
          </cell>
          <cell r="L218">
            <v>7</v>
          </cell>
          <cell r="M218">
            <v>8</v>
          </cell>
          <cell r="N218">
            <v>8</v>
          </cell>
          <cell r="O218">
            <v>8</v>
          </cell>
          <cell r="P218">
            <v>8</v>
          </cell>
        </row>
        <row r="219">
          <cell r="B219"/>
          <cell r="C219"/>
          <cell r="D219">
            <v>48</v>
          </cell>
          <cell r="E219">
            <v>51</v>
          </cell>
          <cell r="F219">
            <v>62</v>
          </cell>
          <cell r="G219">
            <v>53</v>
          </cell>
          <cell r="H219">
            <v>68</v>
          </cell>
          <cell r="I219">
            <v>62</v>
          </cell>
          <cell r="J219">
            <v>74</v>
          </cell>
          <cell r="K219">
            <v>62</v>
          </cell>
          <cell r="L219">
            <v>56</v>
          </cell>
          <cell r="M219">
            <v>40</v>
          </cell>
          <cell r="N219">
            <v>41</v>
          </cell>
          <cell r="O219">
            <v>43</v>
          </cell>
          <cell r="P219">
            <v>74</v>
          </cell>
        </row>
        <row r="220">
          <cell r="B220" t="str">
            <v>Panama City</v>
          </cell>
          <cell r="C220"/>
          <cell r="D220" t="str">
            <v>N</v>
          </cell>
          <cell r="E220" t="str">
            <v>N</v>
          </cell>
          <cell r="F220" t="str">
            <v>SSE</v>
          </cell>
          <cell r="G220" t="str">
            <v>S</v>
          </cell>
          <cell r="H220" t="str">
            <v>S</v>
          </cell>
          <cell r="I220" t="str">
            <v>WSW</v>
          </cell>
          <cell r="J220" t="str">
            <v>WSW</v>
          </cell>
          <cell r="K220" t="str">
            <v>E</v>
          </cell>
          <cell r="L220" t="str">
            <v>ENE</v>
          </cell>
          <cell r="M220" t="str">
            <v>N</v>
          </cell>
          <cell r="N220" t="str">
            <v>N</v>
          </cell>
          <cell r="O220" t="str">
            <v>N</v>
          </cell>
          <cell r="P220" t="str">
            <v>N</v>
          </cell>
        </row>
        <row r="221">
          <cell r="B221"/>
          <cell r="C221"/>
          <cell r="D221">
            <v>7</v>
          </cell>
          <cell r="E221">
            <v>7</v>
          </cell>
          <cell r="F221">
            <v>8</v>
          </cell>
          <cell r="G221">
            <v>7</v>
          </cell>
          <cell r="H221">
            <v>6</v>
          </cell>
          <cell r="I221">
            <v>6</v>
          </cell>
          <cell r="J221">
            <v>6</v>
          </cell>
          <cell r="K221">
            <v>5</v>
          </cell>
          <cell r="L221">
            <v>6</v>
          </cell>
          <cell r="M221">
            <v>6</v>
          </cell>
          <cell r="N221">
            <v>6</v>
          </cell>
          <cell r="O221">
            <v>7</v>
          </cell>
          <cell r="P221">
            <v>6</v>
          </cell>
        </row>
        <row r="222">
          <cell r="C222"/>
          <cell r="D222">
            <v>54</v>
          </cell>
          <cell r="E222">
            <v>60</v>
          </cell>
          <cell r="F222">
            <v>59</v>
          </cell>
          <cell r="G222">
            <v>63</v>
          </cell>
          <cell r="H222">
            <v>60</v>
          </cell>
          <cell r="I222">
            <v>69</v>
          </cell>
          <cell r="J222">
            <v>64</v>
          </cell>
          <cell r="K222">
            <v>78</v>
          </cell>
          <cell r="L222">
            <v>79</v>
          </cell>
          <cell r="M222">
            <v>49</v>
          </cell>
          <cell r="N222">
            <v>69</v>
          </cell>
          <cell r="O222">
            <v>53</v>
          </cell>
          <cell r="P222">
            <v>79</v>
          </cell>
        </row>
        <row r="223">
          <cell r="B223" t="str">
            <v>Pensacola</v>
          </cell>
          <cell r="C223"/>
          <cell r="D223" t="str">
            <v>N</v>
          </cell>
          <cell r="E223" t="str">
            <v>N</v>
          </cell>
          <cell r="F223" t="str">
            <v>N</v>
          </cell>
          <cell r="G223" t="str">
            <v>N</v>
          </cell>
          <cell r="H223" t="str">
            <v>N</v>
          </cell>
          <cell r="I223" t="str">
            <v>N</v>
          </cell>
          <cell r="J223" t="str">
            <v>ESE</v>
          </cell>
          <cell r="K223" t="str">
            <v>ESE</v>
          </cell>
          <cell r="L223" t="str">
            <v>ESE</v>
          </cell>
          <cell r="M223" t="str">
            <v>SE</v>
          </cell>
          <cell r="N223" t="str">
            <v>SE</v>
          </cell>
          <cell r="O223" t="str">
            <v>SE</v>
          </cell>
          <cell r="P223" t="str">
            <v>N</v>
          </cell>
        </row>
        <row r="224">
          <cell r="B224"/>
          <cell r="C224"/>
          <cell r="D224">
            <v>10</v>
          </cell>
          <cell r="E224">
            <v>11</v>
          </cell>
          <cell r="F224">
            <v>11</v>
          </cell>
          <cell r="G224">
            <v>12</v>
          </cell>
          <cell r="H224">
            <v>10</v>
          </cell>
          <cell r="I224">
            <v>10</v>
          </cell>
          <cell r="J224">
            <v>8</v>
          </cell>
          <cell r="K224">
            <v>7</v>
          </cell>
          <cell r="L224">
            <v>9</v>
          </cell>
          <cell r="M224">
            <v>9</v>
          </cell>
          <cell r="N224">
            <v>9</v>
          </cell>
          <cell r="O224">
            <v>10</v>
          </cell>
          <cell r="P224">
            <v>10</v>
          </cell>
        </row>
        <row r="225">
          <cell r="B225"/>
          <cell r="C225"/>
          <cell r="D225">
            <v>35</v>
          </cell>
          <cell r="E225">
            <v>35</v>
          </cell>
          <cell r="F225">
            <v>35</v>
          </cell>
          <cell r="G225">
            <v>35</v>
          </cell>
          <cell r="H225">
            <v>32</v>
          </cell>
          <cell r="I225">
            <v>32</v>
          </cell>
          <cell r="J225">
            <v>35</v>
          </cell>
          <cell r="K225">
            <v>35</v>
          </cell>
          <cell r="L225">
            <v>53</v>
          </cell>
          <cell r="M225">
            <v>35</v>
          </cell>
          <cell r="N225">
            <v>35</v>
          </cell>
          <cell r="O225">
            <v>34</v>
          </cell>
          <cell r="P225">
            <v>53</v>
          </cell>
        </row>
        <row r="226">
          <cell r="B226" t="str">
            <v>Tallahassee</v>
          </cell>
          <cell r="C226"/>
          <cell r="D226" t="str">
            <v>N</v>
          </cell>
          <cell r="E226" t="str">
            <v>N</v>
          </cell>
          <cell r="F226" t="str">
            <v>S</v>
          </cell>
          <cell r="G226" t="str">
            <v>S</v>
          </cell>
          <cell r="H226" t="str">
            <v>S</v>
          </cell>
          <cell r="I226" t="str">
            <v>N</v>
          </cell>
          <cell r="J226" t="str">
            <v>S</v>
          </cell>
          <cell r="K226" t="str">
            <v>N</v>
          </cell>
          <cell r="L226" t="str">
            <v>ENE</v>
          </cell>
          <cell r="M226" t="str">
            <v>N</v>
          </cell>
          <cell r="N226" t="str">
            <v>N</v>
          </cell>
          <cell r="O226" t="str">
            <v>N</v>
          </cell>
          <cell r="P226" t="str">
            <v>N</v>
          </cell>
        </row>
        <row r="227">
          <cell r="B227"/>
          <cell r="C227"/>
          <cell r="D227">
            <v>7</v>
          </cell>
          <cell r="E227">
            <v>7</v>
          </cell>
          <cell r="F227">
            <v>8</v>
          </cell>
          <cell r="G227">
            <v>7</v>
          </cell>
          <cell r="H227">
            <v>6</v>
          </cell>
          <cell r="I227">
            <v>5</v>
          </cell>
          <cell r="J227">
            <v>5</v>
          </cell>
          <cell r="K227">
            <v>5</v>
          </cell>
          <cell r="L227">
            <v>6</v>
          </cell>
          <cell r="M227">
            <v>6</v>
          </cell>
          <cell r="N227">
            <v>6</v>
          </cell>
          <cell r="O227">
            <v>6</v>
          </cell>
          <cell r="P227">
            <v>6</v>
          </cell>
        </row>
        <row r="228">
          <cell r="B228"/>
          <cell r="C228"/>
          <cell r="D228">
            <v>44</v>
          </cell>
          <cell r="E228">
            <v>51</v>
          </cell>
          <cell r="F228">
            <v>53</v>
          </cell>
          <cell r="G228">
            <v>48</v>
          </cell>
          <cell r="H228">
            <v>41</v>
          </cell>
          <cell r="I228">
            <v>76</v>
          </cell>
          <cell r="J228">
            <v>67</v>
          </cell>
          <cell r="K228">
            <v>64</v>
          </cell>
          <cell r="L228">
            <v>83</v>
          </cell>
          <cell r="M228">
            <v>58</v>
          </cell>
          <cell r="N228">
            <v>68</v>
          </cell>
          <cell r="O228">
            <v>36</v>
          </cell>
          <cell r="P228">
            <v>83</v>
          </cell>
        </row>
        <row r="229">
          <cell r="B229" t="str">
            <v>Tampa</v>
          </cell>
          <cell r="C229"/>
          <cell r="D229" t="str">
            <v>ENE</v>
          </cell>
          <cell r="E229" t="str">
            <v>ENE</v>
          </cell>
          <cell r="F229" t="str">
            <v>ENE</v>
          </cell>
          <cell r="G229" t="str">
            <v>ENE</v>
          </cell>
          <cell r="H229" t="str">
            <v>E</v>
          </cell>
          <cell r="I229" t="str">
            <v>E</v>
          </cell>
          <cell r="J229" t="str">
            <v>E</v>
          </cell>
          <cell r="K229" t="str">
            <v>E</v>
          </cell>
          <cell r="L229" t="str">
            <v>E</v>
          </cell>
          <cell r="M229" t="str">
            <v>E</v>
          </cell>
          <cell r="N229" t="str">
            <v>W</v>
          </cell>
          <cell r="O229" t="str">
            <v>W</v>
          </cell>
          <cell r="P229" t="str">
            <v>E</v>
          </cell>
        </row>
        <row r="230">
          <cell r="B230"/>
          <cell r="C230"/>
          <cell r="D230">
            <v>9</v>
          </cell>
          <cell r="E230">
            <v>9</v>
          </cell>
          <cell r="F230">
            <v>10</v>
          </cell>
          <cell r="G230">
            <v>9</v>
          </cell>
          <cell r="H230">
            <v>9</v>
          </cell>
          <cell r="I230">
            <v>8</v>
          </cell>
          <cell r="J230">
            <v>7</v>
          </cell>
          <cell r="K230">
            <v>7</v>
          </cell>
          <cell r="L230">
            <v>8</v>
          </cell>
          <cell r="M230">
            <v>8</v>
          </cell>
          <cell r="N230">
            <v>8</v>
          </cell>
          <cell r="O230">
            <v>8</v>
          </cell>
          <cell r="P230">
            <v>8</v>
          </cell>
        </row>
        <row r="231">
          <cell r="B231"/>
          <cell r="C231"/>
          <cell r="D231">
            <v>44</v>
          </cell>
          <cell r="E231">
            <v>46</v>
          </cell>
          <cell r="F231">
            <v>58</v>
          </cell>
          <cell r="G231">
            <v>49</v>
          </cell>
          <cell r="H231">
            <v>51</v>
          </cell>
          <cell r="I231">
            <v>61</v>
          </cell>
          <cell r="J231">
            <v>60</v>
          </cell>
          <cell r="K231">
            <v>48</v>
          </cell>
          <cell r="L231">
            <v>45</v>
          </cell>
          <cell r="M231">
            <v>53</v>
          </cell>
          <cell r="N231">
            <v>60</v>
          </cell>
          <cell r="O231">
            <v>37</v>
          </cell>
          <cell r="P231">
            <v>61</v>
          </cell>
        </row>
        <row r="232">
          <cell r="B232" t="str">
            <v>Vero Beach</v>
          </cell>
          <cell r="C232"/>
          <cell r="D232" t="str">
            <v>N</v>
          </cell>
          <cell r="E232" t="str">
            <v>N</v>
          </cell>
          <cell r="F232" t="str">
            <v>ESE</v>
          </cell>
          <cell r="G232" t="str">
            <v>SE</v>
          </cell>
          <cell r="H232" t="str">
            <v>ESE</v>
          </cell>
          <cell r="I232" t="str">
            <v>ESE</v>
          </cell>
          <cell r="J232" t="str">
            <v>ESE</v>
          </cell>
          <cell r="K232" t="str">
            <v>ESE</v>
          </cell>
          <cell r="L232" t="str">
            <v>ENE</v>
          </cell>
          <cell r="M232" t="str">
            <v>ENE</v>
          </cell>
          <cell r="N232" t="str">
            <v>ESE</v>
          </cell>
          <cell r="O232" t="str">
            <v>NW</v>
          </cell>
          <cell r="P232" t="str">
            <v>ESE</v>
          </cell>
        </row>
        <row r="233">
          <cell r="B233"/>
          <cell r="C233"/>
          <cell r="D233">
            <v>9</v>
          </cell>
          <cell r="E233">
            <v>9</v>
          </cell>
          <cell r="F233">
            <v>10</v>
          </cell>
          <cell r="G233">
            <v>10</v>
          </cell>
          <cell r="H233">
            <v>9</v>
          </cell>
          <cell r="I233">
            <v>8</v>
          </cell>
          <cell r="J233">
            <v>7</v>
          </cell>
          <cell r="K233">
            <v>7</v>
          </cell>
          <cell r="L233">
            <v>7</v>
          </cell>
          <cell r="M233">
            <v>9</v>
          </cell>
          <cell r="N233">
            <v>9</v>
          </cell>
          <cell r="O233">
            <v>8</v>
          </cell>
          <cell r="P233">
            <v>8</v>
          </cell>
        </row>
        <row r="234">
          <cell r="B234"/>
          <cell r="C234"/>
          <cell r="D234" t="str">
            <v>N/A</v>
          </cell>
          <cell r="E234" t="str">
            <v>N/A</v>
          </cell>
          <cell r="F234" t="str">
            <v>N/A</v>
          </cell>
          <cell r="G234" t="str">
            <v>N/A</v>
          </cell>
          <cell r="H234" t="str">
            <v>N/A</v>
          </cell>
          <cell r="I234" t="str">
            <v>N/A</v>
          </cell>
          <cell r="J234" t="str">
            <v>N/A</v>
          </cell>
          <cell r="K234" t="str">
            <v>N/A</v>
          </cell>
          <cell r="L234" t="str">
            <v>N/A</v>
          </cell>
          <cell r="M234" t="str">
            <v>N/A</v>
          </cell>
          <cell r="N234" t="str">
            <v>N/A</v>
          </cell>
          <cell r="O234" t="str">
            <v>N/A</v>
          </cell>
          <cell r="P234" t="str">
            <v>N/A</v>
          </cell>
        </row>
        <row r="235">
          <cell r="B235" t="str">
            <v>West Palm Beach</v>
          </cell>
          <cell r="C235"/>
          <cell r="D235" t="str">
            <v>NW</v>
          </cell>
          <cell r="E235" t="str">
            <v>NW</v>
          </cell>
          <cell r="F235" t="str">
            <v>NW</v>
          </cell>
          <cell r="G235" t="str">
            <v>NW</v>
          </cell>
          <cell r="H235" t="str">
            <v>SE</v>
          </cell>
          <cell r="I235" t="str">
            <v>SE</v>
          </cell>
          <cell r="J235" t="str">
            <v>SE</v>
          </cell>
          <cell r="K235" t="str">
            <v>SE</v>
          </cell>
          <cell r="L235" t="str">
            <v>ESE</v>
          </cell>
          <cell r="M235" t="str">
            <v>ESE</v>
          </cell>
          <cell r="N235" t="str">
            <v>ESE</v>
          </cell>
          <cell r="O235" t="str">
            <v>ESE</v>
          </cell>
          <cell r="P235" t="str">
            <v>ESE</v>
          </cell>
        </row>
        <row r="236">
          <cell r="C236"/>
          <cell r="D236">
            <v>10</v>
          </cell>
          <cell r="E236">
            <v>11</v>
          </cell>
          <cell r="F236">
            <v>11</v>
          </cell>
          <cell r="G236">
            <v>11</v>
          </cell>
          <cell r="H236">
            <v>10</v>
          </cell>
          <cell r="I236">
            <v>8</v>
          </cell>
          <cell r="J236">
            <v>8</v>
          </cell>
          <cell r="K236">
            <v>8</v>
          </cell>
          <cell r="L236">
            <v>9</v>
          </cell>
          <cell r="M236">
            <v>10</v>
          </cell>
          <cell r="N236">
            <v>11</v>
          </cell>
          <cell r="O236">
            <v>10</v>
          </cell>
          <cell r="P236">
            <v>10</v>
          </cell>
        </row>
        <row r="237">
          <cell r="C237"/>
          <cell r="D237">
            <v>46</v>
          </cell>
          <cell r="E237">
            <v>40</v>
          </cell>
          <cell r="F237">
            <v>43</v>
          </cell>
          <cell r="G237">
            <v>38</v>
          </cell>
          <cell r="H237">
            <v>39</v>
          </cell>
          <cell r="I237">
            <v>53</v>
          </cell>
          <cell r="J237">
            <v>32</v>
          </cell>
          <cell r="K237">
            <v>41</v>
          </cell>
          <cell r="L237">
            <v>52</v>
          </cell>
          <cell r="M237">
            <v>45</v>
          </cell>
          <cell r="N237">
            <v>46</v>
          </cell>
          <cell r="O237">
            <v>48</v>
          </cell>
          <cell r="P237">
            <v>53</v>
          </cell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</row>
        <row r="239">
          <cell r="B239" t="str">
            <v>Albany</v>
          </cell>
          <cell r="C239"/>
          <cell r="D239" t="str">
            <v>NW</v>
          </cell>
          <cell r="E239" t="str">
            <v>NW</v>
          </cell>
          <cell r="F239" t="str">
            <v>SSW</v>
          </cell>
          <cell r="G239" t="str">
            <v>SSW</v>
          </cell>
          <cell r="H239" t="str">
            <v>SSW</v>
          </cell>
          <cell r="I239" t="str">
            <v>SW</v>
          </cell>
          <cell r="J239" t="str">
            <v>SSW</v>
          </cell>
          <cell r="K239" t="str">
            <v>ENE</v>
          </cell>
          <cell r="L239" t="str">
            <v>ENE</v>
          </cell>
          <cell r="M239" t="str">
            <v>NE</v>
          </cell>
          <cell r="N239" t="str">
            <v>NE</v>
          </cell>
          <cell r="O239" t="str">
            <v>NW</v>
          </cell>
          <cell r="P239" t="str">
            <v>ENE</v>
          </cell>
        </row>
        <row r="240">
          <cell r="B240"/>
          <cell r="C240"/>
          <cell r="D240">
            <v>7</v>
          </cell>
          <cell r="E240">
            <v>8</v>
          </cell>
          <cell r="F240">
            <v>8</v>
          </cell>
          <cell r="G240">
            <v>7</v>
          </cell>
          <cell r="H240">
            <v>6</v>
          </cell>
          <cell r="I240">
            <v>6</v>
          </cell>
          <cell r="J240">
            <v>6</v>
          </cell>
          <cell r="K240">
            <v>5</v>
          </cell>
          <cell r="L240">
            <v>6</v>
          </cell>
          <cell r="M240">
            <v>6</v>
          </cell>
          <cell r="N240">
            <v>6</v>
          </cell>
          <cell r="O240">
            <v>6</v>
          </cell>
          <cell r="P240">
            <v>6</v>
          </cell>
        </row>
        <row r="241">
          <cell r="B241"/>
          <cell r="C241"/>
          <cell r="D241">
            <v>54</v>
          </cell>
          <cell r="E241">
            <v>55</v>
          </cell>
          <cell r="F241">
            <v>64</v>
          </cell>
          <cell r="G241">
            <v>89</v>
          </cell>
          <cell r="H241">
            <v>62</v>
          </cell>
          <cell r="I241">
            <v>61</v>
          </cell>
          <cell r="J241">
            <v>55</v>
          </cell>
          <cell r="K241">
            <v>72</v>
          </cell>
          <cell r="L241">
            <v>44</v>
          </cell>
          <cell r="M241">
            <v>49</v>
          </cell>
          <cell r="N241">
            <v>56</v>
          </cell>
          <cell r="O241">
            <v>45</v>
          </cell>
          <cell r="P241">
            <v>89</v>
          </cell>
        </row>
        <row r="242">
          <cell r="B242" t="str">
            <v>Athens</v>
          </cell>
          <cell r="C242"/>
          <cell r="D242" t="str">
            <v>WNW</v>
          </cell>
          <cell r="E242" t="str">
            <v>WNW</v>
          </cell>
          <cell r="F242" t="str">
            <v>WNW</v>
          </cell>
          <cell r="G242" t="str">
            <v>WNW</v>
          </cell>
          <cell r="H242" t="str">
            <v>WNW</v>
          </cell>
          <cell r="I242" t="str">
            <v>WNW</v>
          </cell>
          <cell r="J242" t="str">
            <v>WNW</v>
          </cell>
          <cell r="K242" t="str">
            <v>WNW</v>
          </cell>
          <cell r="L242" t="str">
            <v>WSW</v>
          </cell>
          <cell r="M242" t="str">
            <v>WSW</v>
          </cell>
          <cell r="N242" t="str">
            <v>WSW</v>
          </cell>
          <cell r="O242" t="str">
            <v>WSW</v>
          </cell>
          <cell r="P242" t="str">
            <v>WNW</v>
          </cell>
        </row>
        <row r="243">
          <cell r="B243"/>
          <cell r="C243"/>
          <cell r="D243">
            <v>8</v>
          </cell>
          <cell r="E243">
            <v>9</v>
          </cell>
          <cell r="F243">
            <v>9</v>
          </cell>
          <cell r="G243">
            <v>8</v>
          </cell>
          <cell r="H243">
            <v>7</v>
          </cell>
          <cell r="I243">
            <v>7</v>
          </cell>
          <cell r="J243">
            <v>6</v>
          </cell>
          <cell r="K243">
            <v>6</v>
          </cell>
          <cell r="L243">
            <v>7</v>
          </cell>
          <cell r="M243">
            <v>7</v>
          </cell>
          <cell r="N243">
            <v>8</v>
          </cell>
          <cell r="O243">
            <v>8</v>
          </cell>
          <cell r="P243">
            <v>7</v>
          </cell>
        </row>
        <row r="244">
          <cell r="B244"/>
          <cell r="C244"/>
          <cell r="D244">
            <v>55</v>
          </cell>
          <cell r="E244">
            <v>54</v>
          </cell>
          <cell r="F244">
            <v>83</v>
          </cell>
          <cell r="G244">
            <v>60</v>
          </cell>
          <cell r="H244">
            <v>52</v>
          </cell>
          <cell r="I244">
            <v>58</v>
          </cell>
          <cell r="J244">
            <v>78</v>
          </cell>
          <cell r="K244">
            <v>56</v>
          </cell>
          <cell r="L244">
            <v>55</v>
          </cell>
          <cell r="M244">
            <v>47</v>
          </cell>
          <cell r="N244">
            <v>59</v>
          </cell>
          <cell r="O244">
            <v>45</v>
          </cell>
          <cell r="P244">
            <v>83</v>
          </cell>
        </row>
        <row r="245">
          <cell r="B245" t="str">
            <v>Atlanta</v>
          </cell>
          <cell r="C245"/>
          <cell r="D245" t="str">
            <v>NW</v>
          </cell>
          <cell r="E245" t="str">
            <v>NW</v>
          </cell>
          <cell r="F245" t="str">
            <v>NW</v>
          </cell>
          <cell r="G245" t="str">
            <v>WNW</v>
          </cell>
          <cell r="H245" t="str">
            <v>NW</v>
          </cell>
          <cell r="I245" t="str">
            <v>W</v>
          </cell>
          <cell r="J245" t="str">
            <v>W</v>
          </cell>
          <cell r="K245" t="str">
            <v>E</v>
          </cell>
          <cell r="L245" t="str">
            <v>E</v>
          </cell>
          <cell r="M245" t="str">
            <v>E</v>
          </cell>
          <cell r="N245" t="str">
            <v>NW</v>
          </cell>
          <cell r="O245" t="str">
            <v>NW</v>
          </cell>
          <cell r="P245" t="str">
            <v>NW</v>
          </cell>
        </row>
        <row r="246">
          <cell r="B246"/>
          <cell r="C246"/>
          <cell r="D246">
            <v>10</v>
          </cell>
          <cell r="E246">
            <v>11</v>
          </cell>
          <cell r="F246">
            <v>11</v>
          </cell>
          <cell r="G246">
            <v>10</v>
          </cell>
          <cell r="H246">
            <v>9</v>
          </cell>
          <cell r="I246">
            <v>8</v>
          </cell>
          <cell r="J246">
            <v>8</v>
          </cell>
          <cell r="K246">
            <v>7</v>
          </cell>
          <cell r="L246">
            <v>8</v>
          </cell>
          <cell r="M246">
            <v>9</v>
          </cell>
          <cell r="N246">
            <v>9</v>
          </cell>
          <cell r="O246">
            <v>10</v>
          </cell>
          <cell r="P246">
            <v>9</v>
          </cell>
        </row>
        <row r="247">
          <cell r="B247"/>
          <cell r="C247"/>
          <cell r="D247">
            <v>55</v>
          </cell>
          <cell r="E247">
            <v>68</v>
          </cell>
          <cell r="F247">
            <v>61</v>
          </cell>
          <cell r="G247">
            <v>61</v>
          </cell>
          <cell r="H247">
            <v>72</v>
          </cell>
          <cell r="I247">
            <v>60</v>
          </cell>
          <cell r="J247">
            <v>77</v>
          </cell>
          <cell r="K247">
            <v>63</v>
          </cell>
          <cell r="L247">
            <v>45</v>
          </cell>
          <cell r="M247">
            <v>56</v>
          </cell>
          <cell r="N247">
            <v>56</v>
          </cell>
          <cell r="O247">
            <v>47</v>
          </cell>
          <cell r="P247">
            <v>77</v>
          </cell>
        </row>
        <row r="248">
          <cell r="B248" t="str">
            <v>Augusta</v>
          </cell>
          <cell r="C248"/>
          <cell r="D248" t="str">
            <v>W</v>
          </cell>
          <cell r="E248" t="str">
            <v>WNW</v>
          </cell>
          <cell r="F248" t="str">
            <v>WNW</v>
          </cell>
          <cell r="G248" t="str">
            <v>S</v>
          </cell>
          <cell r="H248" t="str">
            <v>SE</v>
          </cell>
          <cell r="I248" t="str">
            <v>SE</v>
          </cell>
          <cell r="J248" t="str">
            <v>WSW</v>
          </cell>
          <cell r="K248" t="str">
            <v>SE</v>
          </cell>
          <cell r="L248" t="str">
            <v>NE</v>
          </cell>
          <cell r="M248" t="str">
            <v>NNW</v>
          </cell>
          <cell r="N248" t="str">
            <v>WNW</v>
          </cell>
          <cell r="O248" t="str">
            <v>WNW</v>
          </cell>
          <cell r="P248" t="str">
            <v>WSW</v>
          </cell>
        </row>
        <row r="249">
          <cell r="B249"/>
          <cell r="C249"/>
          <cell r="D249">
            <v>7</v>
          </cell>
          <cell r="E249">
            <v>8</v>
          </cell>
          <cell r="F249">
            <v>8</v>
          </cell>
          <cell r="G249">
            <v>7</v>
          </cell>
          <cell r="H249">
            <v>6</v>
          </cell>
          <cell r="I249">
            <v>6</v>
          </cell>
          <cell r="J249">
            <v>6</v>
          </cell>
          <cell r="K249">
            <v>5</v>
          </cell>
          <cell r="L249">
            <v>5</v>
          </cell>
          <cell r="M249">
            <v>6</v>
          </cell>
          <cell r="N249">
            <v>6</v>
          </cell>
          <cell r="O249">
            <v>6</v>
          </cell>
          <cell r="P249">
            <v>6</v>
          </cell>
        </row>
        <row r="250">
          <cell r="B250"/>
          <cell r="C250"/>
          <cell r="D250">
            <v>44</v>
          </cell>
          <cell r="E250">
            <v>43</v>
          </cell>
          <cell r="F250">
            <v>48</v>
          </cell>
          <cell r="G250">
            <v>43</v>
          </cell>
          <cell r="H250">
            <v>52</v>
          </cell>
          <cell r="I250">
            <v>49</v>
          </cell>
          <cell r="J250">
            <v>45</v>
          </cell>
          <cell r="K250">
            <v>33</v>
          </cell>
          <cell r="L250">
            <v>38</v>
          </cell>
          <cell r="M250">
            <v>52</v>
          </cell>
          <cell r="N250">
            <v>49</v>
          </cell>
          <cell r="O250">
            <v>40</v>
          </cell>
          <cell r="P250">
            <v>52</v>
          </cell>
        </row>
        <row r="251">
          <cell r="B251" t="str">
            <v>Brunswick</v>
          </cell>
          <cell r="C251"/>
          <cell r="D251" t="str">
            <v>WNW</v>
          </cell>
          <cell r="E251" t="str">
            <v>W</v>
          </cell>
          <cell r="F251" t="str">
            <v>W</v>
          </cell>
          <cell r="G251" t="str">
            <v>SSE</v>
          </cell>
          <cell r="H251" t="str">
            <v>SSE</v>
          </cell>
          <cell r="I251" t="str">
            <v>SSE</v>
          </cell>
          <cell r="J251" t="str">
            <v>SSW</v>
          </cell>
          <cell r="K251" t="str">
            <v>SSE</v>
          </cell>
          <cell r="L251" t="str">
            <v>NE</v>
          </cell>
          <cell r="M251" t="str">
            <v>NNE</v>
          </cell>
          <cell r="N251" t="str">
            <v>NNE</v>
          </cell>
          <cell r="O251" t="str">
            <v>NNE</v>
          </cell>
          <cell r="P251" t="str">
            <v>SW</v>
          </cell>
        </row>
        <row r="252">
          <cell r="C252"/>
          <cell r="D252">
            <v>7</v>
          </cell>
          <cell r="E252">
            <v>8</v>
          </cell>
          <cell r="F252">
            <v>8</v>
          </cell>
          <cell r="G252">
            <v>7</v>
          </cell>
          <cell r="H252">
            <v>7</v>
          </cell>
          <cell r="I252">
            <v>7</v>
          </cell>
          <cell r="J252">
            <v>6</v>
          </cell>
          <cell r="K252">
            <v>6</v>
          </cell>
          <cell r="L252">
            <v>6</v>
          </cell>
          <cell r="M252">
            <v>6</v>
          </cell>
          <cell r="N252">
            <v>6</v>
          </cell>
          <cell r="O252">
            <v>6</v>
          </cell>
          <cell r="P252">
            <v>7</v>
          </cell>
        </row>
        <row r="253">
          <cell r="B253"/>
          <cell r="C253"/>
          <cell r="D253">
            <v>48</v>
          </cell>
          <cell r="E253">
            <v>48</v>
          </cell>
          <cell r="F253">
            <v>56</v>
          </cell>
          <cell r="G253">
            <v>64</v>
          </cell>
          <cell r="H253">
            <v>61</v>
          </cell>
          <cell r="I253">
            <v>49</v>
          </cell>
          <cell r="J253">
            <v>62</v>
          </cell>
          <cell r="K253">
            <v>64</v>
          </cell>
          <cell r="L253">
            <v>61</v>
          </cell>
          <cell r="M253">
            <v>45</v>
          </cell>
          <cell r="N253">
            <v>60</v>
          </cell>
          <cell r="O253">
            <v>41</v>
          </cell>
          <cell r="P253">
            <v>64</v>
          </cell>
        </row>
        <row r="254">
          <cell r="B254" t="str">
            <v>Columbus</v>
          </cell>
          <cell r="C254"/>
          <cell r="D254" t="str">
            <v>ENE</v>
          </cell>
          <cell r="E254" t="str">
            <v>ENE</v>
          </cell>
          <cell r="F254" t="str">
            <v>NW</v>
          </cell>
          <cell r="G254" t="str">
            <v>NW</v>
          </cell>
          <cell r="H254" t="str">
            <v>WNW</v>
          </cell>
          <cell r="I254" t="str">
            <v>WNW</v>
          </cell>
          <cell r="J254" t="str">
            <v>S</v>
          </cell>
          <cell r="K254" t="str">
            <v>S</v>
          </cell>
          <cell r="L254" t="str">
            <v>E</v>
          </cell>
          <cell r="M254" t="str">
            <v>E</v>
          </cell>
          <cell r="N254" t="str">
            <v>ENE</v>
          </cell>
          <cell r="O254" t="str">
            <v>ENE</v>
          </cell>
          <cell r="P254" t="str">
            <v>ENE</v>
          </cell>
        </row>
        <row r="255">
          <cell r="B255"/>
          <cell r="C255"/>
          <cell r="D255">
            <v>7</v>
          </cell>
          <cell r="E255">
            <v>8</v>
          </cell>
          <cell r="F255">
            <v>8</v>
          </cell>
          <cell r="G255">
            <v>7</v>
          </cell>
          <cell r="H255">
            <v>7</v>
          </cell>
          <cell r="I255">
            <v>6</v>
          </cell>
          <cell r="J255">
            <v>6</v>
          </cell>
          <cell r="K255">
            <v>6</v>
          </cell>
          <cell r="L255">
            <v>6</v>
          </cell>
          <cell r="M255">
            <v>7</v>
          </cell>
          <cell r="N255">
            <v>7</v>
          </cell>
          <cell r="O255">
            <v>7</v>
          </cell>
          <cell r="P255">
            <v>7</v>
          </cell>
        </row>
        <row r="256">
          <cell r="B256"/>
          <cell r="C256"/>
          <cell r="D256">
            <v>53</v>
          </cell>
          <cell r="E256">
            <v>37</v>
          </cell>
          <cell r="F256">
            <v>44</v>
          </cell>
          <cell r="G256">
            <v>40</v>
          </cell>
          <cell r="H256">
            <v>46</v>
          </cell>
          <cell r="I256">
            <v>62</v>
          </cell>
          <cell r="J256">
            <v>39</v>
          </cell>
          <cell r="K256">
            <v>40</v>
          </cell>
          <cell r="L256">
            <v>38</v>
          </cell>
          <cell r="M256">
            <v>52</v>
          </cell>
          <cell r="N256">
            <v>40</v>
          </cell>
          <cell r="O256">
            <v>33</v>
          </cell>
          <cell r="P256">
            <v>62</v>
          </cell>
        </row>
        <row r="257">
          <cell r="B257" t="str">
            <v>Macon</v>
          </cell>
          <cell r="C257"/>
          <cell r="D257" t="str">
            <v>WNW</v>
          </cell>
          <cell r="E257" t="str">
            <v>WNW</v>
          </cell>
          <cell r="F257" t="str">
            <v>WNW</v>
          </cell>
          <cell r="G257" t="str">
            <v>WNW</v>
          </cell>
          <cell r="H257" t="str">
            <v>WNW</v>
          </cell>
          <cell r="I257" t="str">
            <v>WNW</v>
          </cell>
          <cell r="J257" t="str">
            <v>WSW</v>
          </cell>
          <cell r="K257" t="str">
            <v>ENE</v>
          </cell>
          <cell r="L257" t="str">
            <v>ENE</v>
          </cell>
          <cell r="M257" t="str">
            <v>ENE</v>
          </cell>
          <cell r="N257" t="str">
            <v>WNW</v>
          </cell>
          <cell r="O257" t="str">
            <v>WNW</v>
          </cell>
          <cell r="P257" t="str">
            <v>WNW</v>
          </cell>
        </row>
        <row r="258">
          <cell r="B258"/>
          <cell r="C258"/>
          <cell r="D258">
            <v>8</v>
          </cell>
          <cell r="E258">
            <v>9</v>
          </cell>
          <cell r="F258">
            <v>9</v>
          </cell>
          <cell r="G258">
            <v>9</v>
          </cell>
          <cell r="H258">
            <v>7</v>
          </cell>
          <cell r="I258">
            <v>7</v>
          </cell>
          <cell r="J258">
            <v>7</v>
          </cell>
          <cell r="K258">
            <v>7</v>
          </cell>
          <cell r="L258">
            <v>6</v>
          </cell>
          <cell r="M258">
            <v>7</v>
          </cell>
          <cell r="N258">
            <v>7</v>
          </cell>
          <cell r="O258">
            <v>7</v>
          </cell>
          <cell r="P258">
            <v>8</v>
          </cell>
        </row>
        <row r="259">
          <cell r="B259"/>
          <cell r="C259"/>
          <cell r="D259">
            <v>46</v>
          </cell>
          <cell r="E259">
            <v>44</v>
          </cell>
          <cell r="F259">
            <v>43</v>
          </cell>
          <cell r="G259">
            <v>72</v>
          </cell>
          <cell r="H259">
            <v>64</v>
          </cell>
          <cell r="I259">
            <v>36</v>
          </cell>
          <cell r="J259">
            <v>41</v>
          </cell>
          <cell r="K259">
            <v>51</v>
          </cell>
          <cell r="L259">
            <v>39</v>
          </cell>
          <cell r="M259">
            <v>45</v>
          </cell>
          <cell r="N259">
            <v>54</v>
          </cell>
          <cell r="O259">
            <v>33</v>
          </cell>
          <cell r="P259">
            <v>72</v>
          </cell>
        </row>
        <row r="260">
          <cell r="B260" t="str">
            <v>Savannah</v>
          </cell>
          <cell r="C260"/>
          <cell r="D260" t="str">
            <v>W</v>
          </cell>
          <cell r="E260" t="str">
            <v>W</v>
          </cell>
          <cell r="F260" t="str">
            <v>WNW</v>
          </cell>
          <cell r="G260" t="str">
            <v>WNW</v>
          </cell>
          <cell r="H260" t="str">
            <v>S</v>
          </cell>
          <cell r="I260" t="str">
            <v>S</v>
          </cell>
          <cell r="J260" t="str">
            <v>S</v>
          </cell>
          <cell r="K260" t="str">
            <v>S</v>
          </cell>
          <cell r="L260" t="str">
            <v>S</v>
          </cell>
          <cell r="M260" t="str">
            <v>S</v>
          </cell>
          <cell r="N260" t="str">
            <v>SW</v>
          </cell>
          <cell r="O260" t="str">
            <v>SW</v>
          </cell>
          <cell r="P260" t="str">
            <v>W</v>
          </cell>
        </row>
        <row r="261">
          <cell r="B261"/>
          <cell r="C261"/>
          <cell r="D261">
            <v>9</v>
          </cell>
          <cell r="E261">
            <v>9</v>
          </cell>
          <cell r="F261">
            <v>9</v>
          </cell>
          <cell r="G261">
            <v>9</v>
          </cell>
          <cell r="H261">
            <v>8</v>
          </cell>
          <cell r="I261">
            <v>8</v>
          </cell>
          <cell r="J261">
            <v>7</v>
          </cell>
          <cell r="K261">
            <v>7</v>
          </cell>
          <cell r="L261">
            <v>7</v>
          </cell>
          <cell r="M261">
            <v>8</v>
          </cell>
          <cell r="N261">
            <v>8</v>
          </cell>
          <cell r="O261">
            <v>8</v>
          </cell>
          <cell r="P261">
            <v>8</v>
          </cell>
        </row>
        <row r="262">
          <cell r="B262"/>
          <cell r="C262"/>
          <cell r="D262">
            <v>51</v>
          </cell>
          <cell r="E262">
            <v>49</v>
          </cell>
          <cell r="F262">
            <v>68</v>
          </cell>
          <cell r="G262">
            <v>53</v>
          </cell>
          <cell r="H262">
            <v>68</v>
          </cell>
          <cell r="I262">
            <v>66</v>
          </cell>
          <cell r="J262">
            <v>63</v>
          </cell>
          <cell r="K262">
            <v>58</v>
          </cell>
          <cell r="L262">
            <v>54</v>
          </cell>
          <cell r="M262">
            <v>61</v>
          </cell>
          <cell r="N262">
            <v>62</v>
          </cell>
          <cell r="O262">
            <v>48</v>
          </cell>
          <cell r="P262">
            <v>68</v>
          </cell>
        </row>
        <row r="263">
          <cell r="B263" t="str">
            <v>Valdosta</v>
          </cell>
          <cell r="C263"/>
          <cell r="D263" t="str">
            <v>WNW</v>
          </cell>
          <cell r="E263" t="str">
            <v>NNW</v>
          </cell>
          <cell r="F263" t="str">
            <v>SSW</v>
          </cell>
          <cell r="G263" t="str">
            <v>WSW</v>
          </cell>
          <cell r="H263" t="str">
            <v>E</v>
          </cell>
          <cell r="I263" t="str">
            <v>WSW</v>
          </cell>
          <cell r="J263" t="str">
            <v>SSW</v>
          </cell>
          <cell r="K263" t="str">
            <v>WSW</v>
          </cell>
          <cell r="L263" t="str">
            <v>NNE</v>
          </cell>
          <cell r="M263" t="str">
            <v>NNE</v>
          </cell>
          <cell r="N263" t="str">
            <v>ENE</v>
          </cell>
          <cell r="O263" t="str">
            <v>NNE</v>
          </cell>
          <cell r="P263" t="str">
            <v>ENE</v>
          </cell>
        </row>
        <row r="264">
          <cell r="B264"/>
          <cell r="C264"/>
          <cell r="D264">
            <v>5</v>
          </cell>
          <cell r="E264">
            <v>6</v>
          </cell>
          <cell r="F264">
            <v>6</v>
          </cell>
          <cell r="G264">
            <v>5</v>
          </cell>
          <cell r="H264">
            <v>5</v>
          </cell>
          <cell r="I264">
            <v>3</v>
          </cell>
          <cell r="J264">
            <v>3</v>
          </cell>
          <cell r="K264">
            <v>3</v>
          </cell>
          <cell r="L264">
            <v>3</v>
          </cell>
          <cell r="M264">
            <v>5</v>
          </cell>
          <cell r="N264">
            <v>5</v>
          </cell>
          <cell r="O264">
            <v>5</v>
          </cell>
          <cell r="P264">
            <v>5</v>
          </cell>
        </row>
        <row r="265">
          <cell r="B265"/>
          <cell r="C265"/>
          <cell r="D265">
            <v>51</v>
          </cell>
          <cell r="E265">
            <v>56</v>
          </cell>
          <cell r="F265">
            <v>55</v>
          </cell>
          <cell r="G265">
            <v>60</v>
          </cell>
          <cell r="H265">
            <v>59</v>
          </cell>
          <cell r="I265">
            <v>75</v>
          </cell>
          <cell r="J265">
            <v>51</v>
          </cell>
          <cell r="K265">
            <v>55</v>
          </cell>
          <cell r="L265">
            <v>53</v>
          </cell>
          <cell r="M265">
            <v>51</v>
          </cell>
          <cell r="N265">
            <v>63</v>
          </cell>
          <cell r="O265">
            <v>45</v>
          </cell>
          <cell r="P265">
            <v>75</v>
          </cell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</row>
        <row r="267">
          <cell r="B267" t="str">
            <v>Barbers Point</v>
          </cell>
          <cell r="C267"/>
          <cell r="D267" t="str">
            <v>ENE</v>
          </cell>
          <cell r="E267" t="str">
            <v>ENE</v>
          </cell>
          <cell r="F267" t="str">
            <v>ENE</v>
          </cell>
          <cell r="G267" t="str">
            <v>ENE</v>
          </cell>
          <cell r="H267" t="str">
            <v>ENE</v>
          </cell>
          <cell r="I267" t="str">
            <v>ENE</v>
          </cell>
          <cell r="J267" t="str">
            <v>ENE</v>
          </cell>
          <cell r="K267" t="str">
            <v>ENE</v>
          </cell>
          <cell r="L267" t="str">
            <v>ENE</v>
          </cell>
          <cell r="M267" t="str">
            <v>ENE</v>
          </cell>
          <cell r="N267" t="str">
            <v>ENE</v>
          </cell>
          <cell r="O267" t="str">
            <v>ENE</v>
          </cell>
          <cell r="P267" t="str">
            <v>ENE</v>
          </cell>
        </row>
        <row r="268">
          <cell r="B268"/>
          <cell r="C268"/>
          <cell r="D268">
            <v>9</v>
          </cell>
          <cell r="E268">
            <v>9</v>
          </cell>
          <cell r="F268">
            <v>10</v>
          </cell>
          <cell r="G268">
            <v>10</v>
          </cell>
          <cell r="H268">
            <v>9</v>
          </cell>
          <cell r="I268">
            <v>9</v>
          </cell>
          <cell r="J268">
            <v>10</v>
          </cell>
          <cell r="K268">
            <v>9</v>
          </cell>
          <cell r="L268">
            <v>9</v>
          </cell>
          <cell r="M268">
            <v>9</v>
          </cell>
          <cell r="N268">
            <v>9</v>
          </cell>
          <cell r="O268">
            <v>9</v>
          </cell>
          <cell r="P268">
            <v>9</v>
          </cell>
        </row>
        <row r="269">
          <cell r="B269"/>
          <cell r="C269"/>
          <cell r="D269">
            <v>69</v>
          </cell>
          <cell r="E269">
            <v>59</v>
          </cell>
          <cell r="F269">
            <v>59</v>
          </cell>
          <cell r="G269">
            <v>45</v>
          </cell>
          <cell r="H269">
            <v>44</v>
          </cell>
          <cell r="I269">
            <v>45</v>
          </cell>
          <cell r="J269">
            <v>43</v>
          </cell>
          <cell r="K269">
            <v>52</v>
          </cell>
          <cell r="L269">
            <v>48</v>
          </cell>
          <cell r="M269">
            <v>41</v>
          </cell>
          <cell r="N269">
            <v>70</v>
          </cell>
          <cell r="O269">
            <v>52</v>
          </cell>
          <cell r="P269">
            <v>70</v>
          </cell>
        </row>
        <row r="270">
          <cell r="B270" t="str">
            <v>Kaneohe Bay</v>
          </cell>
          <cell r="C270"/>
          <cell r="D270" t="str">
            <v>E</v>
          </cell>
          <cell r="E270" t="str">
            <v>E</v>
          </cell>
          <cell r="F270" t="str">
            <v>E</v>
          </cell>
          <cell r="G270" t="str">
            <v>E</v>
          </cell>
          <cell r="H270" t="str">
            <v>E</v>
          </cell>
          <cell r="I270" t="str">
            <v>E</v>
          </cell>
          <cell r="J270" t="str">
            <v>ENE</v>
          </cell>
          <cell r="K270" t="str">
            <v>ENE</v>
          </cell>
          <cell r="L270" t="str">
            <v>E</v>
          </cell>
          <cell r="M270" t="str">
            <v>E</v>
          </cell>
          <cell r="N270" t="str">
            <v>E</v>
          </cell>
          <cell r="O270" t="str">
            <v>E</v>
          </cell>
          <cell r="P270" t="str">
            <v>E</v>
          </cell>
        </row>
        <row r="271">
          <cell r="B271"/>
          <cell r="C271"/>
          <cell r="D271">
            <v>8</v>
          </cell>
          <cell r="E271">
            <v>9</v>
          </cell>
          <cell r="F271">
            <v>12</v>
          </cell>
          <cell r="G271">
            <v>10</v>
          </cell>
          <cell r="H271">
            <v>10</v>
          </cell>
          <cell r="I271">
            <v>10</v>
          </cell>
          <cell r="J271">
            <v>10</v>
          </cell>
          <cell r="K271">
            <v>10</v>
          </cell>
          <cell r="L271">
            <v>9</v>
          </cell>
          <cell r="M271">
            <v>9</v>
          </cell>
          <cell r="N271">
            <v>9</v>
          </cell>
          <cell r="O271">
            <v>8</v>
          </cell>
          <cell r="P271">
            <v>9</v>
          </cell>
        </row>
        <row r="272">
          <cell r="B272"/>
          <cell r="C272"/>
          <cell r="D272">
            <v>96</v>
          </cell>
          <cell r="E272">
            <v>75</v>
          </cell>
          <cell r="F272">
            <v>59</v>
          </cell>
          <cell r="G272">
            <v>60</v>
          </cell>
          <cell r="H272">
            <v>47</v>
          </cell>
          <cell r="I272">
            <v>41</v>
          </cell>
          <cell r="J272">
            <v>46</v>
          </cell>
          <cell r="K272">
            <v>53</v>
          </cell>
          <cell r="L272">
            <v>40</v>
          </cell>
          <cell r="M272">
            <v>54</v>
          </cell>
          <cell r="N272">
            <v>92</v>
          </cell>
          <cell r="O272">
            <v>64</v>
          </cell>
          <cell r="P272">
            <v>96</v>
          </cell>
        </row>
        <row r="273">
          <cell r="B273" t="str">
            <v>Hilo</v>
          </cell>
          <cell r="C273"/>
          <cell r="D273" t="str">
            <v>SW</v>
          </cell>
          <cell r="E273" t="str">
            <v>SW</v>
          </cell>
          <cell r="F273" t="str">
            <v>SW</v>
          </cell>
          <cell r="G273" t="str">
            <v>SW</v>
          </cell>
          <cell r="H273" t="str">
            <v>SW</v>
          </cell>
          <cell r="I273" t="str">
            <v>SW</v>
          </cell>
          <cell r="J273" t="str">
            <v>WSW</v>
          </cell>
          <cell r="K273" t="str">
            <v>SW</v>
          </cell>
          <cell r="L273" t="str">
            <v>SW</v>
          </cell>
          <cell r="M273" t="str">
            <v>SW</v>
          </cell>
          <cell r="N273" t="str">
            <v>SW</v>
          </cell>
          <cell r="O273" t="str">
            <v>SW</v>
          </cell>
          <cell r="P273" t="str">
            <v>SW</v>
          </cell>
        </row>
        <row r="274">
          <cell r="B274"/>
          <cell r="C274"/>
          <cell r="D274">
            <v>8</v>
          </cell>
          <cell r="E274">
            <v>8</v>
          </cell>
          <cell r="F274">
            <v>8</v>
          </cell>
          <cell r="G274">
            <v>8</v>
          </cell>
          <cell r="H274">
            <v>8</v>
          </cell>
          <cell r="I274">
            <v>7</v>
          </cell>
          <cell r="J274">
            <v>7</v>
          </cell>
          <cell r="K274">
            <v>7</v>
          </cell>
          <cell r="L274">
            <v>7</v>
          </cell>
          <cell r="M274">
            <v>7</v>
          </cell>
          <cell r="N274">
            <v>7</v>
          </cell>
          <cell r="O274">
            <v>7</v>
          </cell>
          <cell r="P274">
            <v>7</v>
          </cell>
        </row>
        <row r="275">
          <cell r="B275"/>
          <cell r="C275"/>
          <cell r="D275">
            <v>47</v>
          </cell>
          <cell r="E275">
            <v>55</v>
          </cell>
          <cell r="F275">
            <v>40</v>
          </cell>
          <cell r="G275">
            <v>40</v>
          </cell>
          <cell r="H275">
            <v>41</v>
          </cell>
          <cell r="I275">
            <v>32</v>
          </cell>
          <cell r="J275">
            <v>36</v>
          </cell>
          <cell r="K275">
            <v>36</v>
          </cell>
          <cell r="L275">
            <v>37</v>
          </cell>
          <cell r="M275">
            <v>33</v>
          </cell>
          <cell r="N275">
            <v>36</v>
          </cell>
          <cell r="O275">
            <v>45</v>
          </cell>
          <cell r="P275">
            <v>55</v>
          </cell>
        </row>
        <row r="276">
          <cell r="B276" t="str">
            <v>Honolulu</v>
          </cell>
          <cell r="C276"/>
          <cell r="D276" t="str">
            <v>ENE</v>
          </cell>
          <cell r="E276" t="str">
            <v>ENE</v>
          </cell>
          <cell r="F276" t="str">
            <v>ENE</v>
          </cell>
          <cell r="G276" t="str">
            <v>ENE</v>
          </cell>
          <cell r="H276" t="str">
            <v>ENE</v>
          </cell>
          <cell r="I276" t="str">
            <v>ENE</v>
          </cell>
          <cell r="J276" t="str">
            <v>ENE</v>
          </cell>
          <cell r="K276" t="str">
            <v>ENE</v>
          </cell>
          <cell r="L276" t="str">
            <v>ENE</v>
          </cell>
          <cell r="M276" t="str">
            <v>ENE</v>
          </cell>
          <cell r="N276" t="str">
            <v>ENE</v>
          </cell>
          <cell r="O276" t="str">
            <v>ENE</v>
          </cell>
          <cell r="P276" t="str">
            <v>ENE</v>
          </cell>
        </row>
        <row r="277">
          <cell r="B277"/>
          <cell r="C277"/>
          <cell r="D277">
            <v>10</v>
          </cell>
          <cell r="E277">
            <v>10</v>
          </cell>
          <cell r="F277">
            <v>11</v>
          </cell>
          <cell r="G277">
            <v>12</v>
          </cell>
          <cell r="H277">
            <v>12</v>
          </cell>
          <cell r="I277">
            <v>13</v>
          </cell>
          <cell r="J277">
            <v>13</v>
          </cell>
          <cell r="K277">
            <v>13</v>
          </cell>
          <cell r="L277">
            <v>11</v>
          </cell>
          <cell r="M277">
            <v>11</v>
          </cell>
          <cell r="N277">
            <v>11</v>
          </cell>
          <cell r="O277">
            <v>10</v>
          </cell>
          <cell r="P277">
            <v>11</v>
          </cell>
        </row>
        <row r="278">
          <cell r="B278"/>
          <cell r="C278"/>
          <cell r="D278">
            <v>41</v>
          </cell>
          <cell r="E278">
            <v>46</v>
          </cell>
          <cell r="F278">
            <v>51</v>
          </cell>
          <cell r="G278">
            <v>41</v>
          </cell>
          <cell r="H278">
            <v>39</v>
          </cell>
          <cell r="I278">
            <v>35</v>
          </cell>
          <cell r="J278">
            <v>40</v>
          </cell>
          <cell r="K278">
            <v>36</v>
          </cell>
          <cell r="L278">
            <v>49</v>
          </cell>
          <cell r="M278">
            <v>35</v>
          </cell>
          <cell r="N278">
            <v>40</v>
          </cell>
          <cell r="O278">
            <v>46</v>
          </cell>
          <cell r="P278">
            <v>51</v>
          </cell>
        </row>
        <row r="279">
          <cell r="B279" t="str">
            <v>Kahului</v>
          </cell>
          <cell r="C279"/>
          <cell r="D279" t="str">
            <v>NE</v>
          </cell>
          <cell r="E279" t="str">
            <v>NE</v>
          </cell>
          <cell r="F279" t="str">
            <v>NE</v>
          </cell>
          <cell r="G279" t="str">
            <v>NE</v>
          </cell>
          <cell r="H279" t="str">
            <v>NE</v>
          </cell>
          <cell r="I279" t="str">
            <v>NE</v>
          </cell>
          <cell r="J279" t="str">
            <v>NE</v>
          </cell>
          <cell r="K279" t="str">
            <v>NE</v>
          </cell>
          <cell r="L279" t="str">
            <v>NE</v>
          </cell>
          <cell r="M279" t="str">
            <v>NE</v>
          </cell>
          <cell r="N279" t="str">
            <v>NE</v>
          </cell>
          <cell r="O279" t="str">
            <v>NE</v>
          </cell>
          <cell r="P279" t="str">
            <v>NE</v>
          </cell>
        </row>
        <row r="280">
          <cell r="B280"/>
          <cell r="C280"/>
          <cell r="D280">
            <v>13</v>
          </cell>
          <cell r="E280">
            <v>14</v>
          </cell>
          <cell r="F280">
            <v>14</v>
          </cell>
          <cell r="G280">
            <v>15</v>
          </cell>
          <cell r="H280">
            <v>17</v>
          </cell>
          <cell r="I280">
            <v>17</v>
          </cell>
          <cell r="J280">
            <v>18</v>
          </cell>
          <cell r="K280">
            <v>17</v>
          </cell>
          <cell r="L280">
            <v>16</v>
          </cell>
          <cell r="M280">
            <v>13</v>
          </cell>
          <cell r="N280">
            <v>14</v>
          </cell>
          <cell r="O280">
            <v>13</v>
          </cell>
          <cell r="P280">
            <v>15</v>
          </cell>
        </row>
        <row r="281">
          <cell r="B281"/>
          <cell r="C281"/>
          <cell r="D281">
            <v>54</v>
          </cell>
          <cell r="E281">
            <v>46</v>
          </cell>
          <cell r="F281">
            <v>52</v>
          </cell>
          <cell r="G281">
            <v>49</v>
          </cell>
          <cell r="H281">
            <v>44</v>
          </cell>
          <cell r="I281">
            <v>47</v>
          </cell>
          <cell r="J281">
            <v>46</v>
          </cell>
          <cell r="K281">
            <v>45</v>
          </cell>
          <cell r="L281">
            <v>44</v>
          </cell>
          <cell r="M281">
            <v>46</v>
          </cell>
          <cell r="N281">
            <v>51</v>
          </cell>
          <cell r="O281">
            <v>54</v>
          </cell>
          <cell r="P281">
            <v>54</v>
          </cell>
        </row>
        <row r="282">
          <cell r="B282" t="str">
            <v>Lihue</v>
          </cell>
          <cell r="C282"/>
          <cell r="D282" t="str">
            <v>ENE</v>
          </cell>
          <cell r="E282" t="str">
            <v>ENE</v>
          </cell>
          <cell r="F282" t="str">
            <v>ENE</v>
          </cell>
          <cell r="G282" t="str">
            <v>ENE</v>
          </cell>
          <cell r="H282" t="str">
            <v>ENE</v>
          </cell>
          <cell r="I282" t="str">
            <v>ENE</v>
          </cell>
          <cell r="J282" t="str">
            <v>ENE</v>
          </cell>
          <cell r="K282" t="str">
            <v>ENE</v>
          </cell>
          <cell r="L282" t="str">
            <v>ENE</v>
          </cell>
          <cell r="M282" t="str">
            <v>ENE</v>
          </cell>
          <cell r="N282" t="str">
            <v>ENE</v>
          </cell>
          <cell r="O282" t="str">
            <v>ENE</v>
          </cell>
          <cell r="P282" t="str">
            <v>ENE</v>
          </cell>
        </row>
        <row r="283">
          <cell r="B283"/>
          <cell r="C283"/>
          <cell r="D283">
            <v>11</v>
          </cell>
          <cell r="E283">
            <v>12</v>
          </cell>
          <cell r="F283">
            <v>13</v>
          </cell>
          <cell r="G283">
            <v>13</v>
          </cell>
          <cell r="H283">
            <v>13</v>
          </cell>
          <cell r="I283">
            <v>13</v>
          </cell>
          <cell r="J283">
            <v>14</v>
          </cell>
          <cell r="K283">
            <v>13</v>
          </cell>
          <cell r="L283">
            <v>12</v>
          </cell>
          <cell r="M283">
            <v>12</v>
          </cell>
          <cell r="N283">
            <v>12</v>
          </cell>
          <cell r="O283">
            <v>12</v>
          </cell>
          <cell r="P283">
            <v>12</v>
          </cell>
        </row>
        <row r="284">
          <cell r="B284"/>
          <cell r="C284"/>
          <cell r="D284">
            <v>66</v>
          </cell>
          <cell r="E284">
            <v>59</v>
          </cell>
          <cell r="F284">
            <v>54</v>
          </cell>
          <cell r="G284">
            <v>47</v>
          </cell>
          <cell r="H284">
            <v>40</v>
          </cell>
          <cell r="I284">
            <v>39</v>
          </cell>
          <cell r="J284">
            <v>41</v>
          </cell>
          <cell r="K284">
            <v>38</v>
          </cell>
          <cell r="L284">
            <v>115</v>
          </cell>
          <cell r="M284">
            <v>40</v>
          </cell>
          <cell r="N284">
            <v>51</v>
          </cell>
          <cell r="O284">
            <v>53</v>
          </cell>
          <cell r="P284">
            <v>115</v>
          </cell>
        </row>
        <row r="285">
          <cell r="B285" t="str">
            <v>Pearl Harbor</v>
          </cell>
          <cell r="C285"/>
          <cell r="D285" t="str">
            <v>ENE</v>
          </cell>
          <cell r="E285" t="str">
            <v>ENE</v>
          </cell>
          <cell r="F285" t="str">
            <v>ENE</v>
          </cell>
          <cell r="G285" t="str">
            <v>ENE</v>
          </cell>
          <cell r="H285" t="str">
            <v>ENE</v>
          </cell>
          <cell r="I285" t="str">
            <v>ENE</v>
          </cell>
          <cell r="J285" t="str">
            <v>ENE</v>
          </cell>
          <cell r="K285" t="str">
            <v>ENE</v>
          </cell>
          <cell r="L285" t="str">
            <v>ENE</v>
          </cell>
          <cell r="M285" t="str">
            <v>ENE</v>
          </cell>
          <cell r="N285" t="str">
            <v>ENE</v>
          </cell>
          <cell r="O285" t="str">
            <v>ENE</v>
          </cell>
          <cell r="P285" t="str">
            <v>ENE</v>
          </cell>
        </row>
        <row r="286">
          <cell r="B286"/>
          <cell r="C286"/>
          <cell r="D286">
            <v>9</v>
          </cell>
          <cell r="E286">
            <v>10</v>
          </cell>
          <cell r="F286">
            <v>12</v>
          </cell>
          <cell r="G286">
            <v>13</v>
          </cell>
          <cell r="H286">
            <v>12</v>
          </cell>
          <cell r="I286">
            <v>13</v>
          </cell>
          <cell r="J286">
            <v>14</v>
          </cell>
          <cell r="K286">
            <v>13</v>
          </cell>
          <cell r="L286">
            <v>12</v>
          </cell>
          <cell r="M286">
            <v>12</v>
          </cell>
          <cell r="N286">
            <v>10</v>
          </cell>
          <cell r="O286">
            <v>10</v>
          </cell>
          <cell r="P286">
            <v>12</v>
          </cell>
        </row>
        <row r="287">
          <cell r="B287"/>
          <cell r="C287"/>
          <cell r="D287">
            <v>52</v>
          </cell>
          <cell r="E287">
            <v>53</v>
          </cell>
          <cell r="F287">
            <v>49</v>
          </cell>
          <cell r="G287">
            <v>47</v>
          </cell>
          <cell r="H287">
            <v>40</v>
          </cell>
          <cell r="I287">
            <v>43</v>
          </cell>
          <cell r="J287">
            <v>51</v>
          </cell>
          <cell r="K287">
            <v>41</v>
          </cell>
          <cell r="L287">
            <v>38</v>
          </cell>
          <cell r="M287">
            <v>40</v>
          </cell>
          <cell r="N287">
            <v>81</v>
          </cell>
          <cell r="O287">
            <v>49</v>
          </cell>
          <cell r="P287">
            <v>81</v>
          </cell>
        </row>
        <row r="288">
          <cell r="B288" t="str">
            <v>Wahiawa</v>
          </cell>
          <cell r="C288"/>
          <cell r="D288" t="str">
            <v>NW</v>
          </cell>
          <cell r="E288" t="str">
            <v>NE</v>
          </cell>
          <cell r="F288" t="str">
            <v>NE</v>
          </cell>
          <cell r="G288" t="str">
            <v>NE</v>
          </cell>
          <cell r="H288" t="str">
            <v>NE</v>
          </cell>
          <cell r="I288" t="str">
            <v>NE</v>
          </cell>
          <cell r="J288" t="str">
            <v>NE</v>
          </cell>
          <cell r="K288" t="str">
            <v>NE</v>
          </cell>
          <cell r="L288" t="str">
            <v>NE</v>
          </cell>
          <cell r="M288" t="str">
            <v>NE</v>
          </cell>
          <cell r="N288" t="str">
            <v>NE</v>
          </cell>
          <cell r="O288" t="str">
            <v>NE</v>
          </cell>
          <cell r="P288" t="str">
            <v>NE</v>
          </cell>
        </row>
        <row r="289">
          <cell r="B289"/>
          <cell r="C289"/>
          <cell r="D289">
            <v>7</v>
          </cell>
          <cell r="E289">
            <v>7</v>
          </cell>
          <cell r="F289">
            <v>8</v>
          </cell>
          <cell r="G289">
            <v>7</v>
          </cell>
          <cell r="H289">
            <v>8</v>
          </cell>
          <cell r="I289">
            <v>8</v>
          </cell>
          <cell r="J289">
            <v>8</v>
          </cell>
          <cell r="K289">
            <v>8</v>
          </cell>
          <cell r="L289">
            <v>7</v>
          </cell>
          <cell r="M289">
            <v>7</v>
          </cell>
          <cell r="N289">
            <v>6</v>
          </cell>
          <cell r="O289">
            <v>7</v>
          </cell>
          <cell r="P289">
            <v>7</v>
          </cell>
        </row>
        <row r="290">
          <cell r="B290"/>
          <cell r="C290"/>
          <cell r="D290">
            <v>46</v>
          </cell>
          <cell r="E290">
            <v>38</v>
          </cell>
          <cell r="F290">
            <v>46</v>
          </cell>
          <cell r="G290">
            <v>31</v>
          </cell>
          <cell r="H290">
            <v>31</v>
          </cell>
          <cell r="I290">
            <v>31</v>
          </cell>
          <cell r="J290">
            <v>38</v>
          </cell>
          <cell r="K290">
            <v>38</v>
          </cell>
          <cell r="L290">
            <v>31</v>
          </cell>
          <cell r="M290">
            <v>31</v>
          </cell>
          <cell r="N290">
            <v>31</v>
          </cell>
          <cell r="O290">
            <v>31</v>
          </cell>
          <cell r="P290">
            <v>46</v>
          </cell>
        </row>
        <row r="291"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</row>
        <row r="292">
          <cell r="B292" t="str">
            <v>Boise</v>
          </cell>
          <cell r="C292"/>
          <cell r="D292" t="str">
            <v>ESE</v>
          </cell>
          <cell r="E292" t="str">
            <v>ESE</v>
          </cell>
          <cell r="F292" t="str">
            <v>ESE</v>
          </cell>
          <cell r="G292" t="str">
            <v>ESE</v>
          </cell>
          <cell r="H292" t="str">
            <v>ESE</v>
          </cell>
          <cell r="I292" t="str">
            <v>ESE</v>
          </cell>
          <cell r="J292" t="str">
            <v>NW</v>
          </cell>
          <cell r="K292" t="str">
            <v>NW</v>
          </cell>
          <cell r="L292" t="str">
            <v>NW</v>
          </cell>
          <cell r="M292" t="str">
            <v>NW</v>
          </cell>
          <cell r="N292" t="str">
            <v>NW</v>
          </cell>
          <cell r="O292" t="str">
            <v>NW</v>
          </cell>
          <cell r="P292" t="str">
            <v>ESE</v>
          </cell>
        </row>
        <row r="293">
          <cell r="B293"/>
          <cell r="C293"/>
          <cell r="D293">
            <v>8</v>
          </cell>
          <cell r="E293">
            <v>9</v>
          </cell>
          <cell r="F293">
            <v>10</v>
          </cell>
          <cell r="G293">
            <v>10</v>
          </cell>
          <cell r="H293">
            <v>9</v>
          </cell>
          <cell r="I293">
            <v>9</v>
          </cell>
          <cell r="J293">
            <v>8</v>
          </cell>
          <cell r="K293">
            <v>8</v>
          </cell>
          <cell r="L293">
            <v>8</v>
          </cell>
          <cell r="M293">
            <v>8</v>
          </cell>
          <cell r="N293">
            <v>8</v>
          </cell>
          <cell r="O293">
            <v>8</v>
          </cell>
          <cell r="P293">
            <v>9</v>
          </cell>
        </row>
        <row r="294">
          <cell r="B294"/>
          <cell r="C294"/>
          <cell r="D294">
            <v>59</v>
          </cell>
          <cell r="E294">
            <v>45</v>
          </cell>
          <cell r="F294">
            <v>53</v>
          </cell>
          <cell r="G294">
            <v>58</v>
          </cell>
          <cell r="H294">
            <v>49</v>
          </cell>
          <cell r="I294">
            <v>54</v>
          </cell>
          <cell r="J294">
            <v>71</v>
          </cell>
          <cell r="K294">
            <v>54</v>
          </cell>
          <cell r="L294">
            <v>49</v>
          </cell>
          <cell r="M294">
            <v>47</v>
          </cell>
          <cell r="N294">
            <v>54</v>
          </cell>
          <cell r="O294">
            <v>47</v>
          </cell>
          <cell r="P294">
            <v>71</v>
          </cell>
        </row>
        <row r="295">
          <cell r="B295" t="str">
            <v>Lewiston</v>
          </cell>
          <cell r="C295"/>
          <cell r="D295" t="str">
            <v>S</v>
          </cell>
          <cell r="E295" t="str">
            <v>E</v>
          </cell>
          <cell r="F295" t="str">
            <v>E</v>
          </cell>
          <cell r="G295" t="str">
            <v>WNW</v>
          </cell>
          <cell r="H295" t="str">
            <v>WNW</v>
          </cell>
          <cell r="I295" t="str">
            <v>WNW</v>
          </cell>
          <cell r="J295" t="str">
            <v>WNW</v>
          </cell>
          <cell r="K295" t="str">
            <v>WNW</v>
          </cell>
          <cell r="L295" t="str">
            <v>WNW</v>
          </cell>
          <cell r="M295" t="str">
            <v>E</v>
          </cell>
          <cell r="N295" t="str">
            <v>E</v>
          </cell>
          <cell r="O295" t="str">
            <v>S</v>
          </cell>
          <cell r="P295" t="str">
            <v>WNW</v>
          </cell>
        </row>
        <row r="296">
          <cell r="B296"/>
          <cell r="C296"/>
          <cell r="D296">
            <v>6</v>
          </cell>
          <cell r="E296">
            <v>7</v>
          </cell>
          <cell r="F296">
            <v>6</v>
          </cell>
          <cell r="G296">
            <v>7</v>
          </cell>
          <cell r="H296">
            <v>6</v>
          </cell>
          <cell r="I296">
            <v>6</v>
          </cell>
          <cell r="J296">
            <v>6</v>
          </cell>
          <cell r="K296">
            <v>5</v>
          </cell>
          <cell r="L296">
            <v>5</v>
          </cell>
          <cell r="M296">
            <v>5</v>
          </cell>
          <cell r="N296">
            <v>6</v>
          </cell>
          <cell r="O296">
            <v>6</v>
          </cell>
          <cell r="P296">
            <v>6</v>
          </cell>
        </row>
        <row r="297">
          <cell r="B297"/>
          <cell r="C297"/>
          <cell r="D297">
            <v>72</v>
          </cell>
          <cell r="E297">
            <v>64</v>
          </cell>
          <cell r="F297">
            <v>60</v>
          </cell>
          <cell r="G297">
            <v>58</v>
          </cell>
          <cell r="H297">
            <v>54</v>
          </cell>
          <cell r="I297">
            <v>54</v>
          </cell>
          <cell r="J297">
            <v>59</v>
          </cell>
          <cell r="K297">
            <v>51</v>
          </cell>
          <cell r="L297">
            <v>59</v>
          </cell>
          <cell r="M297">
            <v>59</v>
          </cell>
          <cell r="N297">
            <v>59</v>
          </cell>
          <cell r="O297">
            <v>63</v>
          </cell>
          <cell r="P297">
            <v>72</v>
          </cell>
        </row>
        <row r="298">
          <cell r="B298" t="str">
            <v>Pocatello</v>
          </cell>
          <cell r="C298"/>
          <cell r="D298" t="str">
            <v>WSW</v>
          </cell>
          <cell r="E298" t="str">
            <v>WSW</v>
          </cell>
          <cell r="F298" t="str">
            <v>WSW</v>
          </cell>
          <cell r="G298" t="str">
            <v>WSW</v>
          </cell>
          <cell r="H298" t="str">
            <v>WSW</v>
          </cell>
          <cell r="I298" t="str">
            <v>WSW</v>
          </cell>
          <cell r="J298" t="str">
            <v>WSW</v>
          </cell>
          <cell r="K298" t="str">
            <v>WSW</v>
          </cell>
          <cell r="L298" t="str">
            <v>WSW</v>
          </cell>
          <cell r="M298" t="str">
            <v>WSW</v>
          </cell>
          <cell r="N298" t="str">
            <v>WSW</v>
          </cell>
          <cell r="O298" t="str">
            <v>WSW</v>
          </cell>
          <cell r="P298" t="str">
            <v>WSW</v>
          </cell>
        </row>
        <row r="299">
          <cell r="B299"/>
          <cell r="C299"/>
          <cell r="D299">
            <v>10</v>
          </cell>
          <cell r="E299">
            <v>11</v>
          </cell>
          <cell r="F299">
            <v>11</v>
          </cell>
          <cell r="G299">
            <v>12</v>
          </cell>
          <cell r="H299">
            <v>11</v>
          </cell>
          <cell r="I299">
            <v>10</v>
          </cell>
          <cell r="J299">
            <v>9</v>
          </cell>
          <cell r="K299">
            <v>9</v>
          </cell>
          <cell r="L299">
            <v>9</v>
          </cell>
          <cell r="M299">
            <v>10</v>
          </cell>
          <cell r="N299">
            <v>11</v>
          </cell>
          <cell r="O299">
            <v>10</v>
          </cell>
          <cell r="P299">
            <v>10</v>
          </cell>
        </row>
        <row r="300">
          <cell r="B300"/>
          <cell r="C300"/>
          <cell r="D300">
            <v>68</v>
          </cell>
          <cell r="E300">
            <v>60</v>
          </cell>
          <cell r="F300">
            <v>64</v>
          </cell>
          <cell r="G300">
            <v>66</v>
          </cell>
          <cell r="H300">
            <v>61</v>
          </cell>
          <cell r="I300">
            <v>70</v>
          </cell>
          <cell r="J300">
            <v>66</v>
          </cell>
          <cell r="K300">
            <v>68</v>
          </cell>
          <cell r="L300">
            <v>51</v>
          </cell>
          <cell r="M300">
            <v>51</v>
          </cell>
          <cell r="N300">
            <v>58</v>
          </cell>
          <cell r="O300">
            <v>58</v>
          </cell>
          <cell r="P300">
            <v>70</v>
          </cell>
        </row>
        <row r="301">
          <cell r="B301"/>
        </row>
        <row r="304">
          <cell r="B304" t="str">
            <v>Elk Grove Village</v>
          </cell>
          <cell r="D304" t="str">
            <v>W</v>
          </cell>
          <cell r="E304" t="str">
            <v>W</v>
          </cell>
          <cell r="F304" t="str">
            <v>W</v>
          </cell>
          <cell r="G304" t="str">
            <v>NE</v>
          </cell>
          <cell r="H304" t="str">
            <v>NE</v>
          </cell>
          <cell r="I304" t="str">
            <v>NE</v>
          </cell>
          <cell r="J304" t="str">
            <v>SW</v>
          </cell>
          <cell r="K304" t="str">
            <v>SW</v>
          </cell>
          <cell r="L304" t="str">
            <v>S</v>
          </cell>
          <cell r="M304" t="str">
            <v>S</v>
          </cell>
          <cell r="N304" t="str">
            <v>S</v>
          </cell>
          <cell r="O304" t="str">
            <v>W</v>
          </cell>
          <cell r="P304" t="str">
            <v>S</v>
          </cell>
        </row>
        <row r="305">
          <cell r="B305"/>
          <cell r="C305"/>
          <cell r="D305">
            <v>12</v>
          </cell>
          <cell r="E305">
            <v>12</v>
          </cell>
          <cell r="F305">
            <v>12</v>
          </cell>
          <cell r="G305">
            <v>12</v>
          </cell>
          <cell r="H305">
            <v>11</v>
          </cell>
          <cell r="I305">
            <v>9</v>
          </cell>
          <cell r="J305">
            <v>9</v>
          </cell>
          <cell r="K305">
            <v>8</v>
          </cell>
          <cell r="L305">
            <v>9</v>
          </cell>
          <cell r="M305">
            <v>10</v>
          </cell>
          <cell r="N305">
            <v>11</v>
          </cell>
          <cell r="O305">
            <v>11</v>
          </cell>
          <cell r="P305">
            <v>11</v>
          </cell>
        </row>
        <row r="306">
          <cell r="B306"/>
          <cell r="C306"/>
          <cell r="D306">
            <v>58</v>
          </cell>
          <cell r="E306">
            <v>54</v>
          </cell>
          <cell r="F306">
            <v>84</v>
          </cell>
          <cell r="G306">
            <v>69</v>
          </cell>
          <cell r="H306">
            <v>55</v>
          </cell>
          <cell r="I306">
            <v>63</v>
          </cell>
          <cell r="J306">
            <v>54</v>
          </cell>
          <cell r="K306">
            <v>64</v>
          </cell>
          <cell r="L306">
            <v>58</v>
          </cell>
          <cell r="M306">
            <v>57</v>
          </cell>
          <cell r="N306">
            <v>62</v>
          </cell>
          <cell r="O306">
            <v>53</v>
          </cell>
          <cell r="P306">
            <v>84</v>
          </cell>
        </row>
        <row r="307">
          <cell r="B307" t="str">
            <v>Burbank</v>
          </cell>
          <cell r="C307"/>
          <cell r="D307" t="str">
            <v>W</v>
          </cell>
          <cell r="E307" t="str">
            <v>W</v>
          </cell>
          <cell r="F307" t="str">
            <v>W</v>
          </cell>
          <cell r="G307" t="str">
            <v>W</v>
          </cell>
          <cell r="H307" t="str">
            <v>SSW</v>
          </cell>
          <cell r="I307" t="str">
            <v>SW</v>
          </cell>
          <cell r="J307" t="str">
            <v>SW</v>
          </cell>
          <cell r="K307" t="str">
            <v>SW</v>
          </cell>
          <cell r="L307" t="str">
            <v>S</v>
          </cell>
          <cell r="M307" t="str">
            <v>S</v>
          </cell>
          <cell r="N307" t="str">
            <v>SSW</v>
          </cell>
          <cell r="O307" t="str">
            <v>W</v>
          </cell>
          <cell r="P307" t="str">
            <v>W</v>
          </cell>
        </row>
        <row r="308">
          <cell r="B308"/>
          <cell r="C308"/>
          <cell r="D308">
            <v>12</v>
          </cell>
          <cell r="E308">
            <v>12</v>
          </cell>
          <cell r="F308">
            <v>12</v>
          </cell>
          <cell r="G308">
            <v>12</v>
          </cell>
          <cell r="H308">
            <v>10</v>
          </cell>
          <cell r="I308">
            <v>10</v>
          </cell>
          <cell r="J308">
            <v>8</v>
          </cell>
          <cell r="K308">
            <v>8</v>
          </cell>
          <cell r="L308">
            <v>9</v>
          </cell>
          <cell r="M308">
            <v>10</v>
          </cell>
          <cell r="N308">
            <v>11</v>
          </cell>
          <cell r="O308">
            <v>11</v>
          </cell>
          <cell r="P308">
            <v>10</v>
          </cell>
        </row>
        <row r="309">
          <cell r="B309"/>
          <cell r="C309"/>
          <cell r="D309">
            <v>50</v>
          </cell>
          <cell r="E309">
            <v>51</v>
          </cell>
          <cell r="F309">
            <v>54</v>
          </cell>
          <cell r="G309">
            <v>50</v>
          </cell>
          <cell r="H309">
            <v>54</v>
          </cell>
          <cell r="I309">
            <v>50</v>
          </cell>
          <cell r="J309">
            <v>46</v>
          </cell>
          <cell r="K309">
            <v>54</v>
          </cell>
          <cell r="L309">
            <v>48</v>
          </cell>
          <cell r="M309">
            <v>45</v>
          </cell>
          <cell r="N309">
            <v>60</v>
          </cell>
          <cell r="O309">
            <v>50</v>
          </cell>
          <cell r="P309">
            <v>60</v>
          </cell>
        </row>
        <row r="310">
          <cell r="B310" t="str">
            <v>Moline</v>
          </cell>
          <cell r="C310"/>
          <cell r="D310" t="str">
            <v>WNW</v>
          </cell>
          <cell r="E310" t="str">
            <v>WNW</v>
          </cell>
          <cell r="F310" t="str">
            <v>WNW</v>
          </cell>
          <cell r="G310" t="str">
            <v>WNW</v>
          </cell>
          <cell r="H310" t="str">
            <v>S</v>
          </cell>
          <cell r="I310" t="str">
            <v>S</v>
          </cell>
          <cell r="J310" t="str">
            <v>S</v>
          </cell>
          <cell r="K310" t="str">
            <v>S</v>
          </cell>
          <cell r="L310" t="str">
            <v>S</v>
          </cell>
          <cell r="M310" t="str">
            <v>S</v>
          </cell>
          <cell r="N310" t="str">
            <v>WNW</v>
          </cell>
          <cell r="O310" t="str">
            <v>WNW</v>
          </cell>
          <cell r="P310" t="str">
            <v>WNW</v>
          </cell>
        </row>
        <row r="311">
          <cell r="B311"/>
          <cell r="C311"/>
          <cell r="D311">
            <v>11</v>
          </cell>
          <cell r="E311">
            <v>11</v>
          </cell>
          <cell r="F311">
            <v>12</v>
          </cell>
          <cell r="G311">
            <v>12</v>
          </cell>
          <cell r="H311">
            <v>10</v>
          </cell>
          <cell r="I311">
            <v>9</v>
          </cell>
          <cell r="J311">
            <v>8</v>
          </cell>
          <cell r="K311">
            <v>7</v>
          </cell>
          <cell r="L311">
            <v>8</v>
          </cell>
          <cell r="M311">
            <v>9</v>
          </cell>
          <cell r="N311">
            <v>11</v>
          </cell>
          <cell r="O311">
            <v>11</v>
          </cell>
          <cell r="P311">
            <v>10</v>
          </cell>
        </row>
        <row r="312">
          <cell r="B312"/>
          <cell r="C312"/>
          <cell r="D312">
            <v>59</v>
          </cell>
          <cell r="E312">
            <v>54</v>
          </cell>
          <cell r="F312">
            <v>69</v>
          </cell>
          <cell r="G312">
            <v>69</v>
          </cell>
          <cell r="H312">
            <v>60</v>
          </cell>
          <cell r="I312">
            <v>59</v>
          </cell>
          <cell r="J312">
            <v>52</v>
          </cell>
          <cell r="K312">
            <v>81</v>
          </cell>
          <cell r="L312">
            <v>49</v>
          </cell>
          <cell r="M312">
            <v>61</v>
          </cell>
          <cell r="N312">
            <v>52</v>
          </cell>
          <cell r="O312">
            <v>56</v>
          </cell>
          <cell r="P312">
            <v>81</v>
          </cell>
        </row>
        <row r="313">
          <cell r="B313" t="str">
            <v>Peoria</v>
          </cell>
          <cell r="C313"/>
          <cell r="D313" t="str">
            <v>S</v>
          </cell>
          <cell r="E313" t="str">
            <v>S</v>
          </cell>
          <cell r="F313" t="str">
            <v>S</v>
          </cell>
          <cell r="G313" t="str">
            <v>S</v>
          </cell>
          <cell r="H313" t="str">
            <v>S</v>
          </cell>
          <cell r="I313" t="str">
            <v>S</v>
          </cell>
          <cell r="J313" t="str">
            <v>S</v>
          </cell>
          <cell r="K313" t="str">
            <v>S</v>
          </cell>
          <cell r="L313" t="str">
            <v>S</v>
          </cell>
          <cell r="M313" t="str">
            <v>S</v>
          </cell>
          <cell r="N313" t="str">
            <v>S</v>
          </cell>
          <cell r="O313" t="str">
            <v>S</v>
          </cell>
          <cell r="P313" t="str">
            <v>S</v>
          </cell>
        </row>
        <row r="314">
          <cell r="B314"/>
          <cell r="C314"/>
          <cell r="D314">
            <v>11</v>
          </cell>
          <cell r="E314">
            <v>11</v>
          </cell>
          <cell r="F314">
            <v>12</v>
          </cell>
          <cell r="G314">
            <v>12</v>
          </cell>
          <cell r="H314">
            <v>10</v>
          </cell>
          <cell r="I314">
            <v>9</v>
          </cell>
          <cell r="J314">
            <v>8</v>
          </cell>
          <cell r="K314">
            <v>7</v>
          </cell>
          <cell r="L314">
            <v>8</v>
          </cell>
          <cell r="M314">
            <v>9</v>
          </cell>
          <cell r="N314">
            <v>11</v>
          </cell>
          <cell r="O314">
            <v>11</v>
          </cell>
          <cell r="P314">
            <v>10</v>
          </cell>
        </row>
        <row r="315">
          <cell r="B315"/>
          <cell r="C315"/>
          <cell r="D315">
            <v>53</v>
          </cell>
          <cell r="E315">
            <v>53</v>
          </cell>
          <cell r="F315">
            <v>68</v>
          </cell>
          <cell r="G315">
            <v>69</v>
          </cell>
          <cell r="H315">
            <v>61</v>
          </cell>
          <cell r="I315">
            <v>63</v>
          </cell>
          <cell r="J315">
            <v>67</v>
          </cell>
          <cell r="K315">
            <v>54</v>
          </cell>
          <cell r="L315">
            <v>75</v>
          </cell>
          <cell r="M315">
            <v>56</v>
          </cell>
          <cell r="N315">
            <v>62</v>
          </cell>
          <cell r="O315">
            <v>59</v>
          </cell>
          <cell r="P315">
            <v>75</v>
          </cell>
        </row>
        <row r="316">
          <cell r="B316" t="str">
            <v>Rantoul</v>
          </cell>
          <cell r="C316"/>
          <cell r="D316" t="str">
            <v>W</v>
          </cell>
          <cell r="E316" t="str">
            <v>WNW</v>
          </cell>
          <cell r="F316" t="str">
            <v>W</v>
          </cell>
          <cell r="G316" t="str">
            <v>S</v>
          </cell>
          <cell r="H316" t="str">
            <v>S</v>
          </cell>
          <cell r="I316" t="str">
            <v>S</v>
          </cell>
          <cell r="K316" t="str">
            <v>S</v>
          </cell>
          <cell r="L316" t="str">
            <v>S</v>
          </cell>
          <cell r="M316" t="str">
            <v>S</v>
          </cell>
          <cell r="N316" t="str">
            <v>S</v>
          </cell>
          <cell r="O316" t="str">
            <v>S</v>
          </cell>
          <cell r="P316" t="str">
            <v>S</v>
          </cell>
        </row>
        <row r="317">
          <cell r="B317" t="str">
            <v xml:space="preserve"> </v>
          </cell>
          <cell r="D317">
            <v>12</v>
          </cell>
          <cell r="E317">
            <v>12</v>
          </cell>
          <cell r="F317">
            <v>12</v>
          </cell>
          <cell r="G317">
            <v>13</v>
          </cell>
          <cell r="H317">
            <v>10</v>
          </cell>
          <cell r="I317">
            <v>9</v>
          </cell>
          <cell r="J317">
            <v>7</v>
          </cell>
          <cell r="K317">
            <v>7</v>
          </cell>
          <cell r="L317">
            <v>8</v>
          </cell>
          <cell r="M317">
            <v>9</v>
          </cell>
          <cell r="N317">
            <v>10</v>
          </cell>
          <cell r="O317">
            <v>10</v>
          </cell>
          <cell r="P317">
            <v>10</v>
          </cell>
        </row>
        <row r="318">
          <cell r="D318">
            <v>70</v>
          </cell>
          <cell r="E318">
            <v>60</v>
          </cell>
          <cell r="F318">
            <v>71</v>
          </cell>
          <cell r="G318">
            <v>87</v>
          </cell>
          <cell r="H318">
            <v>62</v>
          </cell>
          <cell r="I318">
            <v>78</v>
          </cell>
          <cell r="J318">
            <v>54</v>
          </cell>
          <cell r="K318">
            <v>79</v>
          </cell>
          <cell r="L318">
            <v>60</v>
          </cell>
          <cell r="M318">
            <v>58</v>
          </cell>
          <cell r="N318">
            <v>62</v>
          </cell>
          <cell r="O318">
            <v>58</v>
          </cell>
          <cell r="P318">
            <v>87</v>
          </cell>
        </row>
        <row r="319">
          <cell r="B319" t="str">
            <v>Rockford</v>
          </cell>
          <cell r="D319" t="str">
            <v>WNW</v>
          </cell>
          <cell r="E319" t="str">
            <v>WNW</v>
          </cell>
          <cell r="F319" t="str">
            <v>WNW</v>
          </cell>
          <cell r="G319" t="str">
            <v>WNW</v>
          </cell>
          <cell r="H319" t="str">
            <v>WNW</v>
          </cell>
          <cell r="I319" t="str">
            <v>S</v>
          </cell>
          <cell r="J319" t="str">
            <v>S</v>
          </cell>
          <cell r="K319" t="str">
            <v>S</v>
          </cell>
          <cell r="L319" t="str">
            <v>S</v>
          </cell>
          <cell r="M319" t="str">
            <v>S</v>
          </cell>
          <cell r="N319" t="str">
            <v>S</v>
          </cell>
          <cell r="O319" t="str">
            <v>S</v>
          </cell>
          <cell r="P319" t="str">
            <v>S</v>
          </cell>
        </row>
        <row r="320">
          <cell r="D320">
            <v>11</v>
          </cell>
          <cell r="E320">
            <v>11</v>
          </cell>
          <cell r="F320">
            <v>12</v>
          </cell>
          <cell r="G320">
            <v>12</v>
          </cell>
          <cell r="H320">
            <v>10</v>
          </cell>
          <cell r="I320">
            <v>9</v>
          </cell>
          <cell r="J320">
            <v>8</v>
          </cell>
          <cell r="K320">
            <v>8</v>
          </cell>
          <cell r="L320">
            <v>8</v>
          </cell>
          <cell r="M320">
            <v>9</v>
          </cell>
          <cell r="N320">
            <v>10</v>
          </cell>
          <cell r="O320">
            <v>10</v>
          </cell>
          <cell r="P320">
            <v>10</v>
          </cell>
        </row>
        <row r="321">
          <cell r="C321"/>
          <cell r="D321">
            <v>51</v>
          </cell>
          <cell r="E321">
            <v>54</v>
          </cell>
          <cell r="F321">
            <v>54</v>
          </cell>
          <cell r="G321">
            <v>58</v>
          </cell>
          <cell r="H321">
            <v>81</v>
          </cell>
          <cell r="I321">
            <v>54</v>
          </cell>
          <cell r="J321">
            <v>92</v>
          </cell>
          <cell r="K321">
            <v>58</v>
          </cell>
          <cell r="L321">
            <v>58</v>
          </cell>
          <cell r="M321">
            <v>52</v>
          </cell>
          <cell r="N321">
            <v>59</v>
          </cell>
          <cell r="O321">
            <v>62</v>
          </cell>
          <cell r="P321">
            <v>92</v>
          </cell>
        </row>
        <row r="322">
          <cell r="B322" t="str">
            <v xml:space="preserve">Springfield  </v>
          </cell>
          <cell r="C322"/>
          <cell r="D322" t="str">
            <v>WNW</v>
          </cell>
          <cell r="E322" t="str">
            <v>S</v>
          </cell>
          <cell r="F322" t="str">
            <v>S</v>
          </cell>
          <cell r="G322" t="str">
            <v>S</v>
          </cell>
          <cell r="H322" t="str">
            <v>S</v>
          </cell>
          <cell r="I322" t="str">
            <v>S</v>
          </cell>
          <cell r="J322" t="str">
            <v>S</v>
          </cell>
          <cell r="K322" t="str">
            <v>S</v>
          </cell>
          <cell r="L322" t="str">
            <v>S</v>
          </cell>
          <cell r="M322" t="str">
            <v>S</v>
          </cell>
          <cell r="N322" t="str">
            <v>S</v>
          </cell>
          <cell r="O322" t="str">
            <v>S</v>
          </cell>
          <cell r="P322" t="str">
            <v>S</v>
          </cell>
        </row>
        <row r="323">
          <cell r="C323"/>
          <cell r="D323">
            <v>13</v>
          </cell>
          <cell r="E323">
            <v>12</v>
          </cell>
          <cell r="F323">
            <v>13</v>
          </cell>
          <cell r="G323">
            <v>13</v>
          </cell>
          <cell r="H323">
            <v>11</v>
          </cell>
          <cell r="I323">
            <v>10</v>
          </cell>
          <cell r="J323">
            <v>8</v>
          </cell>
          <cell r="K323">
            <v>8</v>
          </cell>
          <cell r="L323">
            <v>9</v>
          </cell>
          <cell r="M323">
            <v>10</v>
          </cell>
          <cell r="N323">
            <v>13</v>
          </cell>
          <cell r="O323">
            <v>12</v>
          </cell>
          <cell r="P323">
            <v>11</v>
          </cell>
        </row>
        <row r="324">
          <cell r="B324"/>
          <cell r="C324"/>
          <cell r="D324">
            <v>51</v>
          </cell>
          <cell r="E324">
            <v>51</v>
          </cell>
          <cell r="F324">
            <v>71</v>
          </cell>
          <cell r="G324">
            <v>63</v>
          </cell>
          <cell r="H324">
            <v>67</v>
          </cell>
          <cell r="I324">
            <v>59</v>
          </cell>
          <cell r="J324">
            <v>60</v>
          </cell>
          <cell r="K324">
            <v>69</v>
          </cell>
          <cell r="L324">
            <v>54</v>
          </cell>
          <cell r="M324">
            <v>53</v>
          </cell>
          <cell r="N324">
            <v>58</v>
          </cell>
          <cell r="O324">
            <v>60</v>
          </cell>
          <cell r="P324">
            <v>71</v>
          </cell>
        </row>
        <row r="325">
          <cell r="C325"/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</row>
        <row r="326">
          <cell r="B326" t="str">
            <v>Columbus</v>
          </cell>
          <cell r="C326"/>
          <cell r="D326" t="str">
            <v>S</v>
          </cell>
          <cell r="E326" t="str">
            <v>S</v>
          </cell>
          <cell r="F326" t="str">
            <v>S</v>
          </cell>
          <cell r="G326" t="str">
            <v>S</v>
          </cell>
          <cell r="H326" t="str">
            <v>S</v>
          </cell>
          <cell r="I326" t="str">
            <v>SSW</v>
          </cell>
          <cell r="J326" t="str">
            <v>SSW</v>
          </cell>
          <cell r="K326" t="str">
            <v>SSW</v>
          </cell>
          <cell r="L326" t="str">
            <v>S</v>
          </cell>
          <cell r="M326" t="str">
            <v>S</v>
          </cell>
          <cell r="N326" t="str">
            <v>S</v>
          </cell>
          <cell r="O326" t="str">
            <v>S</v>
          </cell>
          <cell r="P326" t="str">
            <v>S</v>
          </cell>
        </row>
        <row r="327">
          <cell r="B327"/>
          <cell r="C327"/>
          <cell r="D327">
            <v>9</v>
          </cell>
          <cell r="E327">
            <v>9</v>
          </cell>
          <cell r="F327">
            <v>10</v>
          </cell>
          <cell r="G327">
            <v>10</v>
          </cell>
          <cell r="H327">
            <v>8</v>
          </cell>
          <cell r="I327">
            <v>7</v>
          </cell>
          <cell r="J327">
            <v>6</v>
          </cell>
          <cell r="K327">
            <v>6</v>
          </cell>
          <cell r="L327">
            <v>7</v>
          </cell>
          <cell r="M327">
            <v>7</v>
          </cell>
          <cell r="N327">
            <v>9</v>
          </cell>
          <cell r="O327">
            <v>9</v>
          </cell>
          <cell r="P327">
            <v>8</v>
          </cell>
        </row>
        <row r="328">
          <cell r="B328"/>
          <cell r="C328"/>
          <cell r="D328">
            <v>38</v>
          </cell>
          <cell r="E328">
            <v>54</v>
          </cell>
          <cell r="F328">
            <v>46</v>
          </cell>
          <cell r="G328">
            <v>46</v>
          </cell>
          <cell r="H328">
            <v>38</v>
          </cell>
          <cell r="I328">
            <v>46</v>
          </cell>
          <cell r="J328">
            <v>38</v>
          </cell>
          <cell r="K328">
            <v>38</v>
          </cell>
          <cell r="L328">
            <v>31</v>
          </cell>
          <cell r="M328">
            <v>46</v>
          </cell>
          <cell r="N328">
            <v>46</v>
          </cell>
          <cell r="O328">
            <v>38</v>
          </cell>
          <cell r="P328">
            <v>54</v>
          </cell>
        </row>
        <row r="329">
          <cell r="B329" t="str">
            <v>Evansville</v>
          </cell>
          <cell r="C329"/>
          <cell r="D329" t="str">
            <v>NW</v>
          </cell>
          <cell r="E329" t="str">
            <v>NW</v>
          </cell>
          <cell r="F329" t="str">
            <v>NW</v>
          </cell>
          <cell r="G329" t="str">
            <v>S</v>
          </cell>
          <cell r="H329" t="str">
            <v>SSW</v>
          </cell>
          <cell r="I329" t="str">
            <v>SW</v>
          </cell>
          <cell r="J329" t="str">
            <v>WSW</v>
          </cell>
          <cell r="K329" t="str">
            <v>SW</v>
          </cell>
          <cell r="L329" t="str">
            <v>S</v>
          </cell>
          <cell r="M329" t="str">
            <v>S</v>
          </cell>
          <cell r="N329" t="str">
            <v>S</v>
          </cell>
          <cell r="O329" t="str">
            <v>NW</v>
          </cell>
          <cell r="P329" t="str">
            <v>S</v>
          </cell>
        </row>
        <row r="330">
          <cell r="C330"/>
          <cell r="D330">
            <v>9</v>
          </cell>
          <cell r="E330">
            <v>9</v>
          </cell>
          <cell r="F330">
            <v>10</v>
          </cell>
          <cell r="G330">
            <v>10</v>
          </cell>
          <cell r="H330">
            <v>8</v>
          </cell>
          <cell r="I330">
            <v>7</v>
          </cell>
          <cell r="J330">
            <v>6</v>
          </cell>
          <cell r="K330">
            <v>6</v>
          </cell>
          <cell r="L330">
            <v>6</v>
          </cell>
          <cell r="M330">
            <v>7</v>
          </cell>
          <cell r="N330">
            <v>9</v>
          </cell>
          <cell r="O330">
            <v>9</v>
          </cell>
          <cell r="P330">
            <v>8</v>
          </cell>
        </row>
        <row r="331">
          <cell r="C331"/>
          <cell r="D331">
            <v>51</v>
          </cell>
          <cell r="E331">
            <v>64</v>
          </cell>
          <cell r="F331">
            <v>61</v>
          </cell>
          <cell r="G331">
            <v>62</v>
          </cell>
          <cell r="H331">
            <v>69</v>
          </cell>
          <cell r="I331">
            <v>74</v>
          </cell>
          <cell r="J331">
            <v>56</v>
          </cell>
          <cell r="K331">
            <v>44</v>
          </cell>
          <cell r="L331">
            <v>55</v>
          </cell>
          <cell r="M331">
            <v>48</v>
          </cell>
          <cell r="N331">
            <v>70</v>
          </cell>
          <cell r="O331">
            <v>56</v>
          </cell>
          <cell r="P331">
            <v>74</v>
          </cell>
        </row>
        <row r="332">
          <cell r="B332" t="str">
            <v>Fort Wayne</v>
          </cell>
          <cell r="C332"/>
          <cell r="D332" t="str">
            <v>W</v>
          </cell>
          <cell r="E332" t="str">
            <v>W</v>
          </cell>
          <cell r="F332" t="str">
            <v>W</v>
          </cell>
          <cell r="G332" t="str">
            <v>W</v>
          </cell>
          <cell r="H332" t="str">
            <v>SW</v>
          </cell>
          <cell r="I332" t="str">
            <v>SW</v>
          </cell>
          <cell r="J332" t="str">
            <v>SW</v>
          </cell>
          <cell r="K332" t="str">
            <v>SW</v>
          </cell>
          <cell r="L332" t="str">
            <v>SW</v>
          </cell>
          <cell r="M332" t="str">
            <v>SW</v>
          </cell>
          <cell r="N332" t="str">
            <v>W</v>
          </cell>
          <cell r="O332" t="str">
            <v>W</v>
          </cell>
          <cell r="P332" t="str">
            <v>SW</v>
          </cell>
        </row>
        <row r="333">
          <cell r="C333"/>
          <cell r="D333">
            <v>11</v>
          </cell>
          <cell r="E333">
            <v>11</v>
          </cell>
          <cell r="F333">
            <v>12</v>
          </cell>
          <cell r="G333">
            <v>12</v>
          </cell>
          <cell r="H333">
            <v>10</v>
          </cell>
          <cell r="I333">
            <v>9</v>
          </cell>
          <cell r="J333">
            <v>8</v>
          </cell>
          <cell r="K333">
            <v>7</v>
          </cell>
          <cell r="L333">
            <v>8</v>
          </cell>
          <cell r="M333">
            <v>9</v>
          </cell>
          <cell r="N333">
            <v>11</v>
          </cell>
          <cell r="O333">
            <v>11</v>
          </cell>
          <cell r="P333">
            <v>10</v>
          </cell>
        </row>
        <row r="334">
          <cell r="B334"/>
          <cell r="C334"/>
          <cell r="D334">
            <v>58</v>
          </cell>
          <cell r="E334">
            <v>56</v>
          </cell>
          <cell r="F334">
            <v>59</v>
          </cell>
          <cell r="G334">
            <v>60</v>
          </cell>
          <cell r="H334">
            <v>59</v>
          </cell>
          <cell r="I334">
            <v>58</v>
          </cell>
          <cell r="J334">
            <v>54</v>
          </cell>
          <cell r="K334">
            <v>59</v>
          </cell>
          <cell r="L334">
            <v>46</v>
          </cell>
          <cell r="M334">
            <v>63</v>
          </cell>
          <cell r="N334">
            <v>58</v>
          </cell>
          <cell r="O334">
            <v>58</v>
          </cell>
          <cell r="P334">
            <v>63</v>
          </cell>
        </row>
        <row r="335">
          <cell r="B335" t="str">
            <v>Indianapolis</v>
          </cell>
          <cell r="C335"/>
          <cell r="D335" t="str">
            <v>WSW</v>
          </cell>
          <cell r="E335" t="str">
            <v>WSW</v>
          </cell>
          <cell r="F335" t="str">
            <v>SW</v>
          </cell>
          <cell r="G335" t="str">
            <v>SW</v>
          </cell>
          <cell r="H335" t="str">
            <v>WSW</v>
          </cell>
          <cell r="I335" t="str">
            <v>WSW</v>
          </cell>
          <cell r="J335" t="str">
            <v>SW</v>
          </cell>
          <cell r="K335" t="str">
            <v>SW</v>
          </cell>
          <cell r="L335" t="str">
            <v>SW</v>
          </cell>
          <cell r="M335" t="str">
            <v>SW</v>
          </cell>
          <cell r="N335" t="str">
            <v>SW</v>
          </cell>
          <cell r="O335" t="str">
            <v>SW</v>
          </cell>
          <cell r="P335" t="str">
            <v>SW</v>
          </cell>
        </row>
        <row r="336">
          <cell r="C336"/>
          <cell r="D336">
            <v>11</v>
          </cell>
          <cell r="E336">
            <v>11</v>
          </cell>
          <cell r="F336">
            <v>12</v>
          </cell>
          <cell r="G336">
            <v>12</v>
          </cell>
          <cell r="H336">
            <v>10</v>
          </cell>
          <cell r="I336">
            <v>9</v>
          </cell>
          <cell r="J336">
            <v>8</v>
          </cell>
          <cell r="K336">
            <v>7</v>
          </cell>
          <cell r="L336">
            <v>8</v>
          </cell>
          <cell r="M336">
            <v>9</v>
          </cell>
          <cell r="N336">
            <v>11</v>
          </cell>
          <cell r="O336">
            <v>11</v>
          </cell>
          <cell r="P336">
            <v>10</v>
          </cell>
        </row>
        <row r="337">
          <cell r="B337"/>
          <cell r="C337"/>
          <cell r="D337">
            <v>61</v>
          </cell>
          <cell r="E337">
            <v>53</v>
          </cell>
          <cell r="F337">
            <v>62</v>
          </cell>
          <cell r="G337">
            <v>74</v>
          </cell>
          <cell r="H337">
            <v>62</v>
          </cell>
          <cell r="I337">
            <v>62</v>
          </cell>
          <cell r="J337">
            <v>55</v>
          </cell>
          <cell r="K337">
            <v>70</v>
          </cell>
          <cell r="L337">
            <v>46</v>
          </cell>
          <cell r="M337">
            <v>49</v>
          </cell>
          <cell r="N337">
            <v>67</v>
          </cell>
          <cell r="O337">
            <v>64</v>
          </cell>
          <cell r="P337">
            <v>74</v>
          </cell>
        </row>
        <row r="338">
          <cell r="B338" t="str">
            <v>Peru</v>
          </cell>
          <cell r="C338"/>
          <cell r="D338" t="str">
            <v>W</v>
          </cell>
          <cell r="E338" t="str">
            <v>W</v>
          </cell>
          <cell r="F338" t="str">
            <v>W</v>
          </cell>
          <cell r="G338" t="str">
            <v>W</v>
          </cell>
          <cell r="H338" t="str">
            <v>N</v>
          </cell>
          <cell r="I338" t="str">
            <v>S</v>
          </cell>
          <cell r="J338" t="str">
            <v>W</v>
          </cell>
          <cell r="K338" t="str">
            <v>S</v>
          </cell>
          <cell r="L338" t="str">
            <v>S</v>
          </cell>
          <cell r="M338" t="str">
            <v>S</v>
          </cell>
          <cell r="N338" t="str">
            <v>W</v>
          </cell>
          <cell r="O338" t="str">
            <v>W</v>
          </cell>
          <cell r="P338" t="str">
            <v>W</v>
          </cell>
        </row>
        <row r="339">
          <cell r="B339"/>
          <cell r="C339"/>
          <cell r="D339">
            <v>12</v>
          </cell>
          <cell r="E339">
            <v>10</v>
          </cell>
          <cell r="F339">
            <v>10</v>
          </cell>
          <cell r="G339">
            <v>10</v>
          </cell>
          <cell r="H339">
            <v>8</v>
          </cell>
          <cell r="I339">
            <v>7</v>
          </cell>
          <cell r="J339">
            <v>6</v>
          </cell>
          <cell r="K339">
            <v>5</v>
          </cell>
          <cell r="L339">
            <v>6</v>
          </cell>
          <cell r="M339">
            <v>8</v>
          </cell>
          <cell r="N339">
            <v>9</v>
          </cell>
          <cell r="O339">
            <v>10</v>
          </cell>
          <cell r="P339">
            <v>8</v>
          </cell>
        </row>
        <row r="340">
          <cell r="B340"/>
          <cell r="C340"/>
          <cell r="D340">
            <v>68</v>
          </cell>
          <cell r="E340">
            <v>64</v>
          </cell>
          <cell r="F340">
            <v>62</v>
          </cell>
          <cell r="G340">
            <v>69</v>
          </cell>
          <cell r="H340">
            <v>60</v>
          </cell>
          <cell r="I340">
            <v>60</v>
          </cell>
          <cell r="J340">
            <v>64</v>
          </cell>
          <cell r="K340">
            <v>74</v>
          </cell>
          <cell r="L340">
            <v>58</v>
          </cell>
          <cell r="M340">
            <v>51</v>
          </cell>
          <cell r="N340">
            <v>60</v>
          </cell>
          <cell r="O340">
            <v>64</v>
          </cell>
          <cell r="P340">
            <v>74</v>
          </cell>
        </row>
        <row r="341">
          <cell r="B341" t="str">
            <v>South Bend</v>
          </cell>
          <cell r="C341"/>
          <cell r="D341" t="str">
            <v>SW</v>
          </cell>
          <cell r="E341" t="str">
            <v>SW</v>
          </cell>
          <cell r="F341" t="str">
            <v>SW</v>
          </cell>
          <cell r="G341" t="str">
            <v>SW</v>
          </cell>
          <cell r="H341" t="str">
            <v>SSW</v>
          </cell>
          <cell r="I341" t="str">
            <v>SSW</v>
          </cell>
          <cell r="J341" t="str">
            <v>SW</v>
          </cell>
          <cell r="K341" t="str">
            <v>SW</v>
          </cell>
          <cell r="L341" t="str">
            <v>SW</v>
          </cell>
          <cell r="M341" t="str">
            <v>SW</v>
          </cell>
          <cell r="N341" t="str">
            <v>SW</v>
          </cell>
          <cell r="O341" t="str">
            <v>SW</v>
          </cell>
          <cell r="P341" t="str">
            <v>SW</v>
          </cell>
        </row>
        <row r="342">
          <cell r="C342"/>
          <cell r="D342">
            <v>12</v>
          </cell>
          <cell r="E342">
            <v>11</v>
          </cell>
          <cell r="F342">
            <v>12</v>
          </cell>
          <cell r="G342">
            <v>12</v>
          </cell>
          <cell r="H342">
            <v>10</v>
          </cell>
          <cell r="I342">
            <v>9</v>
          </cell>
          <cell r="J342">
            <v>8</v>
          </cell>
          <cell r="K342">
            <v>8</v>
          </cell>
          <cell r="L342">
            <v>9</v>
          </cell>
          <cell r="M342">
            <v>10</v>
          </cell>
          <cell r="N342">
            <v>11</v>
          </cell>
          <cell r="O342">
            <v>11</v>
          </cell>
          <cell r="P342">
            <v>10</v>
          </cell>
        </row>
        <row r="343">
          <cell r="C343"/>
          <cell r="D343">
            <v>59</v>
          </cell>
          <cell r="E343">
            <v>58</v>
          </cell>
          <cell r="F343">
            <v>54</v>
          </cell>
          <cell r="G343">
            <v>66</v>
          </cell>
          <cell r="H343">
            <v>86</v>
          </cell>
          <cell r="I343">
            <v>71</v>
          </cell>
          <cell r="J343">
            <v>66</v>
          </cell>
          <cell r="K343">
            <v>92</v>
          </cell>
          <cell r="L343">
            <v>63</v>
          </cell>
          <cell r="M343">
            <v>59</v>
          </cell>
          <cell r="N343">
            <v>74</v>
          </cell>
          <cell r="O343">
            <v>54</v>
          </cell>
          <cell r="P343">
            <v>92</v>
          </cell>
        </row>
        <row r="344">
          <cell r="C344"/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</row>
        <row r="345">
          <cell r="B345" t="str">
            <v>Des Moines</v>
          </cell>
          <cell r="C345"/>
          <cell r="D345" t="str">
            <v>NW</v>
          </cell>
          <cell r="E345" t="str">
            <v>NW</v>
          </cell>
          <cell r="F345" t="str">
            <v>NW</v>
          </cell>
          <cell r="G345" t="str">
            <v>NW</v>
          </cell>
          <cell r="H345" t="str">
            <v>S</v>
          </cell>
          <cell r="I345" t="str">
            <v>S</v>
          </cell>
          <cell r="J345" t="str">
            <v>S</v>
          </cell>
          <cell r="K345" t="str">
            <v>S</v>
          </cell>
          <cell r="L345" t="str">
            <v>S</v>
          </cell>
          <cell r="M345" t="str">
            <v>S</v>
          </cell>
          <cell r="N345" t="str">
            <v>NW</v>
          </cell>
          <cell r="O345" t="str">
            <v>NW</v>
          </cell>
          <cell r="P345" t="str">
            <v>S</v>
          </cell>
        </row>
        <row r="346">
          <cell r="C346"/>
          <cell r="D346">
            <v>12</v>
          </cell>
          <cell r="E346">
            <v>11</v>
          </cell>
          <cell r="F346">
            <v>13</v>
          </cell>
          <cell r="G346">
            <v>13</v>
          </cell>
          <cell r="H346">
            <v>11</v>
          </cell>
          <cell r="I346">
            <v>10</v>
          </cell>
          <cell r="J346">
            <v>9</v>
          </cell>
          <cell r="K346">
            <v>9</v>
          </cell>
          <cell r="L346">
            <v>10</v>
          </cell>
          <cell r="M346">
            <v>10</v>
          </cell>
          <cell r="N346">
            <v>12</v>
          </cell>
          <cell r="O346">
            <v>11</v>
          </cell>
          <cell r="P346">
            <v>11</v>
          </cell>
        </row>
        <row r="347">
          <cell r="B347"/>
          <cell r="C347"/>
          <cell r="D347">
            <v>55</v>
          </cell>
          <cell r="E347">
            <v>62</v>
          </cell>
          <cell r="F347">
            <v>58</v>
          </cell>
          <cell r="G347">
            <v>66</v>
          </cell>
          <cell r="H347">
            <v>54</v>
          </cell>
          <cell r="I347">
            <v>58</v>
          </cell>
          <cell r="J347">
            <v>83</v>
          </cell>
          <cell r="K347">
            <v>63</v>
          </cell>
          <cell r="L347">
            <v>54</v>
          </cell>
          <cell r="M347">
            <v>60</v>
          </cell>
          <cell r="N347">
            <v>62</v>
          </cell>
          <cell r="O347">
            <v>55</v>
          </cell>
          <cell r="P347">
            <v>83</v>
          </cell>
        </row>
        <row r="348">
          <cell r="B348" t="str">
            <v>Dubuque</v>
          </cell>
          <cell r="C348"/>
          <cell r="D348" t="str">
            <v>S</v>
          </cell>
          <cell r="E348" t="str">
            <v>S</v>
          </cell>
          <cell r="F348" t="str">
            <v>NW</v>
          </cell>
          <cell r="G348" t="str">
            <v>S</v>
          </cell>
          <cell r="H348" t="str">
            <v>S</v>
          </cell>
          <cell r="I348" t="str">
            <v>S</v>
          </cell>
          <cell r="J348" t="str">
            <v>S</v>
          </cell>
          <cell r="K348" t="str">
            <v>S</v>
          </cell>
          <cell r="L348" t="str">
            <v>S</v>
          </cell>
          <cell r="M348" t="str">
            <v>S</v>
          </cell>
          <cell r="N348" t="str">
            <v>S</v>
          </cell>
          <cell r="O348" t="str">
            <v>S</v>
          </cell>
          <cell r="P348" t="str">
            <v>S</v>
          </cell>
        </row>
        <row r="349">
          <cell r="C349"/>
          <cell r="D349">
            <v>11</v>
          </cell>
          <cell r="E349">
            <v>13</v>
          </cell>
          <cell r="F349">
            <v>13</v>
          </cell>
          <cell r="G349">
            <v>12</v>
          </cell>
          <cell r="H349">
            <v>10</v>
          </cell>
          <cell r="I349">
            <v>9</v>
          </cell>
          <cell r="J349">
            <v>9</v>
          </cell>
          <cell r="K349">
            <v>8</v>
          </cell>
          <cell r="L349">
            <v>9</v>
          </cell>
          <cell r="M349">
            <v>11</v>
          </cell>
          <cell r="N349">
            <v>11</v>
          </cell>
          <cell r="O349">
            <v>11</v>
          </cell>
          <cell r="P349">
            <v>11</v>
          </cell>
        </row>
        <row r="350">
          <cell r="B350"/>
          <cell r="C350"/>
          <cell r="D350">
            <v>58</v>
          </cell>
          <cell r="E350">
            <v>52</v>
          </cell>
          <cell r="F350">
            <v>62</v>
          </cell>
          <cell r="G350">
            <v>68</v>
          </cell>
          <cell r="H350">
            <v>74</v>
          </cell>
          <cell r="I350">
            <v>55</v>
          </cell>
          <cell r="J350">
            <v>74</v>
          </cell>
          <cell r="K350">
            <v>62</v>
          </cell>
          <cell r="L350">
            <v>58</v>
          </cell>
          <cell r="M350">
            <v>54</v>
          </cell>
          <cell r="N350">
            <v>55</v>
          </cell>
          <cell r="O350">
            <v>56</v>
          </cell>
          <cell r="P350">
            <v>74</v>
          </cell>
        </row>
        <row r="351">
          <cell r="B351" t="str">
            <v>Sioux City</v>
          </cell>
          <cell r="C351"/>
          <cell r="D351" t="str">
            <v>NW</v>
          </cell>
          <cell r="E351" t="str">
            <v>NW</v>
          </cell>
          <cell r="F351" t="str">
            <v>NW</v>
          </cell>
          <cell r="G351" t="str">
            <v>NW</v>
          </cell>
          <cell r="H351" t="str">
            <v>NW</v>
          </cell>
          <cell r="I351" t="str">
            <v>SSE</v>
          </cell>
          <cell r="J351" t="str">
            <v>SSE</v>
          </cell>
          <cell r="K351" t="str">
            <v>SE</v>
          </cell>
          <cell r="L351" t="str">
            <v>SE</v>
          </cell>
          <cell r="M351" t="str">
            <v>NW</v>
          </cell>
          <cell r="N351" t="str">
            <v>NW</v>
          </cell>
          <cell r="O351" t="str">
            <v>NW</v>
          </cell>
          <cell r="P351" t="str">
            <v>NW</v>
          </cell>
        </row>
        <row r="352">
          <cell r="B352"/>
          <cell r="C352"/>
          <cell r="D352">
            <v>11</v>
          </cell>
          <cell r="E352">
            <v>11</v>
          </cell>
          <cell r="F352">
            <v>12</v>
          </cell>
          <cell r="G352">
            <v>13</v>
          </cell>
          <cell r="H352">
            <v>12</v>
          </cell>
          <cell r="I352">
            <v>11</v>
          </cell>
          <cell r="J352">
            <v>9</v>
          </cell>
          <cell r="K352">
            <v>9</v>
          </cell>
          <cell r="L352">
            <v>10</v>
          </cell>
          <cell r="M352">
            <v>11</v>
          </cell>
          <cell r="N352">
            <v>11</v>
          </cell>
          <cell r="O352">
            <v>11</v>
          </cell>
          <cell r="P352">
            <v>11</v>
          </cell>
        </row>
        <row r="353">
          <cell r="B353"/>
          <cell r="C353"/>
          <cell r="D353">
            <v>63</v>
          </cell>
          <cell r="E353">
            <v>58</v>
          </cell>
          <cell r="F353">
            <v>68</v>
          </cell>
          <cell r="G353">
            <v>69</v>
          </cell>
          <cell r="H353">
            <v>60</v>
          </cell>
          <cell r="I353">
            <v>60</v>
          </cell>
          <cell r="J353">
            <v>67</v>
          </cell>
          <cell r="K353">
            <v>60</v>
          </cell>
          <cell r="L353">
            <v>60</v>
          </cell>
          <cell r="M353">
            <v>61</v>
          </cell>
          <cell r="N353">
            <v>58</v>
          </cell>
          <cell r="O353">
            <v>69</v>
          </cell>
          <cell r="P353">
            <v>69</v>
          </cell>
        </row>
        <row r="354">
          <cell r="B354" t="str">
            <v>Waterloo</v>
          </cell>
          <cell r="C354"/>
          <cell r="D354" t="str">
            <v>NW</v>
          </cell>
          <cell r="E354" t="str">
            <v>NW</v>
          </cell>
          <cell r="F354" t="str">
            <v>NW</v>
          </cell>
          <cell r="G354" t="str">
            <v>NW</v>
          </cell>
          <cell r="H354" t="str">
            <v>NW</v>
          </cell>
          <cell r="I354" t="str">
            <v>NW</v>
          </cell>
          <cell r="J354" t="str">
            <v>NNW</v>
          </cell>
          <cell r="K354" t="str">
            <v>NNW</v>
          </cell>
          <cell r="L354" t="str">
            <v>NNW</v>
          </cell>
          <cell r="M354" t="str">
            <v>NW</v>
          </cell>
          <cell r="N354" t="str">
            <v>NW</v>
          </cell>
          <cell r="O354" t="str">
            <v>NW</v>
          </cell>
          <cell r="P354" t="str">
            <v>NW</v>
          </cell>
        </row>
        <row r="355">
          <cell r="B355"/>
          <cell r="C355"/>
          <cell r="D355">
            <v>12</v>
          </cell>
          <cell r="E355">
            <v>11</v>
          </cell>
          <cell r="F355">
            <v>12</v>
          </cell>
          <cell r="G355">
            <v>12</v>
          </cell>
          <cell r="H355">
            <v>11</v>
          </cell>
          <cell r="I355">
            <v>10</v>
          </cell>
          <cell r="J355">
            <v>8</v>
          </cell>
          <cell r="K355">
            <v>8</v>
          </cell>
          <cell r="L355">
            <v>9</v>
          </cell>
          <cell r="M355">
            <v>10</v>
          </cell>
          <cell r="N355">
            <v>11</v>
          </cell>
          <cell r="O355">
            <v>11</v>
          </cell>
          <cell r="P355">
            <v>11</v>
          </cell>
        </row>
        <row r="356">
          <cell r="B356"/>
          <cell r="C356"/>
          <cell r="D356">
            <v>58</v>
          </cell>
          <cell r="E356">
            <v>58</v>
          </cell>
          <cell r="F356">
            <v>54</v>
          </cell>
          <cell r="G356">
            <v>63</v>
          </cell>
          <cell r="H356">
            <v>74</v>
          </cell>
          <cell r="I356">
            <v>83</v>
          </cell>
          <cell r="J356">
            <v>64</v>
          </cell>
          <cell r="K356">
            <v>51</v>
          </cell>
          <cell r="L356">
            <v>49</v>
          </cell>
          <cell r="M356">
            <v>55</v>
          </cell>
          <cell r="N356">
            <v>59</v>
          </cell>
          <cell r="O356">
            <v>53</v>
          </cell>
          <cell r="P356">
            <v>83</v>
          </cell>
        </row>
        <row r="357"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/>
          <cell r="N357"/>
          <cell r="O357"/>
          <cell r="P357"/>
        </row>
        <row r="358">
          <cell r="B358" t="str">
            <v>Concordia</v>
          </cell>
          <cell r="C358"/>
          <cell r="D358" t="str">
            <v>N</v>
          </cell>
          <cell r="E358" t="str">
            <v>N</v>
          </cell>
          <cell r="F358" t="str">
            <v>N</v>
          </cell>
          <cell r="G358" t="str">
            <v>N</v>
          </cell>
          <cell r="H358" t="str">
            <v>N</v>
          </cell>
          <cell r="I358" t="str">
            <v>N</v>
          </cell>
          <cell r="J358" t="str">
            <v>S</v>
          </cell>
          <cell r="K358" t="str">
            <v>S</v>
          </cell>
          <cell r="L358" t="str">
            <v>S</v>
          </cell>
          <cell r="M358" t="str">
            <v>S</v>
          </cell>
          <cell r="N358" t="str">
            <v>S</v>
          </cell>
          <cell r="O358" t="str">
            <v>S</v>
          </cell>
          <cell r="P358" t="str">
            <v>S</v>
          </cell>
        </row>
        <row r="359">
          <cell r="B359"/>
          <cell r="C359"/>
          <cell r="D359">
            <v>12</v>
          </cell>
          <cell r="E359">
            <v>12</v>
          </cell>
          <cell r="F359">
            <v>14</v>
          </cell>
          <cell r="G359">
            <v>14</v>
          </cell>
          <cell r="H359">
            <v>12</v>
          </cell>
          <cell r="I359">
            <v>11</v>
          </cell>
          <cell r="J359">
            <v>11</v>
          </cell>
          <cell r="K359">
            <v>11</v>
          </cell>
          <cell r="L359">
            <v>12</v>
          </cell>
          <cell r="M359">
            <v>12</v>
          </cell>
          <cell r="N359">
            <v>12</v>
          </cell>
          <cell r="O359">
            <v>12</v>
          </cell>
          <cell r="P359">
            <v>12</v>
          </cell>
        </row>
        <row r="360">
          <cell r="B360"/>
          <cell r="C360"/>
          <cell r="D360">
            <v>60</v>
          </cell>
          <cell r="E360">
            <v>52</v>
          </cell>
          <cell r="F360">
            <v>54</v>
          </cell>
          <cell r="G360">
            <v>64</v>
          </cell>
          <cell r="H360">
            <v>45</v>
          </cell>
          <cell r="I360">
            <v>62</v>
          </cell>
          <cell r="J360">
            <v>67</v>
          </cell>
          <cell r="K360">
            <v>47</v>
          </cell>
          <cell r="L360">
            <v>51</v>
          </cell>
          <cell r="M360">
            <v>57</v>
          </cell>
          <cell r="N360">
            <v>48</v>
          </cell>
          <cell r="O360">
            <v>45</v>
          </cell>
          <cell r="P360">
            <v>67</v>
          </cell>
        </row>
        <row r="361">
          <cell r="B361" t="str">
            <v>Dodge City</v>
          </cell>
          <cell r="C361"/>
          <cell r="D361" t="str">
            <v>NNW</v>
          </cell>
          <cell r="E361" t="str">
            <v>NNW</v>
          </cell>
          <cell r="F361" t="str">
            <v>NNW</v>
          </cell>
          <cell r="G361" t="str">
            <v>N</v>
          </cell>
          <cell r="H361" t="str">
            <v>N</v>
          </cell>
          <cell r="I361" t="str">
            <v>N</v>
          </cell>
          <cell r="J361" t="str">
            <v>S</v>
          </cell>
          <cell r="K361" t="str">
            <v>S</v>
          </cell>
          <cell r="L361" t="str">
            <v>S</v>
          </cell>
          <cell r="M361" t="str">
            <v>S</v>
          </cell>
          <cell r="N361" t="str">
            <v>S</v>
          </cell>
          <cell r="O361" t="str">
            <v>S</v>
          </cell>
          <cell r="P361" t="str">
            <v>S</v>
          </cell>
        </row>
        <row r="362">
          <cell r="B362"/>
          <cell r="C362"/>
          <cell r="D362">
            <v>11</v>
          </cell>
          <cell r="E362">
            <v>11</v>
          </cell>
          <cell r="F362">
            <v>12</v>
          </cell>
          <cell r="G362">
            <v>12</v>
          </cell>
          <cell r="H362">
            <v>11</v>
          </cell>
          <cell r="I362">
            <v>11</v>
          </cell>
          <cell r="J362">
            <v>10</v>
          </cell>
          <cell r="K362">
            <v>10</v>
          </cell>
          <cell r="L362">
            <v>11</v>
          </cell>
          <cell r="M362">
            <v>10</v>
          </cell>
          <cell r="N362">
            <v>11</v>
          </cell>
          <cell r="O362">
            <v>11</v>
          </cell>
          <cell r="P362">
            <v>11</v>
          </cell>
        </row>
        <row r="363">
          <cell r="B363"/>
          <cell r="C363"/>
          <cell r="D363">
            <v>66</v>
          </cell>
          <cell r="E363">
            <v>57</v>
          </cell>
          <cell r="F363">
            <v>48</v>
          </cell>
          <cell r="G363">
            <v>61</v>
          </cell>
          <cell r="H363">
            <v>54</v>
          </cell>
          <cell r="I363">
            <v>70</v>
          </cell>
          <cell r="J363">
            <v>79</v>
          </cell>
          <cell r="K363">
            <v>75</v>
          </cell>
          <cell r="L363">
            <v>59</v>
          </cell>
          <cell r="M363">
            <v>54</v>
          </cell>
          <cell r="N363">
            <v>53</v>
          </cell>
          <cell r="O363">
            <v>49</v>
          </cell>
          <cell r="P363">
            <v>79</v>
          </cell>
        </row>
        <row r="364">
          <cell r="B364" t="str">
            <v>Goodland</v>
          </cell>
          <cell r="C364"/>
          <cell r="D364" t="str">
            <v>W</v>
          </cell>
          <cell r="E364" t="str">
            <v>NNW</v>
          </cell>
          <cell r="F364" t="str">
            <v>NNW</v>
          </cell>
          <cell r="G364" t="str">
            <v>NNW</v>
          </cell>
          <cell r="H364" t="str">
            <v>SSE</v>
          </cell>
          <cell r="I364" t="str">
            <v>SSE</v>
          </cell>
          <cell r="J364" t="str">
            <v>SSE</v>
          </cell>
          <cell r="K364" t="str">
            <v>SSE</v>
          </cell>
          <cell r="L364" t="str">
            <v>S</v>
          </cell>
          <cell r="M364" t="str">
            <v>NNW</v>
          </cell>
          <cell r="N364" t="str">
            <v>NNW</v>
          </cell>
          <cell r="O364" t="str">
            <v>NNW</v>
          </cell>
          <cell r="P364" t="str">
            <v>SSE</v>
          </cell>
        </row>
        <row r="365">
          <cell r="B365"/>
          <cell r="C365"/>
          <cell r="D365">
            <v>13</v>
          </cell>
          <cell r="E365">
            <v>13</v>
          </cell>
          <cell r="F365">
            <v>14</v>
          </cell>
          <cell r="G365">
            <v>14</v>
          </cell>
          <cell r="H365">
            <v>14</v>
          </cell>
          <cell r="I365">
            <v>13</v>
          </cell>
          <cell r="J365">
            <v>12</v>
          </cell>
          <cell r="K365">
            <v>11</v>
          </cell>
          <cell r="L365">
            <v>12</v>
          </cell>
          <cell r="M365">
            <v>12</v>
          </cell>
          <cell r="N365">
            <v>12</v>
          </cell>
          <cell r="O365">
            <v>12</v>
          </cell>
          <cell r="P365">
            <v>13</v>
          </cell>
        </row>
        <row r="366">
          <cell r="B366"/>
          <cell r="C366"/>
          <cell r="D366">
            <v>64</v>
          </cell>
          <cell r="E366">
            <v>51</v>
          </cell>
          <cell r="F366">
            <v>53</v>
          </cell>
          <cell r="G366">
            <v>54</v>
          </cell>
          <cell r="H366">
            <v>96</v>
          </cell>
          <cell r="I366">
            <v>51</v>
          </cell>
          <cell r="J366">
            <v>71</v>
          </cell>
          <cell r="K366">
            <v>92</v>
          </cell>
          <cell r="L366">
            <v>46</v>
          </cell>
          <cell r="M366">
            <v>60</v>
          </cell>
          <cell r="N366">
            <v>56</v>
          </cell>
          <cell r="O366">
            <v>62</v>
          </cell>
          <cell r="P366">
            <v>96</v>
          </cell>
        </row>
        <row r="367">
          <cell r="B367" t="str">
            <v>Topeka</v>
          </cell>
          <cell r="C367"/>
          <cell r="D367" t="str">
            <v>N</v>
          </cell>
          <cell r="E367" t="str">
            <v>N</v>
          </cell>
          <cell r="F367" t="str">
            <v>N</v>
          </cell>
          <cell r="G367" t="str">
            <v>N</v>
          </cell>
          <cell r="H367" t="str">
            <v>N</v>
          </cell>
          <cell r="I367" t="str">
            <v>N</v>
          </cell>
          <cell r="J367" t="str">
            <v>N</v>
          </cell>
          <cell r="K367" t="str">
            <v>N</v>
          </cell>
          <cell r="L367" t="str">
            <v>N</v>
          </cell>
          <cell r="M367" t="str">
            <v>N</v>
          </cell>
          <cell r="N367" t="str">
            <v>N</v>
          </cell>
          <cell r="O367" t="str">
            <v>N</v>
          </cell>
          <cell r="P367" t="str">
            <v>N</v>
          </cell>
        </row>
        <row r="368">
          <cell r="B368"/>
          <cell r="C368"/>
          <cell r="D368">
            <v>10</v>
          </cell>
          <cell r="E368">
            <v>10</v>
          </cell>
          <cell r="F368">
            <v>12</v>
          </cell>
          <cell r="G368">
            <v>12</v>
          </cell>
          <cell r="H368">
            <v>10</v>
          </cell>
          <cell r="I368">
            <v>10</v>
          </cell>
          <cell r="J368">
            <v>9</v>
          </cell>
          <cell r="K368">
            <v>8</v>
          </cell>
          <cell r="L368">
            <v>9</v>
          </cell>
          <cell r="M368">
            <v>9</v>
          </cell>
          <cell r="N368">
            <v>10</v>
          </cell>
          <cell r="O368">
            <v>10</v>
          </cell>
          <cell r="P368">
            <v>10</v>
          </cell>
        </row>
        <row r="369">
          <cell r="B369"/>
          <cell r="C369"/>
          <cell r="D369">
            <v>49</v>
          </cell>
          <cell r="E369">
            <v>47</v>
          </cell>
          <cell r="F369">
            <v>43</v>
          </cell>
          <cell r="G369">
            <v>47</v>
          </cell>
          <cell r="H369">
            <v>51</v>
          </cell>
          <cell r="I369">
            <v>66</v>
          </cell>
          <cell r="J369">
            <v>62</v>
          </cell>
          <cell r="K369">
            <v>65</v>
          </cell>
          <cell r="L369">
            <v>40</v>
          </cell>
          <cell r="M369">
            <v>52</v>
          </cell>
          <cell r="N369">
            <v>45</v>
          </cell>
          <cell r="O369">
            <v>41</v>
          </cell>
          <cell r="P369">
            <v>66</v>
          </cell>
        </row>
        <row r="370">
          <cell r="B370" t="str">
            <v>Wichita</v>
          </cell>
          <cell r="C370"/>
          <cell r="D370" t="str">
            <v>N</v>
          </cell>
          <cell r="E370" t="str">
            <v>N</v>
          </cell>
          <cell r="F370" t="str">
            <v>N</v>
          </cell>
          <cell r="G370" t="str">
            <v>N</v>
          </cell>
          <cell r="H370" t="str">
            <v>N</v>
          </cell>
          <cell r="I370" t="str">
            <v>N</v>
          </cell>
          <cell r="J370" t="str">
            <v>N</v>
          </cell>
          <cell r="K370" t="str">
            <v>N</v>
          </cell>
          <cell r="L370" t="str">
            <v>S</v>
          </cell>
          <cell r="M370" t="str">
            <v>S</v>
          </cell>
          <cell r="N370" t="str">
            <v>S</v>
          </cell>
          <cell r="O370" t="str">
            <v>S</v>
          </cell>
          <cell r="P370" t="str">
            <v>N</v>
          </cell>
        </row>
        <row r="371">
          <cell r="B371"/>
          <cell r="C371"/>
          <cell r="D371">
            <v>10</v>
          </cell>
          <cell r="E371">
            <v>10</v>
          </cell>
          <cell r="F371">
            <v>11</v>
          </cell>
          <cell r="G371">
            <v>11</v>
          </cell>
          <cell r="H371">
            <v>9</v>
          </cell>
          <cell r="I371">
            <v>9</v>
          </cell>
          <cell r="J371">
            <v>9</v>
          </cell>
          <cell r="K371">
            <v>8</v>
          </cell>
          <cell r="L371">
            <v>9</v>
          </cell>
          <cell r="M371">
            <v>9</v>
          </cell>
          <cell r="N371">
            <v>10</v>
          </cell>
          <cell r="O371">
            <v>10</v>
          </cell>
          <cell r="P371">
            <v>9</v>
          </cell>
        </row>
        <row r="372">
          <cell r="B372"/>
          <cell r="C372"/>
          <cell r="D372">
            <v>59</v>
          </cell>
          <cell r="E372">
            <v>49</v>
          </cell>
          <cell r="F372">
            <v>49</v>
          </cell>
          <cell r="G372">
            <v>58</v>
          </cell>
          <cell r="H372">
            <v>53</v>
          </cell>
          <cell r="I372">
            <v>59</v>
          </cell>
          <cell r="J372">
            <v>101</v>
          </cell>
          <cell r="K372">
            <v>63</v>
          </cell>
          <cell r="L372">
            <v>46</v>
          </cell>
          <cell r="M372">
            <v>53</v>
          </cell>
          <cell r="N372">
            <v>54</v>
          </cell>
          <cell r="O372">
            <v>44</v>
          </cell>
          <cell r="P372">
            <v>101</v>
          </cell>
        </row>
        <row r="373"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</row>
        <row r="374">
          <cell r="B374" t="str">
            <v>Fort Cambell</v>
          </cell>
          <cell r="C374"/>
          <cell r="D374" t="str">
            <v>N</v>
          </cell>
          <cell r="E374" t="str">
            <v>N</v>
          </cell>
          <cell r="F374" t="str">
            <v>N</v>
          </cell>
          <cell r="G374" t="str">
            <v>S</v>
          </cell>
          <cell r="H374" t="str">
            <v>S</v>
          </cell>
          <cell r="I374" t="str">
            <v>S</v>
          </cell>
          <cell r="J374" t="str">
            <v>SSW</v>
          </cell>
          <cell r="K374" t="str">
            <v>S</v>
          </cell>
          <cell r="L374" t="str">
            <v>S</v>
          </cell>
          <cell r="M374" t="str">
            <v>S</v>
          </cell>
          <cell r="N374" t="str">
            <v>S</v>
          </cell>
          <cell r="O374" t="str">
            <v>S</v>
          </cell>
          <cell r="P374" t="str">
            <v>S</v>
          </cell>
        </row>
        <row r="375">
          <cell r="B375"/>
          <cell r="C375"/>
          <cell r="D375">
            <v>7</v>
          </cell>
          <cell r="E375">
            <v>6</v>
          </cell>
          <cell r="F375">
            <v>7</v>
          </cell>
          <cell r="G375">
            <v>7</v>
          </cell>
          <cell r="H375">
            <v>5</v>
          </cell>
          <cell r="I375">
            <v>5</v>
          </cell>
          <cell r="J375">
            <v>3</v>
          </cell>
          <cell r="K375">
            <v>3</v>
          </cell>
          <cell r="L375">
            <v>3</v>
          </cell>
          <cell r="M375">
            <v>5</v>
          </cell>
          <cell r="N375">
            <v>6</v>
          </cell>
          <cell r="O375">
            <v>7</v>
          </cell>
          <cell r="P375">
            <v>6</v>
          </cell>
        </row>
        <row r="376">
          <cell r="B376"/>
          <cell r="C376"/>
          <cell r="D376">
            <v>58</v>
          </cell>
          <cell r="E376">
            <v>53</v>
          </cell>
          <cell r="F376">
            <v>64</v>
          </cell>
          <cell r="G376">
            <v>58</v>
          </cell>
          <cell r="H376">
            <v>58</v>
          </cell>
          <cell r="I376">
            <v>62</v>
          </cell>
          <cell r="J376">
            <v>58</v>
          </cell>
          <cell r="K376">
            <v>74</v>
          </cell>
          <cell r="L376">
            <v>53</v>
          </cell>
          <cell r="M376">
            <v>46</v>
          </cell>
          <cell r="N376">
            <v>61</v>
          </cell>
          <cell r="O376">
            <v>52</v>
          </cell>
          <cell r="P376">
            <v>74</v>
          </cell>
        </row>
        <row r="377">
          <cell r="B377" t="str">
            <v>Jackson</v>
          </cell>
          <cell r="C377"/>
          <cell r="D377" t="str">
            <v>SW</v>
          </cell>
          <cell r="E377" t="str">
            <v>SW</v>
          </cell>
          <cell r="F377" t="str">
            <v>S</v>
          </cell>
          <cell r="G377" t="str">
            <v>S</v>
          </cell>
          <cell r="H377" t="str">
            <v>S</v>
          </cell>
          <cell r="I377" t="str">
            <v>S</v>
          </cell>
          <cell r="J377" t="str">
            <v>S</v>
          </cell>
          <cell r="K377" t="str">
            <v>S</v>
          </cell>
          <cell r="L377" t="str">
            <v>S</v>
          </cell>
          <cell r="M377" t="str">
            <v>S</v>
          </cell>
          <cell r="N377" t="str">
            <v>S</v>
          </cell>
          <cell r="O377" t="str">
            <v>S</v>
          </cell>
          <cell r="P377" t="str">
            <v>S</v>
          </cell>
        </row>
        <row r="378">
          <cell r="B378"/>
          <cell r="C378"/>
          <cell r="D378">
            <v>8</v>
          </cell>
          <cell r="E378">
            <v>8</v>
          </cell>
          <cell r="F378">
            <v>8</v>
          </cell>
          <cell r="G378">
            <v>8</v>
          </cell>
          <cell r="H378">
            <v>7</v>
          </cell>
          <cell r="I378">
            <v>6</v>
          </cell>
          <cell r="J378">
            <v>6</v>
          </cell>
          <cell r="K378">
            <v>6</v>
          </cell>
          <cell r="L378">
            <v>6</v>
          </cell>
          <cell r="M378">
            <v>7</v>
          </cell>
          <cell r="N378">
            <v>8</v>
          </cell>
          <cell r="O378">
            <v>8</v>
          </cell>
          <cell r="P378">
            <v>7</v>
          </cell>
        </row>
        <row r="379">
          <cell r="B379"/>
          <cell r="C379"/>
          <cell r="D379">
            <v>55</v>
          </cell>
          <cell r="E379">
            <v>60</v>
          </cell>
          <cell r="F379">
            <v>53</v>
          </cell>
          <cell r="G379">
            <v>58</v>
          </cell>
          <cell r="H379">
            <v>49</v>
          </cell>
          <cell r="I379">
            <v>60</v>
          </cell>
          <cell r="J379">
            <v>55</v>
          </cell>
          <cell r="K379">
            <v>46</v>
          </cell>
          <cell r="L379">
            <v>39</v>
          </cell>
          <cell r="M379">
            <v>48</v>
          </cell>
          <cell r="N379">
            <v>51</v>
          </cell>
          <cell r="O379">
            <v>60</v>
          </cell>
          <cell r="P379">
            <v>60</v>
          </cell>
        </row>
        <row r="380">
          <cell r="B380" t="str">
            <v>Lexington</v>
          </cell>
          <cell r="C380"/>
          <cell r="D380" t="str">
            <v>S</v>
          </cell>
          <cell r="E380" t="str">
            <v>S</v>
          </cell>
          <cell r="F380" t="str">
            <v>S</v>
          </cell>
          <cell r="G380" t="str">
            <v>S</v>
          </cell>
          <cell r="H380" t="str">
            <v>S</v>
          </cell>
          <cell r="I380" t="str">
            <v>S</v>
          </cell>
          <cell r="J380" t="str">
            <v>S</v>
          </cell>
          <cell r="K380" t="str">
            <v>S</v>
          </cell>
          <cell r="L380" t="str">
            <v>S</v>
          </cell>
          <cell r="M380" t="str">
            <v>S</v>
          </cell>
          <cell r="N380" t="str">
            <v>S</v>
          </cell>
          <cell r="O380" t="str">
            <v>S</v>
          </cell>
          <cell r="P380" t="str">
            <v>S</v>
          </cell>
        </row>
        <row r="381">
          <cell r="B381"/>
          <cell r="C381"/>
          <cell r="D381">
            <v>11</v>
          </cell>
          <cell r="E381">
            <v>11</v>
          </cell>
          <cell r="F381">
            <v>11</v>
          </cell>
          <cell r="G381">
            <v>11</v>
          </cell>
          <cell r="H381">
            <v>9</v>
          </cell>
          <cell r="I381">
            <v>8</v>
          </cell>
          <cell r="J381">
            <v>7</v>
          </cell>
          <cell r="K381">
            <v>7</v>
          </cell>
          <cell r="L381">
            <v>8</v>
          </cell>
          <cell r="M381">
            <v>8</v>
          </cell>
          <cell r="N381">
            <v>10</v>
          </cell>
          <cell r="O381">
            <v>10</v>
          </cell>
          <cell r="P381">
            <v>9</v>
          </cell>
        </row>
        <row r="382">
          <cell r="B382"/>
          <cell r="C382"/>
          <cell r="D382">
            <v>53</v>
          </cell>
          <cell r="E382">
            <v>56</v>
          </cell>
          <cell r="F382">
            <v>49</v>
          </cell>
          <cell r="G382">
            <v>61</v>
          </cell>
          <cell r="H382">
            <v>59</v>
          </cell>
          <cell r="I382">
            <v>64</v>
          </cell>
          <cell r="J382">
            <v>56</v>
          </cell>
          <cell r="K382">
            <v>51</v>
          </cell>
          <cell r="L382">
            <v>40</v>
          </cell>
          <cell r="M382">
            <v>44</v>
          </cell>
          <cell r="N382">
            <v>53</v>
          </cell>
          <cell r="O382">
            <v>54</v>
          </cell>
          <cell r="P382">
            <v>64</v>
          </cell>
        </row>
        <row r="383">
          <cell r="B383" t="str">
            <v>Louisville</v>
          </cell>
          <cell r="C383"/>
          <cell r="D383" t="str">
            <v>WNW</v>
          </cell>
          <cell r="E383" t="str">
            <v>WNW</v>
          </cell>
          <cell r="F383" t="str">
            <v>WNW</v>
          </cell>
          <cell r="G383" t="str">
            <v>WNW</v>
          </cell>
          <cell r="H383" t="str">
            <v>NW</v>
          </cell>
          <cell r="I383" t="str">
            <v>NW</v>
          </cell>
          <cell r="J383" t="str">
            <v>S</v>
          </cell>
          <cell r="K383" t="str">
            <v>S</v>
          </cell>
          <cell r="L383" t="str">
            <v>S</v>
          </cell>
          <cell r="M383" t="str">
            <v>S</v>
          </cell>
          <cell r="N383" t="str">
            <v>S</v>
          </cell>
          <cell r="O383" t="str">
            <v>S</v>
          </cell>
          <cell r="P383" t="str">
            <v>S</v>
          </cell>
        </row>
        <row r="384">
          <cell r="B384"/>
          <cell r="C384"/>
          <cell r="D384">
            <v>10</v>
          </cell>
          <cell r="E384">
            <v>10</v>
          </cell>
          <cell r="F384">
            <v>10</v>
          </cell>
          <cell r="G384">
            <v>10</v>
          </cell>
          <cell r="H384">
            <v>8</v>
          </cell>
          <cell r="I384">
            <v>7</v>
          </cell>
          <cell r="J384">
            <v>7</v>
          </cell>
          <cell r="K384">
            <v>6</v>
          </cell>
          <cell r="L384">
            <v>7</v>
          </cell>
          <cell r="M384">
            <v>7</v>
          </cell>
          <cell r="N384">
            <v>9</v>
          </cell>
          <cell r="O384">
            <v>9</v>
          </cell>
          <cell r="P384">
            <v>8</v>
          </cell>
        </row>
        <row r="385">
          <cell r="B385"/>
          <cell r="C385"/>
          <cell r="D385">
            <v>43</v>
          </cell>
          <cell r="E385">
            <v>47</v>
          </cell>
          <cell r="F385">
            <v>43</v>
          </cell>
          <cell r="G385">
            <v>45</v>
          </cell>
          <cell r="H385">
            <v>53</v>
          </cell>
          <cell r="I385">
            <v>39</v>
          </cell>
          <cell r="J385">
            <v>44</v>
          </cell>
          <cell r="K385">
            <v>49</v>
          </cell>
          <cell r="L385">
            <v>32</v>
          </cell>
          <cell r="M385">
            <v>41</v>
          </cell>
          <cell r="N385">
            <v>48</v>
          </cell>
          <cell r="O385">
            <v>38</v>
          </cell>
          <cell r="P385">
            <v>53</v>
          </cell>
        </row>
        <row r="386">
          <cell r="B386" t="str">
            <v>Paducah</v>
          </cell>
          <cell r="C386"/>
          <cell r="D386" t="str">
            <v>S</v>
          </cell>
          <cell r="E386" t="str">
            <v>S</v>
          </cell>
          <cell r="F386" t="str">
            <v>S</v>
          </cell>
          <cell r="G386" t="str">
            <v>S</v>
          </cell>
          <cell r="H386" t="str">
            <v>S</v>
          </cell>
          <cell r="I386" t="str">
            <v>S</v>
          </cell>
          <cell r="J386" t="str">
            <v>S</v>
          </cell>
          <cell r="K386" t="str">
            <v>S</v>
          </cell>
          <cell r="L386" t="str">
            <v>S</v>
          </cell>
          <cell r="M386" t="str">
            <v>S</v>
          </cell>
          <cell r="N386" t="str">
            <v>S</v>
          </cell>
          <cell r="O386" t="str">
            <v>S</v>
          </cell>
          <cell r="P386" t="str">
            <v>S</v>
          </cell>
        </row>
        <row r="387">
          <cell r="B387"/>
          <cell r="C387"/>
          <cell r="D387">
            <v>10</v>
          </cell>
          <cell r="E387">
            <v>9</v>
          </cell>
          <cell r="F387">
            <v>10</v>
          </cell>
          <cell r="G387">
            <v>10</v>
          </cell>
          <cell r="H387">
            <v>8</v>
          </cell>
          <cell r="I387">
            <v>7</v>
          </cell>
          <cell r="J387">
            <v>6</v>
          </cell>
          <cell r="K387">
            <v>6</v>
          </cell>
          <cell r="L387">
            <v>6</v>
          </cell>
          <cell r="M387">
            <v>7</v>
          </cell>
          <cell r="N387">
            <v>9</v>
          </cell>
          <cell r="O387">
            <v>9</v>
          </cell>
          <cell r="P387">
            <v>8</v>
          </cell>
        </row>
        <row r="388">
          <cell r="B388"/>
          <cell r="C388"/>
          <cell r="D388">
            <v>51</v>
          </cell>
          <cell r="E388">
            <v>54</v>
          </cell>
          <cell r="F388">
            <v>60</v>
          </cell>
          <cell r="G388">
            <v>64</v>
          </cell>
          <cell r="H388">
            <v>84</v>
          </cell>
          <cell r="I388">
            <v>58</v>
          </cell>
          <cell r="J388">
            <v>59</v>
          </cell>
          <cell r="K388">
            <v>51</v>
          </cell>
          <cell r="L388">
            <v>52</v>
          </cell>
          <cell r="M388">
            <v>52</v>
          </cell>
          <cell r="N388">
            <v>63</v>
          </cell>
          <cell r="O388">
            <v>58</v>
          </cell>
          <cell r="P388">
            <v>84</v>
          </cell>
        </row>
        <row r="389">
          <cell r="C389"/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</row>
        <row r="390">
          <cell r="B390" t="str">
            <v>Alexandria</v>
          </cell>
          <cell r="C390"/>
          <cell r="D390" t="str">
            <v>NNW</v>
          </cell>
          <cell r="E390" t="str">
            <v>NNW</v>
          </cell>
          <cell r="F390" t="str">
            <v>S</v>
          </cell>
          <cell r="G390" t="str">
            <v>S</v>
          </cell>
          <cell r="H390" t="str">
            <v>S</v>
          </cell>
          <cell r="I390" t="str">
            <v>S</v>
          </cell>
          <cell r="J390" t="str">
            <v>S</v>
          </cell>
          <cell r="K390" t="str">
            <v>SSE</v>
          </cell>
          <cell r="L390" t="str">
            <v>NNE</v>
          </cell>
          <cell r="M390" t="str">
            <v>SSE</v>
          </cell>
          <cell r="N390" t="str">
            <v>SSE</v>
          </cell>
          <cell r="O390" t="str">
            <v>SSE</v>
          </cell>
          <cell r="P390" t="str">
            <v>SSE</v>
          </cell>
        </row>
        <row r="391">
          <cell r="B391"/>
          <cell r="C391"/>
          <cell r="D391">
            <v>5</v>
          </cell>
          <cell r="E391">
            <v>6</v>
          </cell>
          <cell r="F391">
            <v>6</v>
          </cell>
          <cell r="G391">
            <v>5</v>
          </cell>
          <cell r="H391">
            <v>3</v>
          </cell>
          <cell r="I391">
            <v>3</v>
          </cell>
          <cell r="J391">
            <v>2</v>
          </cell>
          <cell r="K391">
            <v>2</v>
          </cell>
          <cell r="L391">
            <v>3</v>
          </cell>
          <cell r="M391">
            <v>3</v>
          </cell>
          <cell r="N391">
            <v>5</v>
          </cell>
          <cell r="O391">
            <v>5</v>
          </cell>
          <cell r="P391">
            <v>3</v>
          </cell>
        </row>
        <row r="392">
          <cell r="B392"/>
          <cell r="C392"/>
          <cell r="D392">
            <v>60</v>
          </cell>
          <cell r="E392">
            <v>51</v>
          </cell>
          <cell r="F392">
            <v>64</v>
          </cell>
          <cell r="G392">
            <v>67</v>
          </cell>
          <cell r="H392">
            <v>72</v>
          </cell>
          <cell r="I392">
            <v>83</v>
          </cell>
          <cell r="J392">
            <v>51</v>
          </cell>
          <cell r="K392">
            <v>54</v>
          </cell>
          <cell r="L392">
            <v>55</v>
          </cell>
          <cell r="M392">
            <v>48</v>
          </cell>
          <cell r="N392">
            <v>60</v>
          </cell>
          <cell r="O392">
            <v>51</v>
          </cell>
          <cell r="P392">
            <v>83</v>
          </cell>
        </row>
        <row r="393">
          <cell r="B393" t="str">
            <v>Baton Rouge</v>
          </cell>
          <cell r="C393"/>
          <cell r="D393" t="str">
            <v>N</v>
          </cell>
          <cell r="E393" t="str">
            <v>N</v>
          </cell>
          <cell r="F393" t="str">
            <v>N</v>
          </cell>
          <cell r="G393" t="str">
            <v>N</v>
          </cell>
          <cell r="H393" t="str">
            <v>ESE</v>
          </cell>
          <cell r="I393" t="str">
            <v>ESE</v>
          </cell>
          <cell r="J393" t="str">
            <v>S</v>
          </cell>
          <cell r="K393" t="str">
            <v>S</v>
          </cell>
          <cell r="L393" t="str">
            <v>ESE</v>
          </cell>
          <cell r="M393" t="str">
            <v>ESE</v>
          </cell>
          <cell r="N393" t="str">
            <v>S</v>
          </cell>
          <cell r="O393" t="str">
            <v>S</v>
          </cell>
          <cell r="P393" t="str">
            <v>ESE</v>
          </cell>
        </row>
        <row r="394">
          <cell r="B394"/>
          <cell r="C394"/>
          <cell r="D394">
            <v>9</v>
          </cell>
          <cell r="E394">
            <v>9</v>
          </cell>
          <cell r="F394">
            <v>9</v>
          </cell>
          <cell r="G394">
            <v>9</v>
          </cell>
          <cell r="H394">
            <v>8</v>
          </cell>
          <cell r="I394">
            <v>7</v>
          </cell>
          <cell r="J394">
            <v>6</v>
          </cell>
          <cell r="K394">
            <v>6</v>
          </cell>
          <cell r="L394">
            <v>7</v>
          </cell>
          <cell r="M394">
            <v>7</v>
          </cell>
          <cell r="N394">
            <v>8</v>
          </cell>
          <cell r="O394">
            <v>8</v>
          </cell>
          <cell r="P394">
            <v>8</v>
          </cell>
        </row>
        <row r="395">
          <cell r="B395"/>
          <cell r="C395"/>
          <cell r="D395">
            <v>37</v>
          </cell>
          <cell r="E395">
            <v>32</v>
          </cell>
          <cell r="F395">
            <v>49</v>
          </cell>
          <cell r="G395">
            <v>36</v>
          </cell>
          <cell r="H395">
            <v>37</v>
          </cell>
          <cell r="I395">
            <v>46</v>
          </cell>
          <cell r="J395">
            <v>40</v>
          </cell>
          <cell r="K395">
            <v>32</v>
          </cell>
          <cell r="L395">
            <v>34</v>
          </cell>
          <cell r="M395">
            <v>41</v>
          </cell>
          <cell r="N395">
            <v>35</v>
          </cell>
          <cell r="O395">
            <v>31</v>
          </cell>
          <cell r="P395">
            <v>49</v>
          </cell>
        </row>
        <row r="396">
          <cell r="B396" t="str">
            <v>Lake Charles</v>
          </cell>
          <cell r="C396"/>
          <cell r="D396" t="str">
            <v>N</v>
          </cell>
          <cell r="E396" t="str">
            <v>N</v>
          </cell>
          <cell r="F396" t="str">
            <v>S</v>
          </cell>
          <cell r="G396" t="str">
            <v>S</v>
          </cell>
          <cell r="H396" t="str">
            <v>S</v>
          </cell>
          <cell r="I396" t="str">
            <v>S</v>
          </cell>
          <cell r="J396" t="str">
            <v>S</v>
          </cell>
          <cell r="K396" t="str">
            <v>S</v>
          </cell>
          <cell r="L396" t="str">
            <v>NE</v>
          </cell>
          <cell r="M396" t="str">
            <v>NE</v>
          </cell>
          <cell r="N396" t="str">
            <v>N</v>
          </cell>
          <cell r="O396" t="str">
            <v>N</v>
          </cell>
          <cell r="P396" t="str">
            <v>S</v>
          </cell>
        </row>
        <row r="397">
          <cell r="B397"/>
          <cell r="C397"/>
          <cell r="D397">
            <v>10</v>
          </cell>
          <cell r="E397">
            <v>10</v>
          </cell>
          <cell r="F397">
            <v>10</v>
          </cell>
          <cell r="G397">
            <v>10</v>
          </cell>
          <cell r="H397">
            <v>9</v>
          </cell>
          <cell r="I397">
            <v>8</v>
          </cell>
          <cell r="J397">
            <v>7</v>
          </cell>
          <cell r="K397">
            <v>6</v>
          </cell>
          <cell r="L397">
            <v>7</v>
          </cell>
          <cell r="M397">
            <v>8</v>
          </cell>
          <cell r="N397">
            <v>9</v>
          </cell>
          <cell r="O397">
            <v>10</v>
          </cell>
          <cell r="P397">
            <v>9</v>
          </cell>
        </row>
        <row r="398">
          <cell r="B398"/>
          <cell r="C398"/>
          <cell r="D398">
            <v>49</v>
          </cell>
          <cell r="E398">
            <v>62</v>
          </cell>
          <cell r="F398">
            <v>58</v>
          </cell>
          <cell r="G398">
            <v>70</v>
          </cell>
          <cell r="H398">
            <v>55</v>
          </cell>
          <cell r="I398">
            <v>61</v>
          </cell>
          <cell r="J398">
            <v>49</v>
          </cell>
          <cell r="K398">
            <v>56</v>
          </cell>
          <cell r="L398">
            <v>58</v>
          </cell>
          <cell r="M398">
            <v>49</v>
          </cell>
          <cell r="N398">
            <v>69</v>
          </cell>
          <cell r="O398">
            <v>46</v>
          </cell>
          <cell r="P398">
            <v>70</v>
          </cell>
        </row>
        <row r="399">
          <cell r="B399" t="str">
            <v>New Orleans</v>
          </cell>
          <cell r="C399"/>
          <cell r="D399" t="str">
            <v>JAN
ENE</v>
          </cell>
          <cell r="E399" t="str">
            <v>FEB
ENE</v>
          </cell>
          <cell r="F399" t="str">
            <v>MAR
N</v>
          </cell>
          <cell r="G399" t="str">
            <v>APR
N</v>
          </cell>
          <cell r="H399" t="str">
            <v>MAY
S</v>
          </cell>
          <cell r="I399" t="str">
            <v>JUN
S</v>
          </cell>
          <cell r="J399" t="str">
            <v>JUL
S</v>
          </cell>
          <cell r="K399" t="str">
            <v>AUG
S</v>
          </cell>
          <cell r="L399" t="str">
            <v>SEP
S</v>
          </cell>
          <cell r="M399" t="str">
            <v>OCT
S</v>
          </cell>
          <cell r="N399" t="str">
            <v>NOV
S</v>
          </cell>
          <cell r="O399" t="str">
            <v>DEC
S</v>
          </cell>
          <cell r="P399" t="str">
            <v>ANN
S</v>
          </cell>
        </row>
        <row r="400">
          <cell r="B400"/>
          <cell r="C400"/>
          <cell r="D400">
            <v>9</v>
          </cell>
          <cell r="E400">
            <v>10</v>
          </cell>
          <cell r="F400">
            <v>10</v>
          </cell>
          <cell r="G400">
            <v>10</v>
          </cell>
          <cell r="H400">
            <v>8</v>
          </cell>
          <cell r="I400">
            <v>7</v>
          </cell>
          <cell r="J400">
            <v>6</v>
          </cell>
          <cell r="K400">
            <v>6</v>
          </cell>
          <cell r="L400">
            <v>7</v>
          </cell>
          <cell r="M400">
            <v>8</v>
          </cell>
          <cell r="N400">
            <v>9</v>
          </cell>
          <cell r="O400">
            <v>9</v>
          </cell>
          <cell r="P400">
            <v>8</v>
          </cell>
        </row>
        <row r="401">
          <cell r="B401"/>
          <cell r="C401"/>
          <cell r="D401">
            <v>48</v>
          </cell>
          <cell r="E401">
            <v>49</v>
          </cell>
          <cell r="F401">
            <v>53</v>
          </cell>
          <cell r="G401">
            <v>62</v>
          </cell>
          <cell r="H401">
            <v>60</v>
          </cell>
          <cell r="I401">
            <v>63</v>
          </cell>
          <cell r="J401">
            <v>51</v>
          </cell>
          <cell r="K401">
            <v>66</v>
          </cell>
          <cell r="L401">
            <v>58</v>
          </cell>
          <cell r="M401">
            <v>49</v>
          </cell>
          <cell r="N401">
            <v>44</v>
          </cell>
          <cell r="O401">
            <v>48</v>
          </cell>
          <cell r="P401">
            <v>66</v>
          </cell>
        </row>
        <row r="402">
          <cell r="B402" t="str">
            <v>Shreveport</v>
          </cell>
          <cell r="C402"/>
          <cell r="D402" t="str">
            <v>S</v>
          </cell>
          <cell r="E402" t="str">
            <v>S</v>
          </cell>
          <cell r="F402" t="str">
            <v>S</v>
          </cell>
          <cell r="G402" t="str">
            <v>S</v>
          </cell>
          <cell r="H402" t="str">
            <v>S</v>
          </cell>
          <cell r="I402" t="str">
            <v>S</v>
          </cell>
          <cell r="J402" t="str">
            <v>S</v>
          </cell>
          <cell r="K402" t="str">
            <v>S</v>
          </cell>
          <cell r="L402" t="str">
            <v>SE</v>
          </cell>
          <cell r="M402" t="str">
            <v>SE</v>
          </cell>
          <cell r="N402" t="str">
            <v>S</v>
          </cell>
          <cell r="O402" t="str">
            <v>S</v>
          </cell>
          <cell r="P402" t="str">
            <v>S</v>
          </cell>
        </row>
        <row r="403">
          <cell r="B403"/>
          <cell r="C403"/>
          <cell r="D403">
            <v>9</v>
          </cell>
          <cell r="E403">
            <v>10</v>
          </cell>
          <cell r="F403">
            <v>10</v>
          </cell>
          <cell r="G403">
            <v>10</v>
          </cell>
          <cell r="H403">
            <v>9</v>
          </cell>
          <cell r="I403">
            <v>8</v>
          </cell>
          <cell r="J403">
            <v>7</v>
          </cell>
          <cell r="K403">
            <v>7</v>
          </cell>
          <cell r="L403">
            <v>7</v>
          </cell>
          <cell r="M403">
            <v>7</v>
          </cell>
          <cell r="N403">
            <v>9</v>
          </cell>
          <cell r="O403">
            <v>9</v>
          </cell>
          <cell r="P403">
            <v>9</v>
          </cell>
        </row>
        <row r="404">
          <cell r="B404"/>
          <cell r="C404"/>
          <cell r="D404">
            <v>54</v>
          </cell>
          <cell r="E404">
            <v>54</v>
          </cell>
          <cell r="F404">
            <v>58</v>
          </cell>
          <cell r="G404">
            <v>81</v>
          </cell>
          <cell r="H404">
            <v>83</v>
          </cell>
          <cell r="I404">
            <v>66</v>
          </cell>
          <cell r="J404">
            <v>66</v>
          </cell>
          <cell r="K404">
            <v>56</v>
          </cell>
          <cell r="L404">
            <v>54</v>
          </cell>
          <cell r="M404">
            <v>51</v>
          </cell>
          <cell r="N404">
            <v>63</v>
          </cell>
          <cell r="O404">
            <v>64</v>
          </cell>
          <cell r="P404">
            <v>83</v>
          </cell>
        </row>
        <row r="405">
          <cell r="C405"/>
          <cell r="D405"/>
          <cell r="E405"/>
          <cell r="F405"/>
          <cell r="G405"/>
          <cell r="H405"/>
          <cell r="I405"/>
          <cell r="J405"/>
          <cell r="K405"/>
          <cell r="L405"/>
          <cell r="M405"/>
          <cell r="N405"/>
          <cell r="O405"/>
          <cell r="P405"/>
        </row>
        <row r="406">
          <cell r="B406" t="str">
            <v>Bangor</v>
          </cell>
          <cell r="C406"/>
          <cell r="D406" t="str">
            <v>NW</v>
          </cell>
          <cell r="E406" t="str">
            <v>NW</v>
          </cell>
          <cell r="F406" t="str">
            <v>NW</v>
          </cell>
          <cell r="G406" t="str">
            <v>S</v>
          </cell>
          <cell r="H406" t="str">
            <v>S</v>
          </cell>
          <cell r="I406" t="str">
            <v>S</v>
          </cell>
          <cell r="J406" t="str">
            <v>S</v>
          </cell>
          <cell r="K406" t="str">
            <v>S</v>
          </cell>
          <cell r="L406" t="str">
            <v>S</v>
          </cell>
          <cell r="M406" t="str">
            <v>S</v>
          </cell>
          <cell r="N406" t="str">
            <v>N</v>
          </cell>
          <cell r="O406" t="str">
            <v>NW</v>
          </cell>
          <cell r="P406" t="str">
            <v>S</v>
          </cell>
        </row>
        <row r="407">
          <cell r="B407"/>
          <cell r="C407"/>
          <cell r="D407">
            <v>9</v>
          </cell>
          <cell r="E407">
            <v>9</v>
          </cell>
          <cell r="F407">
            <v>9</v>
          </cell>
          <cell r="G407">
            <v>9</v>
          </cell>
          <cell r="H407">
            <v>8</v>
          </cell>
          <cell r="I407">
            <v>8</v>
          </cell>
          <cell r="J407">
            <v>7</v>
          </cell>
          <cell r="K407">
            <v>7</v>
          </cell>
          <cell r="L407">
            <v>7</v>
          </cell>
          <cell r="M407">
            <v>8</v>
          </cell>
          <cell r="N407">
            <v>8</v>
          </cell>
          <cell r="O407">
            <v>8</v>
          </cell>
          <cell r="P407">
            <v>8</v>
          </cell>
        </row>
        <row r="408">
          <cell r="B408"/>
          <cell r="C408"/>
          <cell r="D408">
            <v>52</v>
          </cell>
          <cell r="E408">
            <v>44</v>
          </cell>
          <cell r="F408">
            <v>54</v>
          </cell>
          <cell r="G408">
            <v>49</v>
          </cell>
          <cell r="H408">
            <v>53</v>
          </cell>
          <cell r="I408">
            <v>48</v>
          </cell>
          <cell r="J408">
            <v>39</v>
          </cell>
          <cell r="K408">
            <v>39</v>
          </cell>
          <cell r="L408">
            <v>53</v>
          </cell>
          <cell r="M408">
            <v>54</v>
          </cell>
          <cell r="N408">
            <v>64</v>
          </cell>
          <cell r="O408">
            <v>56</v>
          </cell>
          <cell r="P408">
            <v>64</v>
          </cell>
        </row>
        <row r="409">
          <cell r="B409" t="str">
            <v>Caribou</v>
          </cell>
          <cell r="C409"/>
          <cell r="D409" t="str">
            <v>NW</v>
          </cell>
          <cell r="E409" t="str">
            <v>NW</v>
          </cell>
          <cell r="F409" t="str">
            <v>NW</v>
          </cell>
          <cell r="G409" t="str">
            <v>NW</v>
          </cell>
          <cell r="H409" t="str">
            <v>NW</v>
          </cell>
          <cell r="I409" t="str">
            <v>WSW</v>
          </cell>
          <cell r="J409" t="str">
            <v>WSW</v>
          </cell>
          <cell r="K409" t="str">
            <v>WSW</v>
          </cell>
          <cell r="L409" t="str">
            <v>WSW</v>
          </cell>
          <cell r="M409" t="str">
            <v>WSW</v>
          </cell>
          <cell r="N409" t="str">
            <v>WSW</v>
          </cell>
          <cell r="O409" t="str">
            <v>WSW</v>
          </cell>
          <cell r="P409" t="str">
            <v>WSW</v>
          </cell>
        </row>
        <row r="410">
          <cell r="B410"/>
          <cell r="C410"/>
          <cell r="D410">
            <v>12</v>
          </cell>
          <cell r="E410">
            <v>12</v>
          </cell>
          <cell r="F410">
            <v>13</v>
          </cell>
          <cell r="G410">
            <v>12</v>
          </cell>
          <cell r="H410">
            <v>11</v>
          </cell>
          <cell r="I410">
            <v>10</v>
          </cell>
          <cell r="J410">
            <v>10</v>
          </cell>
          <cell r="K410">
            <v>9</v>
          </cell>
          <cell r="L410">
            <v>10</v>
          </cell>
          <cell r="M410">
            <v>11</v>
          </cell>
          <cell r="N410">
            <v>11</v>
          </cell>
          <cell r="O410">
            <v>12</v>
          </cell>
          <cell r="P410">
            <v>11</v>
          </cell>
        </row>
        <row r="411">
          <cell r="B411"/>
          <cell r="C411"/>
          <cell r="D411">
            <v>30</v>
          </cell>
          <cell r="E411">
            <v>28</v>
          </cell>
          <cell r="F411">
            <v>29</v>
          </cell>
          <cell r="G411">
            <v>32</v>
          </cell>
          <cell r="H411">
            <v>37</v>
          </cell>
          <cell r="I411">
            <v>35</v>
          </cell>
          <cell r="J411">
            <v>32</v>
          </cell>
          <cell r="K411">
            <v>24</v>
          </cell>
          <cell r="L411">
            <v>25</v>
          </cell>
          <cell r="M411">
            <v>29</v>
          </cell>
          <cell r="N411">
            <v>33</v>
          </cell>
          <cell r="O411">
            <v>39</v>
          </cell>
          <cell r="P411">
            <v>39</v>
          </cell>
        </row>
        <row r="412">
          <cell r="B412" t="str">
            <v>Portland</v>
          </cell>
          <cell r="C412"/>
          <cell r="D412" t="str">
            <v>W</v>
          </cell>
          <cell r="E412" t="str">
            <v>W</v>
          </cell>
          <cell r="F412" t="str">
            <v>W</v>
          </cell>
          <cell r="G412" t="str">
            <v>W</v>
          </cell>
          <cell r="H412" t="str">
            <v>NNW</v>
          </cell>
          <cell r="I412" t="str">
            <v>NNW</v>
          </cell>
          <cell r="J412" t="str">
            <v>NNW</v>
          </cell>
          <cell r="K412" t="str">
            <v>NNW</v>
          </cell>
          <cell r="L412" t="str">
            <v>NW</v>
          </cell>
          <cell r="M412" t="str">
            <v>NW</v>
          </cell>
          <cell r="N412" t="str">
            <v>NW</v>
          </cell>
          <cell r="O412" t="str">
            <v>NW</v>
          </cell>
          <cell r="P412" t="str">
            <v>NW</v>
          </cell>
        </row>
        <row r="413">
          <cell r="B413"/>
          <cell r="C413"/>
          <cell r="D413">
            <v>9</v>
          </cell>
          <cell r="E413">
            <v>9</v>
          </cell>
          <cell r="F413">
            <v>10</v>
          </cell>
          <cell r="G413">
            <v>10</v>
          </cell>
          <cell r="H413">
            <v>9</v>
          </cell>
          <cell r="I413">
            <v>8</v>
          </cell>
          <cell r="J413">
            <v>8</v>
          </cell>
          <cell r="K413">
            <v>8</v>
          </cell>
          <cell r="L413">
            <v>8</v>
          </cell>
          <cell r="M413">
            <v>9</v>
          </cell>
          <cell r="N413">
            <v>9</v>
          </cell>
          <cell r="O413">
            <v>9</v>
          </cell>
          <cell r="P413">
            <v>9</v>
          </cell>
        </row>
        <row r="414">
          <cell r="B414"/>
          <cell r="C414"/>
          <cell r="D414">
            <v>53</v>
          </cell>
          <cell r="E414">
            <v>56</v>
          </cell>
          <cell r="F414">
            <v>44</v>
          </cell>
          <cell r="G414">
            <v>47</v>
          </cell>
          <cell r="H414">
            <v>44</v>
          </cell>
          <cell r="I414">
            <v>39</v>
          </cell>
          <cell r="J414">
            <v>38</v>
          </cell>
          <cell r="K414">
            <v>40</v>
          </cell>
          <cell r="L414">
            <v>41</v>
          </cell>
          <cell r="M414">
            <v>47</v>
          </cell>
          <cell r="N414">
            <v>72</v>
          </cell>
          <cell r="O414">
            <v>43</v>
          </cell>
          <cell r="P414">
            <v>72</v>
          </cell>
        </row>
        <row r="415">
          <cell r="C415"/>
          <cell r="D415"/>
          <cell r="E415"/>
          <cell r="F415"/>
          <cell r="G415"/>
          <cell r="H415"/>
          <cell r="I415"/>
          <cell r="J415"/>
          <cell r="K415"/>
          <cell r="L415"/>
          <cell r="M415"/>
          <cell r="N415"/>
          <cell r="O415"/>
          <cell r="P415"/>
        </row>
        <row r="416">
          <cell r="B416" t="str">
            <v>Baltimore</v>
          </cell>
          <cell r="C416"/>
          <cell r="D416" t="str">
            <v>WNW</v>
          </cell>
          <cell r="E416" t="str">
            <v>NW</v>
          </cell>
          <cell r="F416" t="str">
            <v>WNW</v>
          </cell>
          <cell r="G416" t="str">
            <v>WNW</v>
          </cell>
          <cell r="H416" t="str">
            <v>W</v>
          </cell>
          <cell r="I416" t="str">
            <v>WNW</v>
          </cell>
          <cell r="J416" t="str">
            <v>W</v>
          </cell>
          <cell r="K416" t="str">
            <v>W</v>
          </cell>
          <cell r="L416" t="str">
            <v>S</v>
          </cell>
          <cell r="M416" t="str">
            <v>NW</v>
          </cell>
          <cell r="N416" t="str">
            <v>WNW</v>
          </cell>
          <cell r="O416" t="str">
            <v>WNW</v>
          </cell>
          <cell r="P416" t="str">
            <v>WNW</v>
          </cell>
        </row>
        <row r="417">
          <cell r="B417"/>
          <cell r="C417"/>
          <cell r="D417">
            <v>10</v>
          </cell>
          <cell r="E417">
            <v>10</v>
          </cell>
          <cell r="F417">
            <v>11</v>
          </cell>
          <cell r="G417">
            <v>11</v>
          </cell>
          <cell r="H417">
            <v>9</v>
          </cell>
          <cell r="I417">
            <v>8</v>
          </cell>
          <cell r="J417">
            <v>8</v>
          </cell>
          <cell r="K417">
            <v>8</v>
          </cell>
          <cell r="L417">
            <v>8</v>
          </cell>
          <cell r="M417">
            <v>9</v>
          </cell>
          <cell r="N417">
            <v>9</v>
          </cell>
          <cell r="O417">
            <v>9</v>
          </cell>
          <cell r="P417">
            <v>9</v>
          </cell>
        </row>
        <row r="418">
          <cell r="B418"/>
          <cell r="C418"/>
          <cell r="D418">
            <v>53</v>
          </cell>
          <cell r="E418">
            <v>51</v>
          </cell>
          <cell r="F418">
            <v>58</v>
          </cell>
          <cell r="G418">
            <v>54</v>
          </cell>
          <cell r="H418">
            <v>55</v>
          </cell>
          <cell r="I418">
            <v>46</v>
          </cell>
          <cell r="J418">
            <v>68</v>
          </cell>
          <cell r="K418">
            <v>55</v>
          </cell>
          <cell r="L418">
            <v>45</v>
          </cell>
          <cell r="M418">
            <v>47</v>
          </cell>
          <cell r="N418">
            <v>64</v>
          </cell>
          <cell r="O418">
            <v>77</v>
          </cell>
          <cell r="P418">
            <v>77</v>
          </cell>
        </row>
        <row r="419">
          <cell r="B419" t="str">
            <v>Camp Springs</v>
          </cell>
          <cell r="C419"/>
          <cell r="D419" t="str">
            <v>NW</v>
          </cell>
          <cell r="E419" t="str">
            <v>NW</v>
          </cell>
          <cell r="F419" t="str">
            <v>NW</v>
          </cell>
          <cell r="G419" t="str">
            <v>NW</v>
          </cell>
          <cell r="H419" t="str">
            <v>S</v>
          </cell>
          <cell r="I419" t="str">
            <v>S</v>
          </cell>
          <cell r="J419" t="str">
            <v>S</v>
          </cell>
          <cell r="K419" t="str">
            <v>S</v>
          </cell>
          <cell r="L419" t="str">
            <v>S</v>
          </cell>
          <cell r="M419" t="str">
            <v>N</v>
          </cell>
          <cell r="N419" t="str">
            <v>NW</v>
          </cell>
          <cell r="O419" t="str">
            <v>NW</v>
          </cell>
          <cell r="P419" t="str">
            <v>NW</v>
          </cell>
        </row>
        <row r="420">
          <cell r="B420"/>
          <cell r="C420"/>
          <cell r="D420">
            <v>8</v>
          </cell>
          <cell r="E420">
            <v>9</v>
          </cell>
          <cell r="F420">
            <v>9</v>
          </cell>
          <cell r="G420">
            <v>9</v>
          </cell>
          <cell r="H420">
            <v>7</v>
          </cell>
          <cell r="I420">
            <v>7</v>
          </cell>
          <cell r="J420">
            <v>6</v>
          </cell>
          <cell r="K420">
            <v>5</v>
          </cell>
          <cell r="L420">
            <v>6</v>
          </cell>
          <cell r="M420">
            <v>7</v>
          </cell>
          <cell r="N420">
            <v>8</v>
          </cell>
          <cell r="O420">
            <v>9</v>
          </cell>
          <cell r="P420">
            <v>7</v>
          </cell>
        </row>
        <row r="421">
          <cell r="B421"/>
          <cell r="C421"/>
          <cell r="D421">
            <v>69</v>
          </cell>
          <cell r="E421">
            <v>71</v>
          </cell>
          <cell r="F421">
            <v>79</v>
          </cell>
          <cell r="G421">
            <v>71</v>
          </cell>
          <cell r="H421">
            <v>79</v>
          </cell>
          <cell r="I421">
            <v>74</v>
          </cell>
          <cell r="J421">
            <v>85</v>
          </cell>
          <cell r="K421">
            <v>69</v>
          </cell>
          <cell r="L421">
            <v>68</v>
          </cell>
          <cell r="M421">
            <v>54</v>
          </cell>
          <cell r="N421">
            <v>62</v>
          </cell>
          <cell r="O421">
            <v>66</v>
          </cell>
          <cell r="P421">
            <v>85</v>
          </cell>
        </row>
        <row r="422">
          <cell r="B422" t="str">
            <v>Patuxent River</v>
          </cell>
          <cell r="C422"/>
          <cell r="D422" t="str">
            <v>NNW</v>
          </cell>
          <cell r="E422" t="str">
            <v>NW</v>
          </cell>
          <cell r="F422" t="str">
            <v>NNW</v>
          </cell>
          <cell r="G422" t="str">
            <v>NW</v>
          </cell>
          <cell r="H422" t="str">
            <v>SSE</v>
          </cell>
          <cell r="I422" t="str">
            <v>S</v>
          </cell>
          <cell r="J422" t="str">
            <v>S</v>
          </cell>
          <cell r="K422" t="str">
            <v>S</v>
          </cell>
          <cell r="L422" t="str">
            <v>S</v>
          </cell>
          <cell r="M422" t="str">
            <v>NNW</v>
          </cell>
          <cell r="N422" t="str">
            <v>NNW</v>
          </cell>
          <cell r="O422" t="str">
            <v>NNW</v>
          </cell>
          <cell r="P422" t="str">
            <v>NNW</v>
          </cell>
        </row>
        <row r="423">
          <cell r="B423"/>
          <cell r="C423"/>
          <cell r="D423">
            <v>8</v>
          </cell>
          <cell r="E423">
            <v>8</v>
          </cell>
          <cell r="F423">
            <v>8</v>
          </cell>
          <cell r="G423">
            <v>9</v>
          </cell>
          <cell r="H423">
            <v>7</v>
          </cell>
          <cell r="I423">
            <v>7</v>
          </cell>
          <cell r="J423">
            <v>6</v>
          </cell>
          <cell r="K423">
            <v>6</v>
          </cell>
          <cell r="L423">
            <v>6</v>
          </cell>
          <cell r="M423">
            <v>7</v>
          </cell>
          <cell r="N423">
            <v>7</v>
          </cell>
          <cell r="O423">
            <v>8</v>
          </cell>
          <cell r="P423">
            <v>7</v>
          </cell>
        </row>
        <row r="424">
          <cell r="B424"/>
          <cell r="C424"/>
          <cell r="D424">
            <v>71</v>
          </cell>
          <cell r="E424">
            <v>70</v>
          </cell>
          <cell r="F424">
            <v>71</v>
          </cell>
          <cell r="G424">
            <v>72</v>
          </cell>
          <cell r="H424">
            <v>89</v>
          </cell>
          <cell r="I424">
            <v>81</v>
          </cell>
          <cell r="J424">
            <v>82</v>
          </cell>
          <cell r="K424">
            <v>79</v>
          </cell>
          <cell r="L424">
            <v>67</v>
          </cell>
          <cell r="M424">
            <v>126</v>
          </cell>
          <cell r="N424">
            <v>63</v>
          </cell>
          <cell r="O424">
            <v>67</v>
          </cell>
          <cell r="P424">
            <v>126</v>
          </cell>
        </row>
        <row r="425">
          <cell r="C425"/>
          <cell r="D425"/>
          <cell r="E425"/>
          <cell r="F425"/>
          <cell r="G425"/>
          <cell r="H425"/>
          <cell r="I425"/>
          <cell r="J425"/>
          <cell r="K425"/>
          <cell r="L425"/>
          <cell r="M425"/>
          <cell r="N425"/>
          <cell r="O425"/>
          <cell r="P425"/>
        </row>
        <row r="426">
          <cell r="B426" t="str">
            <v>Boston</v>
          </cell>
          <cell r="C426"/>
          <cell r="D426" t="str">
            <v>WNW</v>
          </cell>
          <cell r="E426" t="str">
            <v>WNW</v>
          </cell>
          <cell r="F426" t="str">
            <v>WNW</v>
          </cell>
          <cell r="G426" t="str">
            <v>WNW</v>
          </cell>
          <cell r="H426" t="str">
            <v>SSW</v>
          </cell>
          <cell r="I426" t="str">
            <v>WSW</v>
          </cell>
          <cell r="J426" t="str">
            <v>WSW</v>
          </cell>
          <cell r="K426" t="str">
            <v>WSW</v>
          </cell>
          <cell r="L426" t="str">
            <v>WSW</v>
          </cell>
          <cell r="M426" t="str">
            <v>WNW</v>
          </cell>
          <cell r="N426" t="str">
            <v>WNW</v>
          </cell>
          <cell r="O426" t="str">
            <v>WNW</v>
          </cell>
          <cell r="P426" t="str">
            <v>WNW</v>
          </cell>
        </row>
        <row r="427">
          <cell r="B427"/>
          <cell r="C427"/>
          <cell r="D427">
            <v>14</v>
          </cell>
          <cell r="E427">
            <v>14</v>
          </cell>
          <cell r="F427">
            <v>14</v>
          </cell>
          <cell r="G427">
            <v>14</v>
          </cell>
          <cell r="H427">
            <v>12</v>
          </cell>
          <cell r="I427">
            <v>12</v>
          </cell>
          <cell r="J427">
            <v>11</v>
          </cell>
          <cell r="K427">
            <v>11</v>
          </cell>
          <cell r="L427">
            <v>11</v>
          </cell>
          <cell r="M427">
            <v>12</v>
          </cell>
          <cell r="N427">
            <v>13</v>
          </cell>
          <cell r="O427">
            <v>14</v>
          </cell>
          <cell r="P427">
            <v>13</v>
          </cell>
        </row>
        <row r="428">
          <cell r="B428"/>
          <cell r="C428"/>
          <cell r="D428">
            <v>67</v>
          </cell>
          <cell r="E428">
            <v>58</v>
          </cell>
          <cell r="F428">
            <v>81</v>
          </cell>
          <cell r="G428">
            <v>55</v>
          </cell>
          <cell r="H428">
            <v>56</v>
          </cell>
          <cell r="I428">
            <v>68</v>
          </cell>
          <cell r="J428">
            <v>60</v>
          </cell>
          <cell r="K428">
            <v>64</v>
          </cell>
          <cell r="L428">
            <v>76</v>
          </cell>
          <cell r="M428">
            <v>59</v>
          </cell>
          <cell r="N428">
            <v>63</v>
          </cell>
          <cell r="O428">
            <v>78</v>
          </cell>
          <cell r="P428">
            <v>81</v>
          </cell>
        </row>
        <row r="429">
          <cell r="B429" t="str">
            <v>Chicopee Falls</v>
          </cell>
          <cell r="C429"/>
          <cell r="D429" t="str">
            <v>WNW</v>
          </cell>
          <cell r="E429" t="str">
            <v>WNW</v>
          </cell>
          <cell r="F429" t="str">
            <v>WNW</v>
          </cell>
          <cell r="G429" t="str">
            <v>WNW</v>
          </cell>
          <cell r="H429" t="str">
            <v>S</v>
          </cell>
          <cell r="I429" t="str">
            <v>S</v>
          </cell>
          <cell r="J429" t="str">
            <v>S</v>
          </cell>
          <cell r="K429" t="str">
            <v>S</v>
          </cell>
          <cell r="L429" t="str">
            <v>S</v>
          </cell>
          <cell r="M429" t="str">
            <v>N</v>
          </cell>
          <cell r="N429" t="str">
            <v>WNW</v>
          </cell>
          <cell r="O429" t="str">
            <v>N</v>
          </cell>
          <cell r="P429" t="str">
            <v>S</v>
          </cell>
        </row>
        <row r="430">
          <cell r="B430"/>
          <cell r="C430"/>
          <cell r="D430">
            <v>7</v>
          </cell>
          <cell r="E430">
            <v>7</v>
          </cell>
          <cell r="F430">
            <v>8</v>
          </cell>
          <cell r="G430">
            <v>8</v>
          </cell>
          <cell r="H430">
            <v>7</v>
          </cell>
          <cell r="I430">
            <v>6</v>
          </cell>
          <cell r="J430">
            <v>6</v>
          </cell>
          <cell r="K430">
            <v>5</v>
          </cell>
          <cell r="L430">
            <v>5</v>
          </cell>
          <cell r="M430">
            <v>6</v>
          </cell>
          <cell r="N430">
            <v>6</v>
          </cell>
          <cell r="O430">
            <v>7</v>
          </cell>
          <cell r="P430">
            <v>6</v>
          </cell>
        </row>
        <row r="431">
          <cell r="B431"/>
          <cell r="C431"/>
          <cell r="D431">
            <v>70</v>
          </cell>
          <cell r="E431">
            <v>64</v>
          </cell>
          <cell r="F431">
            <v>72</v>
          </cell>
          <cell r="G431">
            <v>70</v>
          </cell>
          <cell r="H431">
            <v>69</v>
          </cell>
          <cell r="I431">
            <v>68</v>
          </cell>
          <cell r="J431">
            <v>55</v>
          </cell>
          <cell r="K431">
            <v>71</v>
          </cell>
          <cell r="L431">
            <v>69</v>
          </cell>
          <cell r="M431">
            <v>56</v>
          </cell>
          <cell r="N431">
            <v>79</v>
          </cell>
          <cell r="O431">
            <v>62</v>
          </cell>
          <cell r="P431">
            <v>79</v>
          </cell>
        </row>
        <row r="432">
          <cell r="B432" t="str">
            <v>Falmouth</v>
          </cell>
          <cell r="C432"/>
          <cell r="D432" t="str">
            <v>W</v>
          </cell>
          <cell r="E432" t="str">
            <v>NW</v>
          </cell>
          <cell r="F432" t="str">
            <v>WNW</v>
          </cell>
          <cell r="G432" t="str">
            <v>WSW</v>
          </cell>
          <cell r="H432" t="str">
            <v>WSW</v>
          </cell>
          <cell r="I432" t="str">
            <v>WSW</v>
          </cell>
          <cell r="J432" t="str">
            <v>WSW</v>
          </cell>
          <cell r="K432" t="str">
            <v>WSW</v>
          </cell>
          <cell r="L432" t="str">
            <v>WSW</v>
          </cell>
          <cell r="M432" t="str">
            <v>WSW</v>
          </cell>
          <cell r="N432" t="str">
            <v>W</v>
          </cell>
          <cell r="O432" t="str">
            <v>W</v>
          </cell>
          <cell r="P432" t="str">
            <v>WSW</v>
          </cell>
        </row>
        <row r="433">
          <cell r="B433"/>
          <cell r="C433"/>
          <cell r="D433">
            <v>10</v>
          </cell>
          <cell r="E433">
            <v>10</v>
          </cell>
          <cell r="F433">
            <v>12</v>
          </cell>
          <cell r="G433">
            <v>10</v>
          </cell>
          <cell r="H433">
            <v>9</v>
          </cell>
          <cell r="I433">
            <v>8</v>
          </cell>
          <cell r="J433">
            <v>8</v>
          </cell>
          <cell r="K433">
            <v>8</v>
          </cell>
          <cell r="L433">
            <v>8</v>
          </cell>
          <cell r="M433">
            <v>8</v>
          </cell>
          <cell r="N433">
            <v>9</v>
          </cell>
          <cell r="O433">
            <v>10</v>
          </cell>
          <cell r="P433">
            <v>9</v>
          </cell>
        </row>
        <row r="434">
          <cell r="B434"/>
          <cell r="C434"/>
          <cell r="D434">
            <v>69</v>
          </cell>
          <cell r="E434">
            <v>68</v>
          </cell>
          <cell r="F434">
            <v>72</v>
          </cell>
          <cell r="G434">
            <v>67</v>
          </cell>
          <cell r="H434">
            <v>62</v>
          </cell>
          <cell r="I434">
            <v>47</v>
          </cell>
          <cell r="J434">
            <v>53</v>
          </cell>
          <cell r="K434">
            <v>52</v>
          </cell>
          <cell r="L434">
            <v>84</v>
          </cell>
          <cell r="M434">
            <v>59</v>
          </cell>
          <cell r="N434">
            <v>63</v>
          </cell>
          <cell r="O434">
            <v>62</v>
          </cell>
          <cell r="P434">
            <v>84</v>
          </cell>
        </row>
        <row r="435">
          <cell r="B435" t="str">
            <v xml:space="preserve">Fort Devens </v>
          </cell>
          <cell r="C435"/>
          <cell r="D435" t="str">
            <v>WNW</v>
          </cell>
          <cell r="E435" t="str">
            <v>NNW</v>
          </cell>
          <cell r="F435" t="str">
            <v>NNW</v>
          </cell>
          <cell r="G435" t="str">
            <v>NNW</v>
          </cell>
          <cell r="H435" t="str">
            <v>N</v>
          </cell>
          <cell r="I435" t="str">
            <v>WNW</v>
          </cell>
          <cell r="J435" t="str">
            <v>SSW</v>
          </cell>
          <cell r="K435" t="str">
            <v>SSW</v>
          </cell>
          <cell r="L435" t="str">
            <v>SSW</v>
          </cell>
          <cell r="M435" t="str">
            <v>WNW</v>
          </cell>
          <cell r="N435" t="str">
            <v>WNW</v>
          </cell>
          <cell r="O435" t="str">
            <v>WNW</v>
          </cell>
          <cell r="P435" t="str">
            <v>WNW</v>
          </cell>
        </row>
        <row r="436">
          <cell r="B436"/>
          <cell r="C436"/>
          <cell r="D436">
            <v>5</v>
          </cell>
          <cell r="E436">
            <v>5</v>
          </cell>
          <cell r="F436">
            <v>6</v>
          </cell>
          <cell r="G436">
            <v>6</v>
          </cell>
          <cell r="H436">
            <v>5</v>
          </cell>
          <cell r="I436">
            <v>3</v>
          </cell>
          <cell r="J436">
            <v>3</v>
          </cell>
          <cell r="K436">
            <v>3</v>
          </cell>
          <cell r="L436">
            <v>3</v>
          </cell>
          <cell r="M436">
            <v>3</v>
          </cell>
          <cell r="N436">
            <v>5</v>
          </cell>
          <cell r="O436">
            <v>5</v>
          </cell>
          <cell r="P436">
            <v>5</v>
          </cell>
        </row>
        <row r="437">
          <cell r="B437"/>
          <cell r="C437"/>
          <cell r="D437">
            <v>56</v>
          </cell>
          <cell r="E437">
            <v>48</v>
          </cell>
          <cell r="F437">
            <v>49</v>
          </cell>
          <cell r="G437">
            <v>60</v>
          </cell>
          <cell r="H437">
            <v>46</v>
          </cell>
          <cell r="I437">
            <v>49</v>
          </cell>
          <cell r="J437">
            <v>49</v>
          </cell>
          <cell r="K437">
            <v>46</v>
          </cell>
          <cell r="L437">
            <v>54</v>
          </cell>
          <cell r="M437">
            <v>44</v>
          </cell>
          <cell r="N437">
            <v>47</v>
          </cell>
          <cell r="O437">
            <v>51</v>
          </cell>
          <cell r="P437">
            <v>60</v>
          </cell>
        </row>
        <row r="438">
          <cell r="B438" t="str">
            <v>Milton</v>
          </cell>
          <cell r="C438"/>
          <cell r="D438" t="str">
            <v>W</v>
          </cell>
          <cell r="E438" t="str">
            <v>NW</v>
          </cell>
          <cell r="F438" t="str">
            <v>NW</v>
          </cell>
          <cell r="G438" t="str">
            <v>NW</v>
          </cell>
          <cell r="H438" t="str">
            <v>S</v>
          </cell>
          <cell r="I438" t="str">
            <v>S</v>
          </cell>
          <cell r="J438" t="str">
            <v>SW</v>
          </cell>
          <cell r="K438" t="str">
            <v>SW</v>
          </cell>
          <cell r="L438" t="str">
            <v>SW</v>
          </cell>
          <cell r="M438" t="str">
            <v>NW</v>
          </cell>
          <cell r="N438" t="str">
            <v>W</v>
          </cell>
          <cell r="O438" t="str">
            <v>W</v>
          </cell>
          <cell r="P438" t="str">
            <v>NW</v>
          </cell>
        </row>
        <row r="439">
          <cell r="B439"/>
          <cell r="C439"/>
          <cell r="D439">
            <v>17</v>
          </cell>
          <cell r="E439">
            <v>17</v>
          </cell>
          <cell r="F439">
            <v>17</v>
          </cell>
          <cell r="G439">
            <v>17</v>
          </cell>
          <cell r="H439">
            <v>15</v>
          </cell>
          <cell r="I439">
            <v>14</v>
          </cell>
          <cell r="J439">
            <v>13</v>
          </cell>
          <cell r="K439">
            <v>13</v>
          </cell>
          <cell r="L439">
            <v>14</v>
          </cell>
          <cell r="M439">
            <v>15</v>
          </cell>
          <cell r="N439">
            <v>16</v>
          </cell>
          <cell r="O439">
            <v>17</v>
          </cell>
          <cell r="P439">
            <v>15</v>
          </cell>
        </row>
        <row r="440">
          <cell r="B440"/>
          <cell r="C440"/>
          <cell r="D440">
            <v>91</v>
          </cell>
          <cell r="E440">
            <v>81</v>
          </cell>
          <cell r="F440">
            <v>109</v>
          </cell>
          <cell r="G440">
            <v>84</v>
          </cell>
          <cell r="H440">
            <v>69</v>
          </cell>
          <cell r="I440">
            <v>74</v>
          </cell>
          <cell r="J440">
            <v>86</v>
          </cell>
          <cell r="K440">
            <v>78</v>
          </cell>
          <cell r="L440">
            <v>115</v>
          </cell>
          <cell r="M440">
            <v>71</v>
          </cell>
          <cell r="N440">
            <v>78</v>
          </cell>
          <cell r="O440">
            <v>79</v>
          </cell>
          <cell r="P440">
            <v>115</v>
          </cell>
        </row>
        <row r="441">
          <cell r="B441" t="str">
            <v>Worcester</v>
          </cell>
          <cell r="C441"/>
          <cell r="D441" t="str">
            <v>WNW</v>
          </cell>
          <cell r="E441" t="str">
            <v>WNW</v>
          </cell>
          <cell r="F441" t="str">
            <v>WNW</v>
          </cell>
          <cell r="G441" t="str">
            <v>WNW</v>
          </cell>
          <cell r="H441" t="str">
            <v>WNW</v>
          </cell>
          <cell r="I441" t="str">
            <v>WNW</v>
          </cell>
          <cell r="J441" t="str">
            <v>WNW</v>
          </cell>
          <cell r="K441" t="str">
            <v>WNW</v>
          </cell>
          <cell r="L441" t="str">
            <v>WNW</v>
          </cell>
          <cell r="M441" t="str">
            <v>WNW</v>
          </cell>
          <cell r="N441" t="str">
            <v>WNW</v>
          </cell>
          <cell r="O441" t="str">
            <v>WNW</v>
          </cell>
          <cell r="P441" t="str">
            <v>WNW</v>
          </cell>
        </row>
        <row r="442">
          <cell r="B442"/>
          <cell r="C442"/>
          <cell r="D442">
            <v>12</v>
          </cell>
          <cell r="E442">
            <v>13</v>
          </cell>
          <cell r="F442">
            <v>13</v>
          </cell>
          <cell r="G442">
            <v>12</v>
          </cell>
          <cell r="H442">
            <v>11</v>
          </cell>
          <cell r="I442">
            <v>10</v>
          </cell>
          <cell r="J442">
            <v>9</v>
          </cell>
          <cell r="K442">
            <v>9</v>
          </cell>
          <cell r="L442">
            <v>10</v>
          </cell>
          <cell r="M442">
            <v>10</v>
          </cell>
          <cell r="N442">
            <v>11</v>
          </cell>
          <cell r="O442">
            <v>12</v>
          </cell>
          <cell r="P442">
            <v>11</v>
          </cell>
        </row>
        <row r="443">
          <cell r="B443"/>
          <cell r="C443"/>
          <cell r="D443">
            <v>62</v>
          </cell>
          <cell r="E443">
            <v>66</v>
          </cell>
          <cell r="F443">
            <v>66</v>
          </cell>
          <cell r="G443">
            <v>64</v>
          </cell>
          <cell r="H443">
            <v>61</v>
          </cell>
          <cell r="I443">
            <v>58</v>
          </cell>
          <cell r="J443">
            <v>68</v>
          </cell>
          <cell r="K443">
            <v>69</v>
          </cell>
          <cell r="L443">
            <v>71</v>
          </cell>
          <cell r="M443">
            <v>62</v>
          </cell>
          <cell r="N443">
            <v>62</v>
          </cell>
          <cell r="O443">
            <v>62</v>
          </cell>
          <cell r="P443">
            <v>71</v>
          </cell>
        </row>
        <row r="444">
          <cell r="B444"/>
        </row>
        <row r="446">
          <cell r="B446" t="str">
            <v>Alpena</v>
          </cell>
          <cell r="D446" t="str">
            <v>WNW</v>
          </cell>
          <cell r="E446" t="str">
            <v>WNW</v>
          </cell>
          <cell r="F446" t="str">
            <v>WNW</v>
          </cell>
          <cell r="G446" t="str">
            <v>ESE</v>
          </cell>
          <cell r="H446" t="str">
            <v>ESE</v>
          </cell>
          <cell r="I446" t="str">
            <v>ESE</v>
          </cell>
          <cell r="J446" t="str">
            <v>WNW</v>
          </cell>
          <cell r="K446" t="str">
            <v>WSW</v>
          </cell>
          <cell r="L446" t="str">
            <v>WSW</v>
          </cell>
          <cell r="M446" t="str">
            <v>S</v>
          </cell>
          <cell r="N446" t="str">
            <v>WSW</v>
          </cell>
          <cell r="O446" t="str">
            <v>WSW</v>
          </cell>
          <cell r="P446" t="str">
            <v>WNW</v>
          </cell>
        </row>
        <row r="447">
          <cell r="B447"/>
          <cell r="D447">
            <v>9</v>
          </cell>
          <cell r="E447">
            <v>9</v>
          </cell>
          <cell r="F447">
            <v>9</v>
          </cell>
          <cell r="G447">
            <v>10</v>
          </cell>
          <cell r="H447">
            <v>9</v>
          </cell>
          <cell r="I447">
            <v>8</v>
          </cell>
          <cell r="J447">
            <v>7</v>
          </cell>
          <cell r="K447">
            <v>7</v>
          </cell>
          <cell r="L447">
            <v>8</v>
          </cell>
          <cell r="M447">
            <v>8</v>
          </cell>
          <cell r="N447">
            <v>9</v>
          </cell>
          <cell r="O447">
            <v>9</v>
          </cell>
          <cell r="P447">
            <v>9</v>
          </cell>
        </row>
        <row r="448">
          <cell r="B448"/>
          <cell r="D448">
            <v>44</v>
          </cell>
          <cell r="E448">
            <v>54</v>
          </cell>
          <cell r="F448">
            <v>47</v>
          </cell>
          <cell r="G448">
            <v>52</v>
          </cell>
          <cell r="H448">
            <v>53</v>
          </cell>
          <cell r="I448">
            <v>58</v>
          </cell>
          <cell r="J448">
            <v>51</v>
          </cell>
          <cell r="K448">
            <v>60</v>
          </cell>
          <cell r="L448">
            <v>45</v>
          </cell>
          <cell r="M448">
            <v>47</v>
          </cell>
          <cell r="N448">
            <v>53</v>
          </cell>
          <cell r="O448">
            <v>54</v>
          </cell>
          <cell r="P448">
            <v>60</v>
          </cell>
        </row>
        <row r="449">
          <cell r="B449" t="str">
            <v>Detroit</v>
          </cell>
          <cell r="D449" t="str">
            <v>WSW</v>
          </cell>
          <cell r="E449" t="str">
            <v>SW</v>
          </cell>
          <cell r="F449" t="str">
            <v>WNW</v>
          </cell>
          <cell r="G449" t="str">
            <v>SW</v>
          </cell>
          <cell r="H449" t="str">
            <v>NE</v>
          </cell>
          <cell r="I449" t="str">
            <v>SW</v>
          </cell>
          <cell r="J449" t="str">
            <v>SW</v>
          </cell>
          <cell r="K449" t="str">
            <v>SW</v>
          </cell>
          <cell r="L449" t="str">
            <v>SW</v>
          </cell>
          <cell r="M449" t="str">
            <v>SW</v>
          </cell>
          <cell r="N449" t="str">
            <v>WSW</v>
          </cell>
          <cell r="O449" t="str">
            <v>SW</v>
          </cell>
          <cell r="P449" t="str">
            <v>SW</v>
          </cell>
        </row>
        <row r="450">
          <cell r="B450"/>
          <cell r="D450">
            <v>12</v>
          </cell>
          <cell r="E450">
            <v>12</v>
          </cell>
          <cell r="F450">
            <v>12</v>
          </cell>
          <cell r="G450">
            <v>12</v>
          </cell>
          <cell r="H450">
            <v>10</v>
          </cell>
          <cell r="I450">
            <v>9</v>
          </cell>
          <cell r="J450">
            <v>9</v>
          </cell>
          <cell r="K450">
            <v>8</v>
          </cell>
          <cell r="L450">
            <v>9</v>
          </cell>
          <cell r="M450">
            <v>10</v>
          </cell>
          <cell r="N450">
            <v>11</v>
          </cell>
          <cell r="O450">
            <v>11</v>
          </cell>
          <cell r="P450">
            <v>10</v>
          </cell>
        </row>
        <row r="451">
          <cell r="B451"/>
          <cell r="D451">
            <v>66</v>
          </cell>
          <cell r="E451">
            <v>51</v>
          </cell>
          <cell r="F451">
            <v>60</v>
          </cell>
          <cell r="G451">
            <v>64</v>
          </cell>
          <cell r="H451">
            <v>58</v>
          </cell>
          <cell r="I451">
            <v>56</v>
          </cell>
          <cell r="J451">
            <v>59</v>
          </cell>
          <cell r="K451">
            <v>47</v>
          </cell>
          <cell r="L451">
            <v>54</v>
          </cell>
          <cell r="M451">
            <v>56</v>
          </cell>
          <cell r="N451">
            <v>58</v>
          </cell>
          <cell r="O451">
            <v>59</v>
          </cell>
          <cell r="P451">
            <v>66</v>
          </cell>
        </row>
        <row r="452">
          <cell r="B452" t="str">
            <v>Flint</v>
          </cell>
          <cell r="D452" t="str">
            <v>W</v>
          </cell>
          <cell r="E452" t="str">
            <v>W</v>
          </cell>
          <cell r="F452" t="str">
            <v>WNW</v>
          </cell>
          <cell r="G452" t="str">
            <v>WSW</v>
          </cell>
          <cell r="H452" t="str">
            <v>WSW</v>
          </cell>
          <cell r="I452" t="str">
            <v>SSW</v>
          </cell>
          <cell r="J452" t="str">
            <v>SW</v>
          </cell>
          <cell r="K452" t="str">
            <v>SSW</v>
          </cell>
          <cell r="L452" t="str">
            <v>SSW</v>
          </cell>
          <cell r="M452" t="str">
            <v>S</v>
          </cell>
          <cell r="N452" t="str">
            <v>SW</v>
          </cell>
          <cell r="O452" t="str">
            <v>SW</v>
          </cell>
          <cell r="P452" t="str">
            <v>WSW</v>
          </cell>
        </row>
        <row r="453">
          <cell r="B453"/>
          <cell r="D453">
            <v>11</v>
          </cell>
          <cell r="E453">
            <v>11</v>
          </cell>
          <cell r="F453">
            <v>11</v>
          </cell>
          <cell r="G453">
            <v>11</v>
          </cell>
          <cell r="H453">
            <v>10</v>
          </cell>
          <cell r="I453">
            <v>9</v>
          </cell>
          <cell r="J453">
            <v>8</v>
          </cell>
          <cell r="K453">
            <v>8</v>
          </cell>
          <cell r="L453">
            <v>9</v>
          </cell>
          <cell r="M453">
            <v>10</v>
          </cell>
          <cell r="N453">
            <v>11</v>
          </cell>
          <cell r="O453">
            <v>11</v>
          </cell>
          <cell r="P453">
            <v>10</v>
          </cell>
        </row>
        <row r="454">
          <cell r="B454"/>
          <cell r="D454">
            <v>52</v>
          </cell>
          <cell r="E454">
            <v>54</v>
          </cell>
          <cell r="F454">
            <v>69</v>
          </cell>
          <cell r="G454">
            <v>68</v>
          </cell>
          <cell r="H454">
            <v>54</v>
          </cell>
          <cell r="I454">
            <v>76</v>
          </cell>
          <cell r="J454">
            <v>69</v>
          </cell>
          <cell r="K454">
            <v>71</v>
          </cell>
          <cell r="L454">
            <v>53</v>
          </cell>
          <cell r="M454">
            <v>67</v>
          </cell>
          <cell r="N454">
            <v>55</v>
          </cell>
          <cell r="O454">
            <v>52</v>
          </cell>
          <cell r="P454">
            <v>76</v>
          </cell>
        </row>
        <row r="455">
          <cell r="B455" t="str">
            <v>Grand Rapids</v>
          </cell>
          <cell r="D455" t="str">
            <v>WSW</v>
          </cell>
          <cell r="E455" t="str">
            <v>WSW</v>
          </cell>
          <cell r="F455" t="str">
            <v>WSW</v>
          </cell>
          <cell r="G455" t="str">
            <v>WSW</v>
          </cell>
          <cell r="H455" t="str">
            <v>WSW</v>
          </cell>
          <cell r="I455" t="str">
            <v>WSW</v>
          </cell>
          <cell r="J455" t="str">
            <v>WSW</v>
          </cell>
          <cell r="K455" t="str">
            <v>WSW</v>
          </cell>
          <cell r="L455" t="str">
            <v>S</v>
          </cell>
          <cell r="M455" t="str">
            <v>S</v>
          </cell>
          <cell r="N455" t="str">
            <v>WSW</v>
          </cell>
          <cell r="O455" t="str">
            <v>S</v>
          </cell>
          <cell r="P455" t="str">
            <v>WSW</v>
          </cell>
        </row>
        <row r="456">
          <cell r="B456"/>
          <cell r="D456">
            <v>12</v>
          </cell>
          <cell r="E456">
            <v>11</v>
          </cell>
          <cell r="F456">
            <v>11</v>
          </cell>
          <cell r="G456">
            <v>11</v>
          </cell>
          <cell r="H456">
            <v>10</v>
          </cell>
          <cell r="I456">
            <v>9</v>
          </cell>
          <cell r="J456">
            <v>8</v>
          </cell>
          <cell r="K456">
            <v>8</v>
          </cell>
          <cell r="L456">
            <v>8</v>
          </cell>
          <cell r="M456">
            <v>9</v>
          </cell>
          <cell r="N456">
            <v>11</v>
          </cell>
          <cell r="O456">
            <v>11</v>
          </cell>
          <cell r="P456">
            <v>10</v>
          </cell>
        </row>
        <row r="457">
          <cell r="B457"/>
          <cell r="D457">
            <v>55</v>
          </cell>
          <cell r="E457">
            <v>55</v>
          </cell>
          <cell r="F457">
            <v>56</v>
          </cell>
          <cell r="G457">
            <v>63</v>
          </cell>
          <cell r="H457">
            <v>68</v>
          </cell>
          <cell r="I457">
            <v>63</v>
          </cell>
          <cell r="J457">
            <v>51</v>
          </cell>
          <cell r="K457">
            <v>61</v>
          </cell>
          <cell r="L457">
            <v>52</v>
          </cell>
          <cell r="M457">
            <v>60</v>
          </cell>
          <cell r="N457">
            <v>55</v>
          </cell>
          <cell r="O457">
            <v>56</v>
          </cell>
          <cell r="P457">
            <v>68</v>
          </cell>
        </row>
        <row r="458">
          <cell r="B458" t="str">
            <v>Houston Lake</v>
          </cell>
          <cell r="D458" t="str">
            <v>W</v>
          </cell>
          <cell r="E458" t="str">
            <v>W</v>
          </cell>
          <cell r="F458" t="str">
            <v>W</v>
          </cell>
          <cell r="G458" t="str">
            <v>W</v>
          </cell>
          <cell r="H458" t="str">
            <v>NW</v>
          </cell>
          <cell r="I458" t="str">
            <v>NW</v>
          </cell>
          <cell r="J458" t="str">
            <v>NW</v>
          </cell>
          <cell r="K458" t="str">
            <v>NW</v>
          </cell>
          <cell r="L458" t="str">
            <v>W</v>
          </cell>
          <cell r="M458" t="str">
            <v>W</v>
          </cell>
          <cell r="N458" t="str">
            <v>W</v>
          </cell>
          <cell r="O458" t="str">
            <v>W</v>
          </cell>
          <cell r="P458" t="str">
            <v>W</v>
          </cell>
        </row>
        <row r="459">
          <cell r="B459"/>
          <cell r="D459">
            <v>10</v>
          </cell>
          <cell r="E459">
            <v>9</v>
          </cell>
          <cell r="F459">
            <v>10</v>
          </cell>
          <cell r="G459">
            <v>10</v>
          </cell>
          <cell r="H459">
            <v>9</v>
          </cell>
          <cell r="I459">
            <v>8</v>
          </cell>
          <cell r="J459">
            <v>8</v>
          </cell>
          <cell r="K459">
            <v>7</v>
          </cell>
          <cell r="L459">
            <v>8</v>
          </cell>
          <cell r="M459">
            <v>9</v>
          </cell>
          <cell r="N459">
            <v>10</v>
          </cell>
          <cell r="O459">
            <v>9</v>
          </cell>
          <cell r="P459">
            <v>9</v>
          </cell>
        </row>
        <row r="460">
          <cell r="B460"/>
          <cell r="D460">
            <v>46</v>
          </cell>
          <cell r="E460">
            <v>48</v>
          </cell>
          <cell r="F460">
            <v>55</v>
          </cell>
          <cell r="G460">
            <v>54</v>
          </cell>
          <cell r="H460">
            <v>60</v>
          </cell>
          <cell r="I460">
            <v>58</v>
          </cell>
          <cell r="J460">
            <v>58</v>
          </cell>
          <cell r="K460">
            <v>59</v>
          </cell>
          <cell r="L460">
            <v>46</v>
          </cell>
          <cell r="M460">
            <v>54</v>
          </cell>
          <cell r="N460">
            <v>59</v>
          </cell>
          <cell r="O460">
            <v>55</v>
          </cell>
          <cell r="P460">
            <v>60</v>
          </cell>
        </row>
        <row r="461">
          <cell r="B461" t="str">
            <v>Lansing</v>
          </cell>
          <cell r="D461" t="str">
            <v>SW</v>
          </cell>
          <cell r="E461" t="str">
            <v>W</v>
          </cell>
          <cell r="F461" t="str">
            <v>W</v>
          </cell>
          <cell r="G461" t="str">
            <v>W</v>
          </cell>
          <cell r="H461" t="str">
            <v>W</v>
          </cell>
          <cell r="I461" t="str">
            <v>W</v>
          </cell>
          <cell r="J461" t="str">
            <v>W</v>
          </cell>
          <cell r="K461" t="str">
            <v>W</v>
          </cell>
          <cell r="L461" t="str">
            <v>S</v>
          </cell>
          <cell r="M461" t="str">
            <v>SW</v>
          </cell>
          <cell r="N461" t="str">
            <v>SW</v>
          </cell>
          <cell r="O461" t="str">
            <v>SW</v>
          </cell>
          <cell r="P461" t="str">
            <v>W</v>
          </cell>
        </row>
        <row r="462">
          <cell r="B462"/>
          <cell r="D462">
            <v>12</v>
          </cell>
          <cell r="E462">
            <v>12</v>
          </cell>
          <cell r="F462">
            <v>12</v>
          </cell>
          <cell r="G462">
            <v>12</v>
          </cell>
          <cell r="H462">
            <v>10</v>
          </cell>
          <cell r="I462">
            <v>9</v>
          </cell>
          <cell r="J462">
            <v>9</v>
          </cell>
          <cell r="K462">
            <v>8</v>
          </cell>
          <cell r="L462">
            <v>9</v>
          </cell>
          <cell r="M462">
            <v>10</v>
          </cell>
          <cell r="N462">
            <v>12</v>
          </cell>
          <cell r="O462">
            <v>12</v>
          </cell>
          <cell r="P462">
            <v>11</v>
          </cell>
        </row>
        <row r="463">
          <cell r="B463"/>
          <cell r="D463">
            <v>55</v>
          </cell>
          <cell r="E463">
            <v>51</v>
          </cell>
          <cell r="F463">
            <v>61</v>
          </cell>
          <cell r="G463">
            <v>70</v>
          </cell>
          <cell r="H463">
            <v>59</v>
          </cell>
          <cell r="I463">
            <v>67</v>
          </cell>
          <cell r="J463">
            <v>60</v>
          </cell>
          <cell r="K463">
            <v>62</v>
          </cell>
          <cell r="L463">
            <v>47</v>
          </cell>
          <cell r="M463">
            <v>58</v>
          </cell>
          <cell r="N463">
            <v>53</v>
          </cell>
          <cell r="O463">
            <v>54</v>
          </cell>
          <cell r="P463">
            <v>70</v>
          </cell>
        </row>
        <row r="464">
          <cell r="B464" t="str">
            <v>Muskegon</v>
          </cell>
          <cell r="D464" t="str">
            <v>WNW</v>
          </cell>
          <cell r="E464" t="str">
            <v>WNW</v>
          </cell>
          <cell r="F464" t="str">
            <v>E</v>
          </cell>
          <cell r="G464" t="str">
            <v>E</v>
          </cell>
          <cell r="H464" t="str">
            <v>SW</v>
          </cell>
          <cell r="I464" t="str">
            <v>SW</v>
          </cell>
          <cell r="J464" t="str">
            <v>SW</v>
          </cell>
          <cell r="K464" t="str">
            <v>SSW</v>
          </cell>
          <cell r="L464" t="str">
            <v>ESE</v>
          </cell>
          <cell r="M464" t="str">
            <v>ESE</v>
          </cell>
          <cell r="N464" t="str">
            <v>SE</v>
          </cell>
          <cell r="O464" t="str">
            <v>WNW</v>
          </cell>
          <cell r="P464" t="str">
            <v>WNW</v>
          </cell>
        </row>
        <row r="465">
          <cell r="D465">
            <v>12</v>
          </cell>
          <cell r="E465">
            <v>11</v>
          </cell>
          <cell r="F465">
            <v>12</v>
          </cell>
          <cell r="G465">
            <v>12</v>
          </cell>
          <cell r="H465">
            <v>10</v>
          </cell>
          <cell r="I465">
            <v>9</v>
          </cell>
          <cell r="J465">
            <v>9</v>
          </cell>
          <cell r="K465">
            <v>9</v>
          </cell>
          <cell r="L465">
            <v>9</v>
          </cell>
          <cell r="M465">
            <v>10</v>
          </cell>
          <cell r="N465">
            <v>12</v>
          </cell>
          <cell r="O465">
            <v>12</v>
          </cell>
          <cell r="P465">
            <v>11</v>
          </cell>
        </row>
        <row r="466">
          <cell r="D466">
            <v>53</v>
          </cell>
          <cell r="E466">
            <v>67</v>
          </cell>
          <cell r="F466">
            <v>59</v>
          </cell>
          <cell r="G466">
            <v>61</v>
          </cell>
          <cell r="H466">
            <v>54</v>
          </cell>
          <cell r="I466">
            <v>55</v>
          </cell>
          <cell r="J466">
            <v>58</v>
          </cell>
          <cell r="K466">
            <v>63</v>
          </cell>
          <cell r="L466">
            <v>51</v>
          </cell>
          <cell r="M466">
            <v>55</v>
          </cell>
          <cell r="N466">
            <v>56</v>
          </cell>
          <cell r="O466">
            <v>55</v>
          </cell>
          <cell r="P466">
            <v>67</v>
          </cell>
        </row>
        <row r="467">
          <cell r="B467" t="str">
            <v>Oscada</v>
          </cell>
          <cell r="D467" t="str">
            <v>SSW</v>
          </cell>
          <cell r="E467" t="str">
            <v>SSW</v>
          </cell>
          <cell r="F467" t="str">
            <v>WNW</v>
          </cell>
          <cell r="G467" t="str">
            <v>WNW</v>
          </cell>
          <cell r="H467" t="str">
            <v>ENE</v>
          </cell>
          <cell r="I467" t="str">
            <v>SSW</v>
          </cell>
          <cell r="J467" t="str">
            <v>SSW</v>
          </cell>
          <cell r="K467" t="str">
            <v>SSW</v>
          </cell>
          <cell r="L467" t="str">
            <v>SSW</v>
          </cell>
          <cell r="M467" t="str">
            <v>SSW</v>
          </cell>
          <cell r="N467" t="str">
            <v>SSW</v>
          </cell>
          <cell r="O467" t="str">
            <v>SSW</v>
          </cell>
          <cell r="P467" t="str">
            <v>SSW</v>
          </cell>
        </row>
        <row r="468">
          <cell r="D468">
            <v>8</v>
          </cell>
          <cell r="E468">
            <v>8</v>
          </cell>
          <cell r="F468">
            <v>8</v>
          </cell>
          <cell r="G468">
            <v>8</v>
          </cell>
          <cell r="H468">
            <v>7</v>
          </cell>
          <cell r="I468">
            <v>6</v>
          </cell>
          <cell r="J468">
            <v>6</v>
          </cell>
          <cell r="K468">
            <v>5</v>
          </cell>
          <cell r="L468">
            <v>6</v>
          </cell>
          <cell r="M468">
            <v>7</v>
          </cell>
          <cell r="N468">
            <v>8</v>
          </cell>
          <cell r="O468">
            <v>8</v>
          </cell>
          <cell r="P468">
            <v>7</v>
          </cell>
        </row>
        <row r="469">
          <cell r="D469">
            <v>74</v>
          </cell>
          <cell r="E469">
            <v>61</v>
          </cell>
          <cell r="F469">
            <v>58</v>
          </cell>
          <cell r="G469">
            <v>67</v>
          </cell>
          <cell r="H469">
            <v>59</v>
          </cell>
          <cell r="I469">
            <v>83</v>
          </cell>
          <cell r="J469">
            <v>74</v>
          </cell>
          <cell r="K469">
            <v>55</v>
          </cell>
          <cell r="L469">
            <v>61</v>
          </cell>
          <cell r="M469">
            <v>59</v>
          </cell>
          <cell r="N469">
            <v>60</v>
          </cell>
          <cell r="O469">
            <v>66</v>
          </cell>
          <cell r="P469">
            <v>83</v>
          </cell>
        </row>
        <row r="470">
          <cell r="B470" t="str">
            <v>Sawyer</v>
          </cell>
          <cell r="D470" t="str">
            <v>SSW</v>
          </cell>
          <cell r="E470" t="str">
            <v>N</v>
          </cell>
          <cell r="F470" t="str">
            <v>N</v>
          </cell>
          <cell r="G470" t="str">
            <v>N</v>
          </cell>
          <cell r="H470" t="str">
            <v>N</v>
          </cell>
          <cell r="I470" t="str">
            <v>S</v>
          </cell>
          <cell r="J470" t="str">
            <v>SSW</v>
          </cell>
          <cell r="K470" t="str">
            <v>SSW</v>
          </cell>
          <cell r="L470" t="str">
            <v>S</v>
          </cell>
          <cell r="M470" t="str">
            <v>S</v>
          </cell>
          <cell r="N470" t="str">
            <v>SSW</v>
          </cell>
          <cell r="O470" t="str">
            <v>SSW</v>
          </cell>
          <cell r="P470" t="str">
            <v>S</v>
          </cell>
        </row>
        <row r="471">
          <cell r="D471">
            <v>9</v>
          </cell>
          <cell r="E471">
            <v>8</v>
          </cell>
          <cell r="F471">
            <v>9</v>
          </cell>
          <cell r="G471">
            <v>9</v>
          </cell>
          <cell r="H471">
            <v>8</v>
          </cell>
          <cell r="I471">
            <v>7</v>
          </cell>
          <cell r="J471">
            <v>6</v>
          </cell>
          <cell r="K471">
            <v>7</v>
          </cell>
          <cell r="L471">
            <v>7</v>
          </cell>
          <cell r="M471">
            <v>8</v>
          </cell>
          <cell r="N471">
            <v>9</v>
          </cell>
          <cell r="O471">
            <v>9</v>
          </cell>
          <cell r="P471">
            <v>8</v>
          </cell>
        </row>
        <row r="472">
          <cell r="D472">
            <v>67</v>
          </cell>
          <cell r="E472">
            <v>64</v>
          </cell>
          <cell r="F472">
            <v>61</v>
          </cell>
          <cell r="G472">
            <v>68</v>
          </cell>
          <cell r="H472">
            <v>69</v>
          </cell>
          <cell r="I472">
            <v>62</v>
          </cell>
          <cell r="J472">
            <v>64</v>
          </cell>
          <cell r="K472">
            <v>49</v>
          </cell>
          <cell r="L472">
            <v>51</v>
          </cell>
          <cell r="M472">
            <v>62</v>
          </cell>
          <cell r="N472">
            <v>66</v>
          </cell>
          <cell r="O472">
            <v>56</v>
          </cell>
          <cell r="P472">
            <v>69</v>
          </cell>
        </row>
        <row r="473">
          <cell r="B473" t="str">
            <v>Sault Sainte Marie</v>
          </cell>
          <cell r="D473" t="str">
            <v>ESE</v>
          </cell>
          <cell r="E473" t="str">
            <v>NW</v>
          </cell>
          <cell r="F473" t="str">
            <v>NW</v>
          </cell>
          <cell r="G473" t="str">
            <v>NW</v>
          </cell>
          <cell r="H473" t="str">
            <v>WNW</v>
          </cell>
          <cell r="I473" t="str">
            <v>WNW</v>
          </cell>
          <cell r="J473" t="str">
            <v>WNW</v>
          </cell>
          <cell r="K473" t="str">
            <v>WNW</v>
          </cell>
          <cell r="L473" t="str">
            <v>NW</v>
          </cell>
          <cell r="M473" t="str">
            <v>ESE</v>
          </cell>
          <cell r="N473" t="str">
            <v>ESE</v>
          </cell>
          <cell r="O473" t="str">
            <v>ESE</v>
          </cell>
          <cell r="P473" t="str">
            <v>WNW</v>
          </cell>
        </row>
        <row r="474">
          <cell r="D474">
            <v>9</v>
          </cell>
          <cell r="E474">
            <v>9</v>
          </cell>
          <cell r="F474">
            <v>10</v>
          </cell>
          <cell r="G474">
            <v>10</v>
          </cell>
          <cell r="H474">
            <v>9</v>
          </cell>
          <cell r="I474">
            <v>8</v>
          </cell>
          <cell r="J474">
            <v>8</v>
          </cell>
          <cell r="K474">
            <v>7</v>
          </cell>
          <cell r="L474">
            <v>8</v>
          </cell>
          <cell r="M474">
            <v>9</v>
          </cell>
          <cell r="N474">
            <v>10</v>
          </cell>
          <cell r="O474">
            <v>9</v>
          </cell>
          <cell r="P474">
            <v>9</v>
          </cell>
        </row>
        <row r="475">
          <cell r="D475">
            <v>56</v>
          </cell>
          <cell r="E475">
            <v>56</v>
          </cell>
          <cell r="F475">
            <v>59</v>
          </cell>
          <cell r="G475">
            <v>58</v>
          </cell>
          <cell r="H475">
            <v>55</v>
          </cell>
          <cell r="I475">
            <v>52</v>
          </cell>
          <cell r="J475">
            <v>54</v>
          </cell>
          <cell r="K475">
            <v>56</v>
          </cell>
          <cell r="L475">
            <v>54</v>
          </cell>
          <cell r="M475">
            <v>61</v>
          </cell>
          <cell r="N475">
            <v>61</v>
          </cell>
          <cell r="O475">
            <v>58</v>
          </cell>
          <cell r="P475">
            <v>61</v>
          </cell>
        </row>
        <row r="476">
          <cell r="D476"/>
          <cell r="E476"/>
          <cell r="F476"/>
          <cell r="G476"/>
          <cell r="H476"/>
          <cell r="I476"/>
          <cell r="K476"/>
          <cell r="L476"/>
          <cell r="M476"/>
          <cell r="N476"/>
          <cell r="O476"/>
          <cell r="P476"/>
        </row>
        <row r="477">
          <cell r="B477" t="str">
            <v>Duluth</v>
          </cell>
          <cell r="D477" t="str">
            <v>WNW</v>
          </cell>
          <cell r="E477" t="str">
            <v>NW</v>
          </cell>
          <cell r="F477" t="str">
            <v>E</v>
          </cell>
          <cell r="G477" t="str">
            <v>E</v>
          </cell>
          <cell r="H477" t="str">
            <v>E</v>
          </cell>
          <cell r="I477" t="str">
            <v>ESE</v>
          </cell>
          <cell r="J477" t="str">
            <v>WNW</v>
          </cell>
          <cell r="K477" t="str">
            <v>ESE</v>
          </cell>
          <cell r="L477" t="str">
            <v>WNW</v>
          </cell>
          <cell r="M477" t="str">
            <v>WNW</v>
          </cell>
          <cell r="N477" t="str">
            <v>WNW</v>
          </cell>
          <cell r="O477" t="str">
            <v>NW</v>
          </cell>
          <cell r="P477" t="str">
            <v>WNW</v>
          </cell>
        </row>
        <row r="478">
          <cell r="D478">
            <v>12</v>
          </cell>
          <cell r="E478">
            <v>12</v>
          </cell>
          <cell r="F478">
            <v>12</v>
          </cell>
          <cell r="G478">
            <v>13</v>
          </cell>
          <cell r="H478">
            <v>12</v>
          </cell>
          <cell r="I478">
            <v>11</v>
          </cell>
          <cell r="J478">
            <v>10</v>
          </cell>
          <cell r="K478">
            <v>10</v>
          </cell>
          <cell r="L478">
            <v>11</v>
          </cell>
          <cell r="M478">
            <v>12</v>
          </cell>
          <cell r="N478">
            <v>12</v>
          </cell>
          <cell r="O478">
            <v>12</v>
          </cell>
          <cell r="P478">
            <v>11</v>
          </cell>
        </row>
        <row r="479">
          <cell r="D479">
            <v>56</v>
          </cell>
          <cell r="E479">
            <v>47</v>
          </cell>
          <cell r="F479">
            <v>71</v>
          </cell>
          <cell r="G479">
            <v>60</v>
          </cell>
          <cell r="H479">
            <v>59</v>
          </cell>
          <cell r="I479">
            <v>69</v>
          </cell>
          <cell r="J479">
            <v>64</v>
          </cell>
          <cell r="K479">
            <v>46</v>
          </cell>
          <cell r="L479">
            <v>60</v>
          </cell>
          <cell r="M479">
            <v>70</v>
          </cell>
          <cell r="N479">
            <v>55</v>
          </cell>
          <cell r="O479">
            <v>49</v>
          </cell>
          <cell r="P479">
            <v>71</v>
          </cell>
        </row>
        <row r="480">
          <cell r="B480" t="str">
            <v>International Falls</v>
          </cell>
          <cell r="D480" t="str">
            <v>WNW</v>
          </cell>
          <cell r="E480" t="str">
            <v>WNW</v>
          </cell>
          <cell r="F480" t="str">
            <v>WNW</v>
          </cell>
          <cell r="G480" t="str">
            <v>WNW</v>
          </cell>
          <cell r="H480" t="str">
            <v>WNW</v>
          </cell>
          <cell r="I480" t="str">
            <v>WNW</v>
          </cell>
          <cell r="J480" t="str">
            <v>ENE</v>
          </cell>
          <cell r="K480" t="str">
            <v>ENE</v>
          </cell>
          <cell r="L480" t="str">
            <v>S</v>
          </cell>
          <cell r="M480" t="str">
            <v>S</v>
          </cell>
          <cell r="N480" t="str">
            <v>S</v>
          </cell>
          <cell r="O480" t="str">
            <v>S</v>
          </cell>
          <cell r="P480" t="str">
            <v>WNW</v>
          </cell>
        </row>
        <row r="481">
          <cell r="D481">
            <v>9</v>
          </cell>
          <cell r="E481">
            <v>9</v>
          </cell>
          <cell r="F481">
            <v>9</v>
          </cell>
          <cell r="G481">
            <v>10</v>
          </cell>
          <cell r="H481">
            <v>9</v>
          </cell>
          <cell r="I481">
            <v>8</v>
          </cell>
          <cell r="J481">
            <v>7</v>
          </cell>
          <cell r="K481">
            <v>7</v>
          </cell>
          <cell r="L481">
            <v>8</v>
          </cell>
          <cell r="M481">
            <v>9</v>
          </cell>
          <cell r="N481">
            <v>10</v>
          </cell>
          <cell r="O481">
            <v>9</v>
          </cell>
          <cell r="P481">
            <v>9</v>
          </cell>
        </row>
        <row r="482">
          <cell r="D482">
            <v>53</v>
          </cell>
          <cell r="E482">
            <v>45</v>
          </cell>
          <cell r="F482">
            <v>52</v>
          </cell>
          <cell r="G482">
            <v>51</v>
          </cell>
          <cell r="H482">
            <v>58</v>
          </cell>
          <cell r="I482">
            <v>56</v>
          </cell>
          <cell r="J482">
            <v>62</v>
          </cell>
          <cell r="K482">
            <v>67</v>
          </cell>
          <cell r="L482">
            <v>46</v>
          </cell>
          <cell r="M482">
            <v>46</v>
          </cell>
          <cell r="N482">
            <v>47</v>
          </cell>
          <cell r="O482">
            <v>41</v>
          </cell>
          <cell r="P482">
            <v>67</v>
          </cell>
        </row>
        <row r="483">
          <cell r="B483" t="str">
            <v>Minneapolis</v>
          </cell>
          <cell r="D483" t="str">
            <v>NW</v>
          </cell>
          <cell r="E483" t="str">
            <v>NW</v>
          </cell>
          <cell r="F483" t="str">
            <v>NW</v>
          </cell>
          <cell r="G483" t="str">
            <v>N</v>
          </cell>
          <cell r="H483" t="str">
            <v>ESE</v>
          </cell>
          <cell r="I483" t="str">
            <v>ESE</v>
          </cell>
          <cell r="J483" t="str">
            <v>S</v>
          </cell>
          <cell r="K483" t="str">
            <v>S</v>
          </cell>
          <cell r="L483" t="str">
            <v>S</v>
          </cell>
          <cell r="M483" t="str">
            <v>NW</v>
          </cell>
          <cell r="N483" t="str">
            <v>NW</v>
          </cell>
          <cell r="O483" t="str">
            <v>NW</v>
          </cell>
          <cell r="P483" t="str">
            <v>NW</v>
          </cell>
        </row>
        <row r="484">
          <cell r="D484">
            <v>11</v>
          </cell>
          <cell r="E484">
            <v>10</v>
          </cell>
          <cell r="F484">
            <v>11</v>
          </cell>
          <cell r="G484">
            <v>12</v>
          </cell>
          <cell r="H484">
            <v>11</v>
          </cell>
          <cell r="I484">
            <v>11</v>
          </cell>
          <cell r="J484">
            <v>10</v>
          </cell>
          <cell r="K484">
            <v>9</v>
          </cell>
          <cell r="L484">
            <v>10</v>
          </cell>
          <cell r="M484">
            <v>11</v>
          </cell>
          <cell r="N484">
            <v>11</v>
          </cell>
          <cell r="O484">
            <v>10</v>
          </cell>
          <cell r="P484">
            <v>11</v>
          </cell>
        </row>
        <row r="485">
          <cell r="D485">
            <v>67</v>
          </cell>
          <cell r="E485">
            <v>55</v>
          </cell>
          <cell r="F485">
            <v>60</v>
          </cell>
          <cell r="G485">
            <v>61</v>
          </cell>
          <cell r="H485">
            <v>67</v>
          </cell>
          <cell r="I485">
            <v>53</v>
          </cell>
          <cell r="J485">
            <v>62</v>
          </cell>
          <cell r="K485">
            <v>71</v>
          </cell>
          <cell r="L485">
            <v>52</v>
          </cell>
          <cell r="M485">
            <v>57</v>
          </cell>
          <cell r="N485">
            <v>66</v>
          </cell>
          <cell r="O485">
            <v>48</v>
          </cell>
          <cell r="P485">
            <v>71</v>
          </cell>
        </row>
        <row r="486">
          <cell r="B486" t="str">
            <v>Rochester</v>
          </cell>
          <cell r="D486" t="str">
            <v>NW</v>
          </cell>
          <cell r="E486" t="str">
            <v>NW</v>
          </cell>
          <cell r="F486" t="str">
            <v>NW</v>
          </cell>
          <cell r="G486" t="str">
            <v>NW</v>
          </cell>
          <cell r="H486" t="str">
            <v>NW</v>
          </cell>
          <cell r="I486" t="str">
            <v>NW</v>
          </cell>
          <cell r="J486" t="str">
            <v>NW</v>
          </cell>
          <cell r="K486" t="str">
            <v>NW</v>
          </cell>
          <cell r="L486" t="str">
            <v>NW</v>
          </cell>
          <cell r="M486" t="str">
            <v>NW</v>
          </cell>
          <cell r="N486" t="str">
            <v>NW</v>
          </cell>
          <cell r="O486" t="str">
            <v>NW</v>
          </cell>
          <cell r="P486" t="str">
            <v>NW</v>
          </cell>
        </row>
        <row r="487">
          <cell r="D487">
            <v>13</v>
          </cell>
          <cell r="E487">
            <v>13</v>
          </cell>
          <cell r="F487">
            <v>13</v>
          </cell>
          <cell r="G487">
            <v>14</v>
          </cell>
          <cell r="H487">
            <v>12</v>
          </cell>
          <cell r="I487">
            <v>11</v>
          </cell>
          <cell r="J487">
            <v>10</v>
          </cell>
          <cell r="K487">
            <v>10</v>
          </cell>
          <cell r="L487">
            <v>11</v>
          </cell>
          <cell r="M487">
            <v>12</v>
          </cell>
          <cell r="N487">
            <v>13</v>
          </cell>
          <cell r="O487">
            <v>13</v>
          </cell>
          <cell r="P487">
            <v>12</v>
          </cell>
        </row>
        <row r="488">
          <cell r="D488">
            <v>69</v>
          </cell>
          <cell r="E488">
            <v>55</v>
          </cell>
          <cell r="F488">
            <v>68</v>
          </cell>
          <cell r="G488">
            <v>85</v>
          </cell>
          <cell r="H488">
            <v>74</v>
          </cell>
          <cell r="I488">
            <v>69</v>
          </cell>
          <cell r="J488">
            <v>71</v>
          </cell>
          <cell r="K488">
            <v>64</v>
          </cell>
          <cell r="L488">
            <v>64</v>
          </cell>
          <cell r="M488">
            <v>62</v>
          </cell>
          <cell r="N488">
            <v>67</v>
          </cell>
          <cell r="O488">
            <v>56</v>
          </cell>
          <cell r="P488">
            <v>85</v>
          </cell>
        </row>
        <row r="489">
          <cell r="B489" t="str">
            <v>Saint Cloud</v>
          </cell>
          <cell r="D489" t="str">
            <v>NW</v>
          </cell>
          <cell r="E489" t="str">
            <v>NW</v>
          </cell>
          <cell r="F489" t="str">
            <v>NW</v>
          </cell>
          <cell r="G489" t="str">
            <v>NW</v>
          </cell>
          <cell r="H489" t="str">
            <v>S</v>
          </cell>
          <cell r="I489" t="str">
            <v>S</v>
          </cell>
          <cell r="J489" t="str">
            <v>S</v>
          </cell>
          <cell r="K489" t="str">
            <v>S</v>
          </cell>
          <cell r="L489" t="str">
            <v>S</v>
          </cell>
          <cell r="M489" t="str">
            <v>NW</v>
          </cell>
          <cell r="N489" t="str">
            <v>NW</v>
          </cell>
          <cell r="O489" t="str">
            <v>NW</v>
          </cell>
          <cell r="P489" t="str">
            <v>NW</v>
          </cell>
        </row>
        <row r="490">
          <cell r="D490">
            <v>8</v>
          </cell>
          <cell r="E490">
            <v>8</v>
          </cell>
          <cell r="F490">
            <v>9</v>
          </cell>
          <cell r="G490">
            <v>10</v>
          </cell>
          <cell r="H490">
            <v>9</v>
          </cell>
          <cell r="I490">
            <v>8</v>
          </cell>
          <cell r="J490">
            <v>7</v>
          </cell>
          <cell r="K490">
            <v>7</v>
          </cell>
          <cell r="L490">
            <v>7</v>
          </cell>
          <cell r="M490">
            <v>9</v>
          </cell>
          <cell r="N490">
            <v>9</v>
          </cell>
          <cell r="O490">
            <v>8</v>
          </cell>
          <cell r="P490">
            <v>8</v>
          </cell>
        </row>
        <row r="491">
          <cell r="D491">
            <v>58</v>
          </cell>
          <cell r="E491">
            <v>48</v>
          </cell>
          <cell r="F491">
            <v>46</v>
          </cell>
          <cell r="G491">
            <v>78</v>
          </cell>
          <cell r="H491">
            <v>51</v>
          </cell>
          <cell r="I491">
            <v>74</v>
          </cell>
          <cell r="J491">
            <v>55</v>
          </cell>
          <cell r="K491">
            <v>53</v>
          </cell>
          <cell r="L491">
            <v>45</v>
          </cell>
          <cell r="M491">
            <v>54</v>
          </cell>
          <cell r="N491">
            <v>53</v>
          </cell>
          <cell r="O491">
            <v>53</v>
          </cell>
          <cell r="P491">
            <v>78</v>
          </cell>
        </row>
        <row r="492">
          <cell r="N492"/>
        </row>
        <row r="493">
          <cell r="B493" t="str">
            <v>Biloxi</v>
          </cell>
          <cell r="D493" t="str">
            <v>N</v>
          </cell>
          <cell r="E493" t="str">
            <v>N</v>
          </cell>
          <cell r="F493" t="str">
            <v>SSE</v>
          </cell>
          <cell r="G493" t="str">
            <v>SSE</v>
          </cell>
          <cell r="H493" t="str">
            <v>SSE</v>
          </cell>
          <cell r="I493" t="str">
            <v>SSW</v>
          </cell>
          <cell r="J493" t="str">
            <v>SSW</v>
          </cell>
          <cell r="K493" t="str">
            <v>N</v>
          </cell>
          <cell r="L493" t="str">
            <v>NNE</v>
          </cell>
          <cell r="M493" t="str">
            <v>NNE</v>
          </cell>
          <cell r="N493" t="str">
            <v>N</v>
          </cell>
          <cell r="O493" t="str">
            <v>N</v>
          </cell>
          <cell r="P493" t="str">
            <v>N</v>
          </cell>
        </row>
        <row r="494">
          <cell r="D494">
            <v>7</v>
          </cell>
          <cell r="E494">
            <v>7</v>
          </cell>
          <cell r="F494">
            <v>7</v>
          </cell>
          <cell r="G494">
            <v>7</v>
          </cell>
          <cell r="H494">
            <v>6</v>
          </cell>
          <cell r="I494">
            <v>6</v>
          </cell>
          <cell r="J494">
            <v>5</v>
          </cell>
          <cell r="K494">
            <v>5</v>
          </cell>
          <cell r="L494">
            <v>5</v>
          </cell>
          <cell r="M494">
            <v>5</v>
          </cell>
          <cell r="N494">
            <v>6</v>
          </cell>
          <cell r="O494">
            <v>7</v>
          </cell>
          <cell r="P494">
            <v>6</v>
          </cell>
        </row>
        <row r="495">
          <cell r="D495">
            <v>69</v>
          </cell>
          <cell r="E495">
            <v>62</v>
          </cell>
          <cell r="F495">
            <v>58</v>
          </cell>
          <cell r="G495">
            <v>70</v>
          </cell>
          <cell r="H495">
            <v>68</v>
          </cell>
          <cell r="I495">
            <v>67</v>
          </cell>
          <cell r="J495">
            <v>64</v>
          </cell>
          <cell r="K495">
            <v>128</v>
          </cell>
          <cell r="L495">
            <v>98</v>
          </cell>
          <cell r="M495">
            <v>59</v>
          </cell>
          <cell r="N495">
            <v>54</v>
          </cell>
          <cell r="O495">
            <v>53</v>
          </cell>
          <cell r="P495">
            <v>128</v>
          </cell>
        </row>
        <row r="496">
          <cell r="B496" t="str">
            <v>Jackson</v>
          </cell>
          <cell r="D496" t="str">
            <v>N</v>
          </cell>
          <cell r="E496" t="str">
            <v>N</v>
          </cell>
          <cell r="F496" t="str">
            <v>N</v>
          </cell>
          <cell r="G496" t="str">
            <v>N</v>
          </cell>
          <cell r="H496" t="str">
            <v>NNW</v>
          </cell>
          <cell r="I496" t="str">
            <v>NNW</v>
          </cell>
          <cell r="J496" t="str">
            <v>NNW</v>
          </cell>
          <cell r="K496" t="str">
            <v>NNW</v>
          </cell>
          <cell r="L496" t="str">
            <v>S</v>
          </cell>
          <cell r="M496" t="str">
            <v>S</v>
          </cell>
          <cell r="N496" t="str">
            <v>S</v>
          </cell>
          <cell r="O496" t="str">
            <v>S</v>
          </cell>
          <cell r="P496" t="str">
            <v>NNW</v>
          </cell>
        </row>
        <row r="497">
          <cell r="D497">
            <v>8</v>
          </cell>
          <cell r="E497">
            <v>8</v>
          </cell>
          <cell r="F497">
            <v>9</v>
          </cell>
          <cell r="G497">
            <v>8</v>
          </cell>
          <cell r="H497">
            <v>7</v>
          </cell>
          <cell r="I497">
            <v>6</v>
          </cell>
          <cell r="J497">
            <v>6</v>
          </cell>
          <cell r="K497">
            <v>5</v>
          </cell>
          <cell r="L497">
            <v>6</v>
          </cell>
          <cell r="M497">
            <v>6</v>
          </cell>
          <cell r="N497">
            <v>7</v>
          </cell>
          <cell r="O497">
            <v>8</v>
          </cell>
          <cell r="P497">
            <v>7</v>
          </cell>
        </row>
        <row r="498">
          <cell r="D498">
            <v>40</v>
          </cell>
          <cell r="E498">
            <v>34</v>
          </cell>
          <cell r="F498">
            <v>40</v>
          </cell>
          <cell r="G498">
            <v>54</v>
          </cell>
          <cell r="H498">
            <v>33</v>
          </cell>
          <cell r="I498">
            <v>47</v>
          </cell>
          <cell r="J498">
            <v>41</v>
          </cell>
          <cell r="K498">
            <v>40</v>
          </cell>
          <cell r="L498">
            <v>36</v>
          </cell>
          <cell r="M498">
            <v>34</v>
          </cell>
          <cell r="N498">
            <v>33</v>
          </cell>
          <cell r="O498">
            <v>46</v>
          </cell>
          <cell r="P498">
            <v>54</v>
          </cell>
        </row>
        <row r="499">
          <cell r="B499" t="str">
            <v>Meridian</v>
          </cell>
          <cell r="D499" t="str">
            <v>S</v>
          </cell>
          <cell r="E499" t="str">
            <v>S</v>
          </cell>
          <cell r="F499" t="str">
            <v>S</v>
          </cell>
          <cell r="G499" t="str">
            <v>S</v>
          </cell>
          <cell r="H499" t="str">
            <v>S</v>
          </cell>
          <cell r="I499" t="str">
            <v>S</v>
          </cell>
          <cell r="J499" t="str">
            <v>S</v>
          </cell>
          <cell r="K499" t="str">
            <v>S</v>
          </cell>
          <cell r="L499" t="str">
            <v>N</v>
          </cell>
          <cell r="M499" t="str">
            <v>N</v>
          </cell>
          <cell r="N499" t="str">
            <v>S</v>
          </cell>
          <cell r="O499" t="str">
            <v>S</v>
          </cell>
          <cell r="P499" t="str">
            <v>S</v>
          </cell>
        </row>
        <row r="500">
          <cell r="D500">
            <v>7</v>
          </cell>
          <cell r="E500">
            <v>8</v>
          </cell>
          <cell r="F500">
            <v>8</v>
          </cell>
          <cell r="G500">
            <v>7</v>
          </cell>
          <cell r="H500">
            <v>6</v>
          </cell>
          <cell r="I500">
            <v>5</v>
          </cell>
          <cell r="J500">
            <v>5</v>
          </cell>
          <cell r="K500">
            <v>5</v>
          </cell>
          <cell r="L500">
            <v>5</v>
          </cell>
          <cell r="M500">
            <v>5</v>
          </cell>
          <cell r="N500">
            <v>7</v>
          </cell>
          <cell r="O500">
            <v>7</v>
          </cell>
          <cell r="P500">
            <v>6</v>
          </cell>
        </row>
        <row r="501">
          <cell r="D501">
            <v>53</v>
          </cell>
          <cell r="E501">
            <v>55</v>
          </cell>
          <cell r="F501">
            <v>64</v>
          </cell>
          <cell r="G501">
            <v>66</v>
          </cell>
          <cell r="H501">
            <v>47</v>
          </cell>
          <cell r="I501">
            <v>64</v>
          </cell>
          <cell r="J501">
            <v>66</v>
          </cell>
          <cell r="K501">
            <v>56</v>
          </cell>
          <cell r="L501">
            <v>38</v>
          </cell>
          <cell r="M501">
            <v>45</v>
          </cell>
          <cell r="N501">
            <v>54</v>
          </cell>
          <cell r="O501">
            <v>68</v>
          </cell>
          <cell r="P501">
            <v>68</v>
          </cell>
        </row>
        <row r="502">
          <cell r="B502" t="str">
            <v>Tupelo</v>
          </cell>
          <cell r="D502" t="str">
            <v>N</v>
          </cell>
          <cell r="E502" t="str">
            <v>N</v>
          </cell>
          <cell r="F502" t="str">
            <v>N</v>
          </cell>
          <cell r="G502" t="str">
            <v>N</v>
          </cell>
          <cell r="H502" t="str">
            <v>S</v>
          </cell>
          <cell r="I502" t="str">
            <v>S</v>
          </cell>
          <cell r="J502" t="str">
            <v>S</v>
          </cell>
          <cell r="K502" t="str">
            <v>S</v>
          </cell>
          <cell r="L502" t="str">
            <v>S</v>
          </cell>
          <cell r="M502" t="str">
            <v>S</v>
          </cell>
          <cell r="N502" t="str">
            <v>S</v>
          </cell>
          <cell r="O502" t="str">
            <v>S</v>
          </cell>
          <cell r="P502" t="str">
            <v>S</v>
          </cell>
        </row>
        <row r="503">
          <cell r="D503">
            <v>7</v>
          </cell>
          <cell r="E503">
            <v>8</v>
          </cell>
          <cell r="F503">
            <v>8</v>
          </cell>
          <cell r="G503">
            <v>8</v>
          </cell>
          <cell r="H503">
            <v>7</v>
          </cell>
          <cell r="I503">
            <v>6</v>
          </cell>
          <cell r="J503">
            <v>6</v>
          </cell>
          <cell r="K503">
            <v>5</v>
          </cell>
          <cell r="L503">
            <v>6</v>
          </cell>
          <cell r="M503">
            <v>6</v>
          </cell>
          <cell r="N503">
            <v>7</v>
          </cell>
          <cell r="O503">
            <v>7</v>
          </cell>
          <cell r="P503">
            <v>7</v>
          </cell>
        </row>
        <row r="504">
          <cell r="D504">
            <v>53</v>
          </cell>
          <cell r="E504">
            <v>39</v>
          </cell>
          <cell r="F504">
            <v>39</v>
          </cell>
          <cell r="G504">
            <v>36</v>
          </cell>
          <cell r="H504">
            <v>43</v>
          </cell>
          <cell r="I504">
            <v>40</v>
          </cell>
          <cell r="J504">
            <v>54</v>
          </cell>
          <cell r="K504">
            <v>34</v>
          </cell>
          <cell r="L504">
            <v>43</v>
          </cell>
          <cell r="M504">
            <v>45</v>
          </cell>
          <cell r="N504">
            <v>38</v>
          </cell>
          <cell r="O504">
            <v>31</v>
          </cell>
          <cell r="P504">
            <v>54</v>
          </cell>
        </row>
        <row r="505">
          <cell r="C505"/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</row>
        <row r="506">
          <cell r="B506" t="str">
            <v>Columbia</v>
          </cell>
          <cell r="C506"/>
          <cell r="D506" t="str">
            <v>WNW</v>
          </cell>
          <cell r="E506" t="str">
            <v>WNW</v>
          </cell>
          <cell r="F506" t="str">
            <v>WNW</v>
          </cell>
          <cell r="G506" t="str">
            <v>S</v>
          </cell>
          <cell r="H506" t="str">
            <v>S</v>
          </cell>
          <cell r="I506" t="str">
            <v>S</v>
          </cell>
          <cell r="J506" t="str">
            <v>S</v>
          </cell>
          <cell r="K506" t="str">
            <v>S</v>
          </cell>
          <cell r="L506" t="str">
            <v>S</v>
          </cell>
          <cell r="M506" t="str">
            <v>S</v>
          </cell>
          <cell r="N506" t="str">
            <v>S</v>
          </cell>
          <cell r="O506" t="str">
            <v>WNW</v>
          </cell>
          <cell r="P506" t="str">
            <v>S</v>
          </cell>
        </row>
        <row r="507">
          <cell r="B507"/>
          <cell r="C507"/>
          <cell r="D507">
            <v>11</v>
          </cell>
          <cell r="E507">
            <v>11</v>
          </cell>
          <cell r="F507">
            <v>12</v>
          </cell>
          <cell r="G507">
            <v>12</v>
          </cell>
          <cell r="H507">
            <v>9</v>
          </cell>
          <cell r="I507">
            <v>9</v>
          </cell>
          <cell r="J507">
            <v>8</v>
          </cell>
          <cell r="K507">
            <v>8</v>
          </cell>
          <cell r="L507">
            <v>9</v>
          </cell>
          <cell r="M507">
            <v>10</v>
          </cell>
          <cell r="N507">
            <v>11</v>
          </cell>
          <cell r="O507">
            <v>11</v>
          </cell>
          <cell r="P507">
            <v>10</v>
          </cell>
        </row>
        <row r="508">
          <cell r="B508"/>
          <cell r="C508"/>
          <cell r="D508">
            <v>53</v>
          </cell>
          <cell r="E508">
            <v>63</v>
          </cell>
          <cell r="F508">
            <v>66</v>
          </cell>
          <cell r="G508">
            <v>69</v>
          </cell>
          <cell r="H508">
            <v>58</v>
          </cell>
          <cell r="I508">
            <v>95</v>
          </cell>
          <cell r="J508">
            <v>64</v>
          </cell>
          <cell r="K508">
            <v>62</v>
          </cell>
          <cell r="L508">
            <v>54</v>
          </cell>
          <cell r="M508">
            <v>59</v>
          </cell>
          <cell r="N508">
            <v>51</v>
          </cell>
          <cell r="O508">
            <v>55</v>
          </cell>
          <cell r="P508">
            <v>95</v>
          </cell>
        </row>
        <row r="509">
          <cell r="B509" t="str">
            <v>Kansas City</v>
          </cell>
          <cell r="C509"/>
          <cell r="D509" t="str">
            <v>SSW</v>
          </cell>
          <cell r="E509" t="str">
            <v>SSW</v>
          </cell>
          <cell r="F509" t="str">
            <v>S</v>
          </cell>
          <cell r="G509" t="str">
            <v>S</v>
          </cell>
          <cell r="H509" t="str">
            <v>S</v>
          </cell>
          <cell r="I509" t="str">
            <v>S</v>
          </cell>
          <cell r="J509" t="str">
            <v>S</v>
          </cell>
          <cell r="K509" t="str">
            <v>S</v>
          </cell>
          <cell r="L509" t="str">
            <v>S</v>
          </cell>
          <cell r="M509" t="str">
            <v>S</v>
          </cell>
          <cell r="N509" t="str">
            <v>S</v>
          </cell>
          <cell r="O509" t="str">
            <v>S</v>
          </cell>
          <cell r="P509" t="str">
            <v>S</v>
          </cell>
        </row>
        <row r="510">
          <cell r="B510"/>
          <cell r="C510"/>
          <cell r="D510">
            <v>11</v>
          </cell>
          <cell r="E510">
            <v>11</v>
          </cell>
          <cell r="F510">
            <v>12</v>
          </cell>
          <cell r="G510">
            <v>12</v>
          </cell>
          <cell r="H510">
            <v>10</v>
          </cell>
          <cell r="I510">
            <v>10</v>
          </cell>
          <cell r="J510">
            <v>9</v>
          </cell>
          <cell r="K510">
            <v>9</v>
          </cell>
          <cell r="L510">
            <v>10</v>
          </cell>
          <cell r="M510">
            <v>11</v>
          </cell>
          <cell r="N510">
            <v>11</v>
          </cell>
          <cell r="O510">
            <v>11</v>
          </cell>
          <cell r="P510">
            <v>11</v>
          </cell>
        </row>
        <row r="511">
          <cell r="B511"/>
          <cell r="C511"/>
          <cell r="D511">
            <v>58</v>
          </cell>
          <cell r="E511">
            <v>56</v>
          </cell>
          <cell r="F511">
            <v>63</v>
          </cell>
          <cell r="G511">
            <v>62</v>
          </cell>
          <cell r="H511">
            <v>59</v>
          </cell>
          <cell r="I511">
            <v>67</v>
          </cell>
          <cell r="J511">
            <v>75</v>
          </cell>
          <cell r="K511">
            <v>54</v>
          </cell>
          <cell r="L511">
            <v>63</v>
          </cell>
          <cell r="M511">
            <v>60</v>
          </cell>
          <cell r="N511">
            <v>52</v>
          </cell>
          <cell r="O511">
            <v>55</v>
          </cell>
          <cell r="P511">
            <v>75</v>
          </cell>
        </row>
        <row r="512">
          <cell r="B512" t="str">
            <v>Saint Louis</v>
          </cell>
          <cell r="C512"/>
          <cell r="D512" t="str">
            <v>WNW</v>
          </cell>
          <cell r="E512" t="str">
            <v>WNW</v>
          </cell>
          <cell r="F512" t="str">
            <v>WNW</v>
          </cell>
          <cell r="G512" t="str">
            <v>WNW</v>
          </cell>
          <cell r="H512" t="str">
            <v>S</v>
          </cell>
          <cell r="I512" t="str">
            <v>S</v>
          </cell>
          <cell r="J512" t="str">
            <v>S</v>
          </cell>
          <cell r="K512" t="str">
            <v>S</v>
          </cell>
          <cell r="L512" t="str">
            <v>S</v>
          </cell>
          <cell r="M512" t="str">
            <v>SSE</v>
          </cell>
          <cell r="N512" t="str">
            <v>WNW</v>
          </cell>
          <cell r="O512" t="str">
            <v>WNW</v>
          </cell>
          <cell r="P512" t="str">
            <v>WNW</v>
          </cell>
        </row>
        <row r="513">
          <cell r="B513"/>
          <cell r="C513"/>
          <cell r="D513">
            <v>11</v>
          </cell>
          <cell r="E513">
            <v>11</v>
          </cell>
          <cell r="F513">
            <v>12</v>
          </cell>
          <cell r="G513">
            <v>11</v>
          </cell>
          <cell r="H513">
            <v>9</v>
          </cell>
          <cell r="I513">
            <v>9</v>
          </cell>
          <cell r="J513">
            <v>8</v>
          </cell>
          <cell r="K513">
            <v>7</v>
          </cell>
          <cell r="L513">
            <v>8</v>
          </cell>
          <cell r="M513">
            <v>9</v>
          </cell>
          <cell r="N513">
            <v>10</v>
          </cell>
          <cell r="O513">
            <v>10</v>
          </cell>
          <cell r="P513">
            <v>10</v>
          </cell>
        </row>
        <row r="514">
          <cell r="B514"/>
          <cell r="C514"/>
          <cell r="D514">
            <v>53</v>
          </cell>
          <cell r="E514">
            <v>66</v>
          </cell>
          <cell r="F514">
            <v>66</v>
          </cell>
          <cell r="G514">
            <v>71</v>
          </cell>
          <cell r="H514">
            <v>62</v>
          </cell>
          <cell r="I514">
            <v>60</v>
          </cell>
          <cell r="J514">
            <v>72</v>
          </cell>
          <cell r="K514">
            <v>53</v>
          </cell>
          <cell r="L514">
            <v>49</v>
          </cell>
          <cell r="M514">
            <v>58</v>
          </cell>
          <cell r="N514">
            <v>64</v>
          </cell>
          <cell r="O514">
            <v>55</v>
          </cell>
          <cell r="P514">
            <v>72</v>
          </cell>
        </row>
        <row r="515">
          <cell r="B515" t="str">
            <v>Springfield</v>
          </cell>
          <cell r="C515"/>
          <cell r="D515" t="str">
            <v>SSE</v>
          </cell>
          <cell r="E515" t="str">
            <v>SSE</v>
          </cell>
          <cell r="F515" t="str">
            <v>SSE</v>
          </cell>
          <cell r="G515" t="str">
            <v>SSE</v>
          </cell>
          <cell r="H515" t="str">
            <v>SSE</v>
          </cell>
          <cell r="I515" t="str">
            <v>S</v>
          </cell>
          <cell r="J515" t="str">
            <v>S</v>
          </cell>
          <cell r="K515" t="str">
            <v>SSE</v>
          </cell>
          <cell r="L515" t="str">
            <v>SSE</v>
          </cell>
          <cell r="M515" t="str">
            <v>SSE</v>
          </cell>
          <cell r="N515" t="str">
            <v>SSE</v>
          </cell>
          <cell r="O515" t="str">
            <v>SSE</v>
          </cell>
          <cell r="P515" t="str">
            <v>SSE</v>
          </cell>
        </row>
        <row r="516">
          <cell r="B516"/>
          <cell r="C516"/>
          <cell r="D516">
            <v>12</v>
          </cell>
          <cell r="E516">
            <v>12</v>
          </cell>
          <cell r="F516">
            <v>13</v>
          </cell>
          <cell r="G516">
            <v>12</v>
          </cell>
          <cell r="H516">
            <v>10</v>
          </cell>
          <cell r="I516">
            <v>10</v>
          </cell>
          <cell r="J516">
            <v>9</v>
          </cell>
          <cell r="K516">
            <v>9</v>
          </cell>
          <cell r="L516">
            <v>9</v>
          </cell>
          <cell r="M516">
            <v>10</v>
          </cell>
          <cell r="N516">
            <v>11</v>
          </cell>
          <cell r="O516">
            <v>11</v>
          </cell>
          <cell r="P516">
            <v>11</v>
          </cell>
        </row>
        <row r="517">
          <cell r="B517"/>
          <cell r="C517"/>
          <cell r="D517">
            <v>48</v>
          </cell>
          <cell r="E517">
            <v>52</v>
          </cell>
          <cell r="F517">
            <v>52</v>
          </cell>
          <cell r="G517">
            <v>53</v>
          </cell>
          <cell r="H517">
            <v>49</v>
          </cell>
          <cell r="I517">
            <v>61</v>
          </cell>
          <cell r="J517">
            <v>72</v>
          </cell>
          <cell r="K517">
            <v>59</v>
          </cell>
          <cell r="L517">
            <v>49</v>
          </cell>
          <cell r="M517">
            <v>48</v>
          </cell>
          <cell r="N517">
            <v>53</v>
          </cell>
          <cell r="O517">
            <v>48</v>
          </cell>
          <cell r="P517">
            <v>72</v>
          </cell>
        </row>
        <row r="518">
          <cell r="C518"/>
          <cell r="D518"/>
          <cell r="E518"/>
          <cell r="F518"/>
          <cell r="G518"/>
          <cell r="H518"/>
          <cell r="I518"/>
          <cell r="J518"/>
          <cell r="K518"/>
          <cell r="L518"/>
          <cell r="M518"/>
          <cell r="N518"/>
          <cell r="O518"/>
          <cell r="P518"/>
        </row>
        <row r="519">
          <cell r="B519" t="str">
            <v>Billings</v>
          </cell>
          <cell r="C519"/>
          <cell r="D519" t="str">
            <v>SW</v>
          </cell>
          <cell r="E519" t="str">
            <v>SW</v>
          </cell>
          <cell r="F519" t="str">
            <v>SW</v>
          </cell>
          <cell r="G519" t="str">
            <v>SW</v>
          </cell>
          <cell r="H519" t="str">
            <v>SW</v>
          </cell>
          <cell r="I519" t="str">
            <v>SW</v>
          </cell>
          <cell r="J519" t="str">
            <v>SW</v>
          </cell>
          <cell r="K519" t="str">
            <v>SW</v>
          </cell>
          <cell r="L519" t="str">
            <v>SW</v>
          </cell>
          <cell r="M519" t="str">
            <v>SW</v>
          </cell>
          <cell r="N519" t="str">
            <v>SW</v>
          </cell>
          <cell r="O519" t="str">
            <v>SW</v>
          </cell>
          <cell r="P519" t="str">
            <v>SW</v>
          </cell>
        </row>
        <row r="520">
          <cell r="B520"/>
          <cell r="C520"/>
          <cell r="D520">
            <v>13</v>
          </cell>
          <cell r="E520">
            <v>12</v>
          </cell>
          <cell r="F520">
            <v>11</v>
          </cell>
          <cell r="G520">
            <v>11</v>
          </cell>
          <cell r="H520">
            <v>11</v>
          </cell>
          <cell r="I520">
            <v>10</v>
          </cell>
          <cell r="J520">
            <v>9</v>
          </cell>
          <cell r="K520">
            <v>9</v>
          </cell>
          <cell r="L520">
            <v>10</v>
          </cell>
          <cell r="M520">
            <v>11</v>
          </cell>
          <cell r="N520">
            <v>12</v>
          </cell>
          <cell r="O520">
            <v>13</v>
          </cell>
          <cell r="P520">
            <v>11</v>
          </cell>
        </row>
        <row r="521">
          <cell r="B521"/>
          <cell r="C521"/>
          <cell r="D521">
            <v>59</v>
          </cell>
          <cell r="E521">
            <v>62</v>
          </cell>
          <cell r="F521">
            <v>62</v>
          </cell>
          <cell r="G521">
            <v>59</v>
          </cell>
          <cell r="H521">
            <v>60</v>
          </cell>
          <cell r="I521">
            <v>54</v>
          </cell>
          <cell r="J521">
            <v>71</v>
          </cell>
          <cell r="K521">
            <v>69</v>
          </cell>
          <cell r="L521">
            <v>61</v>
          </cell>
          <cell r="M521">
            <v>64</v>
          </cell>
          <cell r="N521">
            <v>58</v>
          </cell>
          <cell r="O521">
            <v>70</v>
          </cell>
          <cell r="P521">
            <v>71</v>
          </cell>
        </row>
        <row r="522">
          <cell r="B522" t="str">
            <v>Glasgow</v>
          </cell>
          <cell r="C522"/>
          <cell r="D522" t="str">
            <v>ESE</v>
          </cell>
          <cell r="E522" t="str">
            <v>ESE</v>
          </cell>
          <cell r="F522" t="str">
            <v>ESE</v>
          </cell>
          <cell r="G522" t="str">
            <v>ESE</v>
          </cell>
          <cell r="H522" t="str">
            <v>ESE</v>
          </cell>
          <cell r="I522" t="str">
            <v>ESE</v>
          </cell>
          <cell r="J522" t="str">
            <v>ESE</v>
          </cell>
          <cell r="K522" t="str">
            <v>ESE</v>
          </cell>
          <cell r="L522" t="str">
            <v>ESE</v>
          </cell>
          <cell r="M522" t="str">
            <v>ESE</v>
          </cell>
          <cell r="N522" t="str">
            <v>ESE</v>
          </cell>
          <cell r="O522" t="str">
            <v>ESE</v>
          </cell>
          <cell r="P522" t="str">
            <v>ESE</v>
          </cell>
        </row>
        <row r="523">
          <cell r="B523"/>
          <cell r="C523"/>
          <cell r="D523">
            <v>10</v>
          </cell>
          <cell r="E523">
            <v>10</v>
          </cell>
          <cell r="F523">
            <v>11</v>
          </cell>
          <cell r="G523">
            <v>12</v>
          </cell>
          <cell r="H523">
            <v>12</v>
          </cell>
          <cell r="I523">
            <v>11</v>
          </cell>
          <cell r="J523">
            <v>10</v>
          </cell>
          <cell r="K523">
            <v>11</v>
          </cell>
          <cell r="L523">
            <v>11</v>
          </cell>
          <cell r="M523">
            <v>11</v>
          </cell>
          <cell r="N523">
            <v>10</v>
          </cell>
          <cell r="O523">
            <v>10</v>
          </cell>
          <cell r="P523">
            <v>11</v>
          </cell>
        </row>
        <row r="524">
          <cell r="B524"/>
          <cell r="C524"/>
          <cell r="D524">
            <v>37</v>
          </cell>
          <cell r="E524">
            <v>51</v>
          </cell>
          <cell r="F524">
            <v>53</v>
          </cell>
          <cell r="G524">
            <v>67</v>
          </cell>
          <cell r="H524">
            <v>48</v>
          </cell>
          <cell r="I524">
            <v>53</v>
          </cell>
          <cell r="J524">
            <v>55</v>
          </cell>
          <cell r="K524">
            <v>55</v>
          </cell>
          <cell r="L524">
            <v>44</v>
          </cell>
          <cell r="M524">
            <v>46</v>
          </cell>
          <cell r="N524">
            <v>49</v>
          </cell>
          <cell r="O524">
            <v>62</v>
          </cell>
          <cell r="P524">
            <v>67</v>
          </cell>
        </row>
        <row r="525">
          <cell r="B525" t="str">
            <v>Great Falls</v>
          </cell>
          <cell r="C525"/>
          <cell r="D525" t="str">
            <v>SW</v>
          </cell>
          <cell r="E525" t="str">
            <v>SW</v>
          </cell>
          <cell r="F525" t="str">
            <v>SW</v>
          </cell>
          <cell r="G525" t="str">
            <v>SW</v>
          </cell>
          <cell r="H525" t="str">
            <v>SW</v>
          </cell>
          <cell r="I525" t="str">
            <v>SW</v>
          </cell>
          <cell r="J525" t="str">
            <v>SW</v>
          </cell>
          <cell r="K525" t="str">
            <v>SW</v>
          </cell>
          <cell r="L525" t="str">
            <v>WSW</v>
          </cell>
          <cell r="M525" t="str">
            <v>WSW</v>
          </cell>
          <cell r="N525" t="str">
            <v>SW</v>
          </cell>
          <cell r="O525" t="str">
            <v>SW</v>
          </cell>
          <cell r="P525" t="str">
            <v>SW</v>
          </cell>
        </row>
        <row r="526">
          <cell r="B526"/>
          <cell r="C526"/>
          <cell r="D526">
            <v>15</v>
          </cell>
          <cell r="E526">
            <v>14</v>
          </cell>
          <cell r="F526">
            <v>13</v>
          </cell>
          <cell r="G526">
            <v>13</v>
          </cell>
          <cell r="H526">
            <v>11</v>
          </cell>
          <cell r="I526">
            <v>11</v>
          </cell>
          <cell r="J526">
            <v>10</v>
          </cell>
          <cell r="K526">
            <v>10</v>
          </cell>
          <cell r="L526">
            <v>11</v>
          </cell>
          <cell r="M526">
            <v>13</v>
          </cell>
          <cell r="N526">
            <v>15</v>
          </cell>
          <cell r="O526">
            <v>15</v>
          </cell>
          <cell r="P526">
            <v>13</v>
          </cell>
        </row>
        <row r="527">
          <cell r="B527"/>
          <cell r="C527"/>
          <cell r="D527">
            <v>53</v>
          </cell>
          <cell r="E527">
            <v>48</v>
          </cell>
          <cell r="F527">
            <v>52</v>
          </cell>
          <cell r="G527">
            <v>57</v>
          </cell>
          <cell r="H527">
            <v>39</v>
          </cell>
          <cell r="I527">
            <v>51</v>
          </cell>
          <cell r="J527">
            <v>49</v>
          </cell>
          <cell r="K527">
            <v>47</v>
          </cell>
          <cell r="L527">
            <v>36</v>
          </cell>
          <cell r="M527">
            <v>49</v>
          </cell>
          <cell r="N527">
            <v>54</v>
          </cell>
          <cell r="O527">
            <v>59</v>
          </cell>
          <cell r="P527">
            <v>59</v>
          </cell>
        </row>
        <row r="528">
          <cell r="B528" t="str">
            <v>Havre</v>
          </cell>
          <cell r="C528"/>
          <cell r="D528" t="str">
            <v>SW</v>
          </cell>
          <cell r="E528" t="str">
            <v>SW</v>
          </cell>
          <cell r="F528" t="str">
            <v>SW</v>
          </cell>
          <cell r="G528" t="str">
            <v>SW</v>
          </cell>
          <cell r="H528" t="str">
            <v>E</v>
          </cell>
          <cell r="I528" t="str">
            <v>SW</v>
          </cell>
          <cell r="J528" t="str">
            <v>SW</v>
          </cell>
          <cell r="K528" t="str">
            <v>W</v>
          </cell>
          <cell r="L528" t="str">
            <v>E</v>
          </cell>
          <cell r="M528" t="str">
            <v>SW</v>
          </cell>
          <cell r="N528" t="str">
            <v>SW</v>
          </cell>
          <cell r="O528" t="str">
            <v>SW</v>
          </cell>
          <cell r="P528" t="str">
            <v>SW</v>
          </cell>
        </row>
        <row r="529">
          <cell r="B529"/>
          <cell r="C529"/>
          <cell r="D529">
            <v>10</v>
          </cell>
          <cell r="E529">
            <v>10</v>
          </cell>
          <cell r="F529">
            <v>10</v>
          </cell>
          <cell r="G529">
            <v>11</v>
          </cell>
          <cell r="H529">
            <v>10</v>
          </cell>
          <cell r="I529">
            <v>10</v>
          </cell>
          <cell r="J529">
            <v>9</v>
          </cell>
          <cell r="K529">
            <v>9</v>
          </cell>
          <cell r="L529">
            <v>9</v>
          </cell>
          <cell r="M529">
            <v>10</v>
          </cell>
          <cell r="N529">
            <v>10</v>
          </cell>
          <cell r="O529">
            <v>10</v>
          </cell>
          <cell r="P529">
            <v>10</v>
          </cell>
        </row>
        <row r="530">
          <cell r="B530"/>
          <cell r="C530"/>
          <cell r="D530">
            <v>47</v>
          </cell>
          <cell r="E530">
            <v>58</v>
          </cell>
          <cell r="F530">
            <v>52</v>
          </cell>
          <cell r="G530">
            <v>59</v>
          </cell>
          <cell r="H530">
            <v>54</v>
          </cell>
          <cell r="I530">
            <v>63</v>
          </cell>
          <cell r="J530">
            <v>71</v>
          </cell>
          <cell r="K530">
            <v>59</v>
          </cell>
          <cell r="L530">
            <v>52</v>
          </cell>
          <cell r="M530">
            <v>52</v>
          </cell>
          <cell r="N530">
            <v>54</v>
          </cell>
          <cell r="O530">
            <v>48</v>
          </cell>
          <cell r="P530">
            <v>71</v>
          </cell>
        </row>
        <row r="531">
          <cell r="B531" t="str">
            <v>Helena</v>
          </cell>
          <cell r="C531"/>
          <cell r="D531" t="str">
            <v>W</v>
          </cell>
          <cell r="E531" t="str">
            <v>ENE</v>
          </cell>
          <cell r="F531" t="str">
            <v>W</v>
          </cell>
          <cell r="G531" t="str">
            <v>W</v>
          </cell>
          <cell r="H531" t="str">
            <v>W</v>
          </cell>
          <cell r="I531" t="str">
            <v>ENE</v>
          </cell>
          <cell r="J531" t="str">
            <v>W</v>
          </cell>
          <cell r="K531" t="str">
            <v>ENE</v>
          </cell>
          <cell r="L531" t="str">
            <v>W</v>
          </cell>
          <cell r="M531" t="str">
            <v>ENE</v>
          </cell>
          <cell r="N531" t="str">
            <v>W</v>
          </cell>
          <cell r="O531" t="str">
            <v>W</v>
          </cell>
          <cell r="P531" t="str">
            <v>ENE</v>
          </cell>
        </row>
        <row r="532">
          <cell r="B532"/>
          <cell r="C532"/>
          <cell r="D532">
            <v>7</v>
          </cell>
          <cell r="E532">
            <v>7</v>
          </cell>
          <cell r="F532">
            <v>8</v>
          </cell>
          <cell r="G532">
            <v>9</v>
          </cell>
          <cell r="H532">
            <v>9</v>
          </cell>
          <cell r="I532">
            <v>9</v>
          </cell>
          <cell r="J532">
            <v>8</v>
          </cell>
          <cell r="K532">
            <v>7</v>
          </cell>
          <cell r="L532">
            <v>7</v>
          </cell>
          <cell r="M532">
            <v>7</v>
          </cell>
          <cell r="N532">
            <v>7</v>
          </cell>
          <cell r="O532">
            <v>7</v>
          </cell>
          <cell r="P532">
            <v>8</v>
          </cell>
        </row>
        <row r="533">
          <cell r="B533"/>
          <cell r="C533"/>
          <cell r="D533">
            <v>48</v>
          </cell>
          <cell r="E533">
            <v>45</v>
          </cell>
          <cell r="F533">
            <v>45</v>
          </cell>
          <cell r="G533">
            <v>40</v>
          </cell>
          <cell r="H533">
            <v>51</v>
          </cell>
          <cell r="I533">
            <v>57</v>
          </cell>
          <cell r="J533">
            <v>53</v>
          </cell>
          <cell r="K533">
            <v>51</v>
          </cell>
          <cell r="L533">
            <v>47</v>
          </cell>
          <cell r="M533">
            <v>54</v>
          </cell>
          <cell r="N533">
            <v>47</v>
          </cell>
          <cell r="O533">
            <v>57</v>
          </cell>
          <cell r="P533">
            <v>57</v>
          </cell>
        </row>
        <row r="534">
          <cell r="B534" t="str">
            <v>Kalispell</v>
          </cell>
          <cell r="C534"/>
          <cell r="D534" t="str">
            <v>S</v>
          </cell>
          <cell r="E534" t="str">
            <v>S</v>
          </cell>
          <cell r="F534" t="str">
            <v>S</v>
          </cell>
          <cell r="G534" t="str">
            <v>S</v>
          </cell>
          <cell r="H534" t="str">
            <v>S</v>
          </cell>
          <cell r="I534" t="str">
            <v>S</v>
          </cell>
          <cell r="J534" t="str">
            <v>S</v>
          </cell>
          <cell r="K534" t="str">
            <v>S</v>
          </cell>
          <cell r="L534" t="str">
            <v>S</v>
          </cell>
          <cell r="M534" t="str">
            <v>S</v>
          </cell>
          <cell r="N534" t="str">
            <v>S</v>
          </cell>
          <cell r="O534" t="str">
            <v>S</v>
          </cell>
          <cell r="P534" t="str">
            <v>S</v>
          </cell>
        </row>
        <row r="535">
          <cell r="B535"/>
          <cell r="C535"/>
          <cell r="D535">
            <v>4</v>
          </cell>
          <cell r="E535">
            <v>5</v>
          </cell>
          <cell r="F535">
            <v>6</v>
          </cell>
          <cell r="G535">
            <v>7</v>
          </cell>
          <cell r="H535">
            <v>7</v>
          </cell>
          <cell r="I535">
            <v>7</v>
          </cell>
          <cell r="J535">
            <v>6</v>
          </cell>
          <cell r="K535">
            <v>6</v>
          </cell>
          <cell r="L535">
            <v>6</v>
          </cell>
          <cell r="M535">
            <v>5</v>
          </cell>
          <cell r="N535">
            <v>5</v>
          </cell>
          <cell r="O535">
            <v>5</v>
          </cell>
          <cell r="P535">
            <v>6</v>
          </cell>
        </row>
        <row r="536">
          <cell r="B536"/>
          <cell r="C536"/>
          <cell r="D536">
            <v>39</v>
          </cell>
          <cell r="E536">
            <v>36</v>
          </cell>
          <cell r="F536">
            <v>36</v>
          </cell>
          <cell r="G536">
            <v>40</v>
          </cell>
          <cell r="H536">
            <v>34</v>
          </cell>
          <cell r="I536">
            <v>38</v>
          </cell>
          <cell r="J536">
            <v>32</v>
          </cell>
          <cell r="K536">
            <v>44</v>
          </cell>
          <cell r="L536">
            <v>32</v>
          </cell>
          <cell r="M536">
            <v>40</v>
          </cell>
          <cell r="N536">
            <v>36</v>
          </cell>
          <cell r="O536">
            <v>57</v>
          </cell>
          <cell r="P536">
            <v>57</v>
          </cell>
        </row>
        <row r="538">
          <cell r="B538" t="str">
            <v>Billings</v>
          </cell>
          <cell r="D538" t="str">
            <v>SW</v>
          </cell>
          <cell r="E538" t="str">
            <v>SW</v>
          </cell>
          <cell r="F538" t="str">
            <v>SW</v>
          </cell>
          <cell r="G538" t="str">
            <v>SW</v>
          </cell>
          <cell r="H538" t="str">
            <v>SW</v>
          </cell>
          <cell r="I538" t="str">
            <v>SW</v>
          </cell>
          <cell r="J538" t="str">
            <v>SW</v>
          </cell>
          <cell r="K538" t="str">
            <v>SW</v>
          </cell>
          <cell r="L538" t="str">
            <v>SW</v>
          </cell>
          <cell r="M538" t="str">
            <v>SW</v>
          </cell>
          <cell r="N538" t="str">
            <v>SW</v>
          </cell>
          <cell r="O538" t="str">
            <v>SW</v>
          </cell>
          <cell r="P538" t="str">
            <v>SW</v>
          </cell>
        </row>
        <row r="539">
          <cell r="D539">
            <v>13</v>
          </cell>
          <cell r="E539">
            <v>12</v>
          </cell>
          <cell r="F539">
            <v>11</v>
          </cell>
          <cell r="G539">
            <v>11</v>
          </cell>
          <cell r="H539">
            <v>11</v>
          </cell>
          <cell r="I539">
            <v>10</v>
          </cell>
          <cell r="J539">
            <v>9</v>
          </cell>
          <cell r="K539">
            <v>9</v>
          </cell>
          <cell r="L539">
            <v>10</v>
          </cell>
          <cell r="M539">
            <v>11</v>
          </cell>
          <cell r="N539">
            <v>12</v>
          </cell>
          <cell r="O539">
            <v>13</v>
          </cell>
          <cell r="P539">
            <v>11</v>
          </cell>
        </row>
        <row r="540">
          <cell r="B540"/>
          <cell r="D540">
            <v>59</v>
          </cell>
          <cell r="E540">
            <v>62</v>
          </cell>
          <cell r="F540">
            <v>62</v>
          </cell>
          <cell r="G540">
            <v>59</v>
          </cell>
          <cell r="H540">
            <v>60</v>
          </cell>
          <cell r="I540">
            <v>54</v>
          </cell>
          <cell r="J540">
            <v>71</v>
          </cell>
          <cell r="K540">
            <v>69</v>
          </cell>
          <cell r="L540">
            <v>61</v>
          </cell>
          <cell r="M540">
            <v>64</v>
          </cell>
          <cell r="N540">
            <v>58</v>
          </cell>
          <cell r="O540">
            <v>70</v>
          </cell>
          <cell r="P540">
            <v>71</v>
          </cell>
        </row>
        <row r="541">
          <cell r="B541" t="str">
            <v>Glaslow</v>
          </cell>
          <cell r="D541" t="str">
            <v>ESE</v>
          </cell>
          <cell r="E541" t="str">
            <v>ESE</v>
          </cell>
          <cell r="F541" t="str">
            <v>ESE</v>
          </cell>
          <cell r="G541" t="str">
            <v>ESE</v>
          </cell>
          <cell r="H541" t="str">
            <v>ESE</v>
          </cell>
          <cell r="I541" t="str">
            <v>ESE</v>
          </cell>
          <cell r="J541" t="str">
            <v>ESE</v>
          </cell>
          <cell r="K541" t="str">
            <v>ESE</v>
          </cell>
          <cell r="L541" t="str">
            <v>ESE</v>
          </cell>
          <cell r="M541" t="str">
            <v>ESE</v>
          </cell>
          <cell r="N541" t="str">
            <v>ESE</v>
          </cell>
          <cell r="O541" t="str">
            <v>ESE</v>
          </cell>
          <cell r="P541" t="str">
            <v>ESE</v>
          </cell>
        </row>
        <row r="542">
          <cell r="B542"/>
          <cell r="D542">
            <v>10</v>
          </cell>
          <cell r="E542">
            <v>10</v>
          </cell>
          <cell r="F542">
            <v>11</v>
          </cell>
          <cell r="G542">
            <v>12</v>
          </cell>
          <cell r="H542">
            <v>12</v>
          </cell>
          <cell r="I542">
            <v>11</v>
          </cell>
          <cell r="J542">
            <v>10</v>
          </cell>
          <cell r="K542">
            <v>11</v>
          </cell>
          <cell r="L542">
            <v>11</v>
          </cell>
          <cell r="M542">
            <v>11</v>
          </cell>
          <cell r="N542">
            <v>10</v>
          </cell>
          <cell r="O542">
            <v>10</v>
          </cell>
          <cell r="P542">
            <v>11</v>
          </cell>
        </row>
        <row r="543">
          <cell r="B543"/>
          <cell r="D543">
            <v>37</v>
          </cell>
          <cell r="E543">
            <v>51</v>
          </cell>
          <cell r="F543">
            <v>53</v>
          </cell>
          <cell r="G543">
            <v>67</v>
          </cell>
          <cell r="H543">
            <v>48</v>
          </cell>
          <cell r="I543">
            <v>53</v>
          </cell>
          <cell r="J543">
            <v>55</v>
          </cell>
          <cell r="K543">
            <v>55</v>
          </cell>
          <cell r="L543">
            <v>44</v>
          </cell>
          <cell r="M543">
            <v>46</v>
          </cell>
          <cell r="N543">
            <v>49</v>
          </cell>
          <cell r="O543">
            <v>62</v>
          </cell>
          <cell r="P543">
            <v>67</v>
          </cell>
        </row>
        <row r="544">
          <cell r="B544" t="str">
            <v>Great Falls</v>
          </cell>
          <cell r="D544" t="str">
            <v>SW</v>
          </cell>
          <cell r="E544" t="str">
            <v>SW</v>
          </cell>
          <cell r="F544" t="str">
            <v>SW</v>
          </cell>
          <cell r="G544" t="str">
            <v>SW</v>
          </cell>
          <cell r="H544" t="str">
            <v>SW</v>
          </cell>
          <cell r="I544" t="str">
            <v>SW</v>
          </cell>
          <cell r="J544" t="str">
            <v>SW</v>
          </cell>
          <cell r="K544" t="str">
            <v>SW</v>
          </cell>
          <cell r="L544" t="str">
            <v>WSW</v>
          </cell>
          <cell r="M544" t="str">
            <v>WSW</v>
          </cell>
          <cell r="N544" t="str">
            <v>SW</v>
          </cell>
          <cell r="O544" t="str">
            <v>SW</v>
          </cell>
          <cell r="P544" t="str">
            <v>SW</v>
          </cell>
        </row>
        <row r="545">
          <cell r="B545"/>
          <cell r="D545">
            <v>15</v>
          </cell>
          <cell r="E545">
            <v>14</v>
          </cell>
          <cell r="F545">
            <v>13</v>
          </cell>
          <cell r="G545">
            <v>13</v>
          </cell>
          <cell r="H545">
            <v>11</v>
          </cell>
          <cell r="I545">
            <v>11</v>
          </cell>
          <cell r="J545">
            <v>10</v>
          </cell>
          <cell r="K545">
            <v>10</v>
          </cell>
          <cell r="L545">
            <v>11</v>
          </cell>
          <cell r="M545">
            <v>13</v>
          </cell>
          <cell r="N545">
            <v>15</v>
          </cell>
          <cell r="O545">
            <v>15</v>
          </cell>
          <cell r="P545">
            <v>13</v>
          </cell>
        </row>
        <row r="546">
          <cell r="B546"/>
          <cell r="D546">
            <v>53</v>
          </cell>
          <cell r="E546">
            <v>48</v>
          </cell>
          <cell r="F546">
            <v>52</v>
          </cell>
          <cell r="G546">
            <v>57</v>
          </cell>
          <cell r="H546">
            <v>39</v>
          </cell>
          <cell r="I546">
            <v>51</v>
          </cell>
          <cell r="J546">
            <v>49</v>
          </cell>
          <cell r="K546">
            <v>47</v>
          </cell>
          <cell r="L546">
            <v>36</v>
          </cell>
          <cell r="M546">
            <v>49</v>
          </cell>
          <cell r="N546">
            <v>54</v>
          </cell>
          <cell r="O546">
            <v>59</v>
          </cell>
          <cell r="P546">
            <v>59</v>
          </cell>
        </row>
        <row r="547">
          <cell r="B547" t="str">
            <v>Havre</v>
          </cell>
          <cell r="D547" t="str">
            <v>SW</v>
          </cell>
          <cell r="E547" t="str">
            <v>SW</v>
          </cell>
          <cell r="F547" t="str">
            <v>SW</v>
          </cell>
          <cell r="G547" t="str">
            <v>SW</v>
          </cell>
          <cell r="H547" t="str">
            <v>E</v>
          </cell>
          <cell r="I547" t="str">
            <v>SW</v>
          </cell>
          <cell r="J547" t="str">
            <v>SW</v>
          </cell>
          <cell r="K547" t="str">
            <v>W</v>
          </cell>
          <cell r="L547" t="str">
            <v>E</v>
          </cell>
          <cell r="M547" t="str">
            <v>SW</v>
          </cell>
          <cell r="N547" t="str">
            <v>SW</v>
          </cell>
          <cell r="O547" t="str">
            <v>SW</v>
          </cell>
          <cell r="P547" t="str">
            <v>SW</v>
          </cell>
        </row>
        <row r="548">
          <cell r="B548"/>
          <cell r="D548">
            <v>10</v>
          </cell>
          <cell r="E548">
            <v>10</v>
          </cell>
          <cell r="F548">
            <v>10</v>
          </cell>
          <cell r="G548">
            <v>11</v>
          </cell>
          <cell r="H548">
            <v>10</v>
          </cell>
          <cell r="I548">
            <v>10</v>
          </cell>
          <cell r="J548">
            <v>9</v>
          </cell>
          <cell r="K548">
            <v>9</v>
          </cell>
          <cell r="L548">
            <v>9</v>
          </cell>
          <cell r="M548">
            <v>10</v>
          </cell>
          <cell r="N548">
            <v>10</v>
          </cell>
          <cell r="O548">
            <v>10</v>
          </cell>
          <cell r="P548">
            <v>10</v>
          </cell>
        </row>
        <row r="549">
          <cell r="B549" t="str">
            <v>Helena</v>
          </cell>
          <cell r="D549" t="str">
            <v>W</v>
          </cell>
          <cell r="E549" t="str">
            <v>ENE</v>
          </cell>
          <cell r="F549" t="str">
            <v>W</v>
          </cell>
          <cell r="G549" t="str">
            <v>W</v>
          </cell>
          <cell r="H549" t="str">
            <v>W</v>
          </cell>
          <cell r="I549" t="str">
            <v>ENE</v>
          </cell>
          <cell r="J549" t="str">
            <v>W</v>
          </cell>
          <cell r="K549" t="str">
            <v>ENE</v>
          </cell>
          <cell r="L549" t="str">
            <v>W</v>
          </cell>
          <cell r="M549" t="str">
            <v>ENE</v>
          </cell>
          <cell r="N549" t="str">
            <v>W</v>
          </cell>
          <cell r="O549" t="str">
            <v>W</v>
          </cell>
          <cell r="P549" t="str">
            <v>ENE</v>
          </cell>
        </row>
        <row r="550">
          <cell r="B550"/>
          <cell r="D550">
            <v>7</v>
          </cell>
          <cell r="E550">
            <v>7</v>
          </cell>
          <cell r="F550">
            <v>8</v>
          </cell>
          <cell r="G550">
            <v>9</v>
          </cell>
          <cell r="H550">
            <v>9</v>
          </cell>
          <cell r="I550">
            <v>9</v>
          </cell>
          <cell r="J550">
            <v>8</v>
          </cell>
          <cell r="K550">
            <v>7</v>
          </cell>
          <cell r="L550">
            <v>7</v>
          </cell>
          <cell r="M550">
            <v>7</v>
          </cell>
          <cell r="N550">
            <v>7</v>
          </cell>
          <cell r="O550">
            <v>7</v>
          </cell>
          <cell r="P550">
            <v>8</v>
          </cell>
        </row>
        <row r="551">
          <cell r="B551"/>
          <cell r="D551">
            <v>48</v>
          </cell>
          <cell r="E551">
            <v>45</v>
          </cell>
          <cell r="F551">
            <v>45</v>
          </cell>
          <cell r="G551">
            <v>40</v>
          </cell>
          <cell r="H551">
            <v>51</v>
          </cell>
          <cell r="I551">
            <v>57</v>
          </cell>
          <cell r="J551">
            <v>53</v>
          </cell>
          <cell r="K551">
            <v>51</v>
          </cell>
          <cell r="L551">
            <v>47</v>
          </cell>
          <cell r="M551">
            <v>54</v>
          </cell>
          <cell r="N551">
            <v>47</v>
          </cell>
          <cell r="O551">
            <v>57</v>
          </cell>
          <cell r="P551">
            <v>57</v>
          </cell>
        </row>
        <row r="552">
          <cell r="B552" t="str">
            <v>Kalispell</v>
          </cell>
          <cell r="D552" t="str">
            <v>S</v>
          </cell>
          <cell r="E552" t="str">
            <v>S</v>
          </cell>
          <cell r="F552" t="str">
            <v>S</v>
          </cell>
          <cell r="G552" t="str">
            <v>S</v>
          </cell>
          <cell r="H552" t="str">
            <v>S</v>
          </cell>
          <cell r="I552" t="str">
            <v>S</v>
          </cell>
          <cell r="J552" t="str">
            <v>S</v>
          </cell>
          <cell r="K552" t="str">
            <v>S</v>
          </cell>
          <cell r="L552" t="str">
            <v>S</v>
          </cell>
          <cell r="M552" t="str">
            <v>S</v>
          </cell>
          <cell r="N552" t="str">
            <v>S</v>
          </cell>
          <cell r="O552" t="str">
            <v>S</v>
          </cell>
          <cell r="P552" t="str">
            <v>S</v>
          </cell>
        </row>
        <row r="553">
          <cell r="B553"/>
          <cell r="D553">
            <v>4</v>
          </cell>
          <cell r="E553">
            <v>5</v>
          </cell>
          <cell r="F553">
            <v>6</v>
          </cell>
          <cell r="G553">
            <v>7</v>
          </cell>
          <cell r="H553">
            <v>7</v>
          </cell>
          <cell r="I553">
            <v>7</v>
          </cell>
          <cell r="J553">
            <v>6</v>
          </cell>
          <cell r="K553">
            <v>6</v>
          </cell>
          <cell r="L553">
            <v>6</v>
          </cell>
          <cell r="M553">
            <v>5</v>
          </cell>
          <cell r="N553">
            <v>5</v>
          </cell>
          <cell r="O553">
            <v>5</v>
          </cell>
          <cell r="P553">
            <v>6</v>
          </cell>
        </row>
        <row r="554">
          <cell r="B554"/>
          <cell r="D554">
            <v>39</v>
          </cell>
          <cell r="E554">
            <v>36</v>
          </cell>
          <cell r="F554">
            <v>36</v>
          </cell>
          <cell r="G554">
            <v>40</v>
          </cell>
          <cell r="H554">
            <v>34</v>
          </cell>
          <cell r="I554">
            <v>38</v>
          </cell>
          <cell r="J554">
            <v>32</v>
          </cell>
          <cell r="K554">
            <v>44</v>
          </cell>
          <cell r="L554">
            <v>32</v>
          </cell>
          <cell r="M554">
            <v>40</v>
          </cell>
          <cell r="N554">
            <v>36</v>
          </cell>
          <cell r="O554">
            <v>57</v>
          </cell>
          <cell r="P554">
            <v>57</v>
          </cell>
        </row>
        <row r="555">
          <cell r="B555" t="str">
            <v>Missoula</v>
          </cell>
          <cell r="D555" t="str">
            <v>ESE</v>
          </cell>
          <cell r="E555" t="str">
            <v>WNW</v>
          </cell>
          <cell r="F555" t="str">
            <v>WNW</v>
          </cell>
          <cell r="G555" t="str">
            <v>NW</v>
          </cell>
          <cell r="H555" t="str">
            <v>WNW</v>
          </cell>
          <cell r="I555" t="str">
            <v>WNW</v>
          </cell>
          <cell r="J555" t="str">
            <v>NW</v>
          </cell>
          <cell r="K555" t="str">
            <v>WNW</v>
          </cell>
          <cell r="L555" t="str">
            <v>WNW</v>
          </cell>
          <cell r="M555" t="str">
            <v>NW</v>
          </cell>
          <cell r="N555" t="str">
            <v>WNW</v>
          </cell>
          <cell r="O555" t="str">
            <v>ESE</v>
          </cell>
          <cell r="P555" t="str">
            <v>WNW</v>
          </cell>
        </row>
        <row r="556">
          <cell r="B556"/>
          <cell r="D556">
            <v>5</v>
          </cell>
          <cell r="E556">
            <v>6</v>
          </cell>
          <cell r="F556">
            <v>7</v>
          </cell>
          <cell r="G556">
            <v>8</v>
          </cell>
          <cell r="H556">
            <v>7</v>
          </cell>
          <cell r="I556">
            <v>7</v>
          </cell>
          <cell r="J556">
            <v>7</v>
          </cell>
          <cell r="K556">
            <v>7</v>
          </cell>
          <cell r="L556">
            <v>6</v>
          </cell>
          <cell r="M556">
            <v>5</v>
          </cell>
          <cell r="N556">
            <v>5</v>
          </cell>
          <cell r="O556">
            <v>5</v>
          </cell>
          <cell r="P556">
            <v>6</v>
          </cell>
        </row>
        <row r="557">
          <cell r="B557"/>
          <cell r="D557">
            <v>56</v>
          </cell>
          <cell r="E557">
            <v>45</v>
          </cell>
          <cell r="F557">
            <v>55</v>
          </cell>
          <cell r="G557">
            <v>63</v>
          </cell>
          <cell r="H557">
            <v>56</v>
          </cell>
          <cell r="I557">
            <v>67</v>
          </cell>
          <cell r="J557">
            <v>59</v>
          </cell>
          <cell r="K557">
            <v>61</v>
          </cell>
          <cell r="L557">
            <v>53</v>
          </cell>
          <cell r="M557">
            <v>61</v>
          </cell>
          <cell r="N557">
            <v>47</v>
          </cell>
          <cell r="O557">
            <v>76</v>
          </cell>
          <cell r="P557">
            <v>76</v>
          </cell>
        </row>
        <row r="559">
          <cell r="B559" t="str">
            <v>Grand Island</v>
          </cell>
          <cell r="D559" t="str">
            <v>N</v>
          </cell>
          <cell r="E559" t="str">
            <v>N</v>
          </cell>
          <cell r="F559" t="str">
            <v>N</v>
          </cell>
          <cell r="G559" t="str">
            <v>N</v>
          </cell>
          <cell r="H559" t="str">
            <v>N</v>
          </cell>
          <cell r="I559" t="str">
            <v>N</v>
          </cell>
          <cell r="J559" t="str">
            <v>N</v>
          </cell>
          <cell r="K559" t="str">
            <v>N</v>
          </cell>
          <cell r="L559" t="str">
            <v>S</v>
          </cell>
          <cell r="M559" t="str">
            <v>S</v>
          </cell>
          <cell r="N559" t="str">
            <v>S</v>
          </cell>
          <cell r="O559" t="str">
            <v>S</v>
          </cell>
          <cell r="P559" t="str">
            <v>S</v>
          </cell>
        </row>
        <row r="560">
          <cell r="B560"/>
          <cell r="C560"/>
          <cell r="D560">
            <v>12</v>
          </cell>
          <cell r="E560">
            <v>12</v>
          </cell>
          <cell r="F560">
            <v>13</v>
          </cell>
          <cell r="G560">
            <v>14</v>
          </cell>
          <cell r="H560">
            <v>13</v>
          </cell>
          <cell r="I560">
            <v>12</v>
          </cell>
          <cell r="J560">
            <v>11</v>
          </cell>
          <cell r="K560">
            <v>10</v>
          </cell>
          <cell r="L560">
            <v>11</v>
          </cell>
          <cell r="M560">
            <v>11</v>
          </cell>
          <cell r="N560">
            <v>12</v>
          </cell>
          <cell r="O560">
            <v>12</v>
          </cell>
          <cell r="P560">
            <v>12</v>
          </cell>
        </row>
        <row r="561">
          <cell r="B561"/>
          <cell r="C561"/>
          <cell r="D561">
            <v>64</v>
          </cell>
          <cell r="E561">
            <v>59</v>
          </cell>
          <cell r="F561">
            <v>61</v>
          </cell>
          <cell r="G561">
            <v>60</v>
          </cell>
          <cell r="H561">
            <v>80</v>
          </cell>
          <cell r="I561">
            <v>77</v>
          </cell>
          <cell r="J561">
            <v>72</v>
          </cell>
          <cell r="K561">
            <v>66</v>
          </cell>
          <cell r="L561">
            <v>46</v>
          </cell>
          <cell r="M561">
            <v>61</v>
          </cell>
          <cell r="N561">
            <v>51</v>
          </cell>
          <cell r="O561">
            <v>49</v>
          </cell>
          <cell r="P561">
            <v>80</v>
          </cell>
        </row>
        <row r="562">
          <cell r="B562" t="str">
            <v>Lincoln</v>
          </cell>
          <cell r="C562"/>
          <cell r="D562" t="str">
            <v>N</v>
          </cell>
          <cell r="E562" t="str">
            <v>N</v>
          </cell>
          <cell r="F562" t="str">
            <v>N</v>
          </cell>
          <cell r="G562" t="str">
            <v>N</v>
          </cell>
          <cell r="H562" t="str">
            <v>N</v>
          </cell>
          <cell r="I562" t="str">
            <v>N</v>
          </cell>
          <cell r="J562" t="str">
            <v>N</v>
          </cell>
          <cell r="K562" t="str">
            <v>N</v>
          </cell>
          <cell r="L562" t="str">
            <v>N</v>
          </cell>
          <cell r="M562" t="str">
            <v>N</v>
          </cell>
          <cell r="N562" t="str">
            <v>N</v>
          </cell>
          <cell r="O562" t="str">
            <v>N</v>
          </cell>
          <cell r="P562" t="str">
            <v>N</v>
          </cell>
        </row>
        <row r="563">
          <cell r="B563"/>
          <cell r="C563"/>
          <cell r="D563">
            <v>9</v>
          </cell>
          <cell r="E563">
            <v>9</v>
          </cell>
          <cell r="F563">
            <v>11</v>
          </cell>
          <cell r="G563">
            <v>12</v>
          </cell>
          <cell r="H563">
            <v>10</v>
          </cell>
          <cell r="I563">
            <v>9</v>
          </cell>
          <cell r="J563">
            <v>9</v>
          </cell>
          <cell r="K563">
            <v>8</v>
          </cell>
          <cell r="L563">
            <v>9</v>
          </cell>
          <cell r="M563">
            <v>9</v>
          </cell>
          <cell r="N563">
            <v>9</v>
          </cell>
          <cell r="O563">
            <v>9</v>
          </cell>
          <cell r="P563">
            <v>9</v>
          </cell>
        </row>
        <row r="564">
          <cell r="B564"/>
          <cell r="C564"/>
          <cell r="D564">
            <v>53</v>
          </cell>
          <cell r="E564">
            <v>52</v>
          </cell>
          <cell r="F564">
            <v>52</v>
          </cell>
          <cell r="G564">
            <v>47</v>
          </cell>
          <cell r="H564">
            <v>83</v>
          </cell>
          <cell r="I564">
            <v>56</v>
          </cell>
          <cell r="J564">
            <v>71</v>
          </cell>
          <cell r="K564">
            <v>53</v>
          </cell>
          <cell r="L564">
            <v>56</v>
          </cell>
          <cell r="M564">
            <v>57</v>
          </cell>
          <cell r="N564">
            <v>40</v>
          </cell>
          <cell r="O564">
            <v>49</v>
          </cell>
          <cell r="P564">
            <v>83</v>
          </cell>
        </row>
        <row r="565">
          <cell r="B565" t="str">
            <v xml:space="preserve">Norfolk  </v>
          </cell>
          <cell r="C565"/>
          <cell r="D565" t="str">
            <v>NNW</v>
          </cell>
          <cell r="E565" t="str">
            <v>NNW</v>
          </cell>
          <cell r="F565" t="str">
            <v>NNW</v>
          </cell>
          <cell r="G565" t="str">
            <v>NNW</v>
          </cell>
          <cell r="H565" t="str">
            <v>S</v>
          </cell>
          <cell r="I565" t="str">
            <v>S</v>
          </cell>
          <cell r="J565" t="str">
            <v>S</v>
          </cell>
          <cell r="K565" t="str">
            <v>S</v>
          </cell>
          <cell r="L565" t="str">
            <v>S</v>
          </cell>
          <cell r="M565" t="str">
            <v>NNW</v>
          </cell>
          <cell r="N565" t="str">
            <v>NNW</v>
          </cell>
          <cell r="O565" t="str">
            <v>NW</v>
          </cell>
          <cell r="P565" t="str">
            <v>S</v>
          </cell>
        </row>
        <row r="566">
          <cell r="B566"/>
          <cell r="C566"/>
          <cell r="D566">
            <v>12</v>
          </cell>
          <cell r="E566">
            <v>12</v>
          </cell>
          <cell r="F566">
            <v>14</v>
          </cell>
          <cell r="G566">
            <v>14</v>
          </cell>
          <cell r="H566">
            <v>12</v>
          </cell>
          <cell r="I566">
            <v>11</v>
          </cell>
          <cell r="J566">
            <v>10</v>
          </cell>
          <cell r="K566">
            <v>10</v>
          </cell>
          <cell r="L566">
            <v>11</v>
          </cell>
          <cell r="M566">
            <v>11</v>
          </cell>
          <cell r="N566">
            <v>12</v>
          </cell>
          <cell r="O566">
            <v>12</v>
          </cell>
          <cell r="P566">
            <v>12</v>
          </cell>
        </row>
        <row r="567">
          <cell r="B567"/>
          <cell r="C567"/>
          <cell r="D567">
            <v>60</v>
          </cell>
          <cell r="E567">
            <v>56</v>
          </cell>
          <cell r="F567">
            <v>63</v>
          </cell>
          <cell r="G567">
            <v>66</v>
          </cell>
          <cell r="H567">
            <v>54</v>
          </cell>
          <cell r="I567">
            <v>59</v>
          </cell>
          <cell r="J567">
            <v>78</v>
          </cell>
          <cell r="K567">
            <v>82</v>
          </cell>
          <cell r="L567">
            <v>71</v>
          </cell>
          <cell r="M567">
            <v>56</v>
          </cell>
          <cell r="N567">
            <v>55</v>
          </cell>
          <cell r="O567">
            <v>60</v>
          </cell>
          <cell r="P567">
            <v>82</v>
          </cell>
        </row>
        <row r="568">
          <cell r="B568" t="str">
            <v>North Platte</v>
          </cell>
          <cell r="C568"/>
          <cell r="D568" t="str">
            <v>WNW</v>
          </cell>
          <cell r="E568" t="str">
            <v>WNW</v>
          </cell>
          <cell r="F568" t="str">
            <v>NW</v>
          </cell>
          <cell r="G568" t="str">
            <v>NW</v>
          </cell>
          <cell r="H568" t="str">
            <v>N</v>
          </cell>
          <cell r="I568" t="str">
            <v>N</v>
          </cell>
          <cell r="J568" t="str">
            <v>N</v>
          </cell>
          <cell r="K568" t="str">
            <v>N</v>
          </cell>
          <cell r="L568" t="str">
            <v>SSE</v>
          </cell>
          <cell r="M568" t="str">
            <v>SSE</v>
          </cell>
          <cell r="N568" t="str">
            <v>S</v>
          </cell>
          <cell r="O568" t="str">
            <v>S</v>
          </cell>
          <cell r="P568" t="str">
            <v>NW</v>
          </cell>
        </row>
        <row r="569">
          <cell r="B569"/>
          <cell r="C569"/>
          <cell r="D569">
            <v>9</v>
          </cell>
          <cell r="E569">
            <v>10</v>
          </cell>
          <cell r="F569">
            <v>12</v>
          </cell>
          <cell r="G569">
            <v>13</v>
          </cell>
          <cell r="H569">
            <v>12</v>
          </cell>
          <cell r="I569">
            <v>10</v>
          </cell>
          <cell r="J569">
            <v>10</v>
          </cell>
          <cell r="K569">
            <v>9</v>
          </cell>
          <cell r="L569">
            <v>10</v>
          </cell>
          <cell r="M569">
            <v>10</v>
          </cell>
          <cell r="N569">
            <v>10</v>
          </cell>
          <cell r="O569">
            <v>9</v>
          </cell>
          <cell r="P569">
            <v>10</v>
          </cell>
        </row>
        <row r="570">
          <cell r="B570"/>
          <cell r="C570"/>
          <cell r="D570">
            <v>64</v>
          </cell>
          <cell r="E570">
            <v>55</v>
          </cell>
          <cell r="F570">
            <v>64</v>
          </cell>
          <cell r="G570">
            <v>76</v>
          </cell>
          <cell r="H570">
            <v>72</v>
          </cell>
          <cell r="I570">
            <v>64</v>
          </cell>
          <cell r="J570">
            <v>68</v>
          </cell>
          <cell r="K570">
            <v>74</v>
          </cell>
          <cell r="L570">
            <v>58</v>
          </cell>
          <cell r="M570">
            <v>68</v>
          </cell>
          <cell r="N570">
            <v>60</v>
          </cell>
          <cell r="O570">
            <v>56</v>
          </cell>
          <cell r="P570">
            <v>76</v>
          </cell>
        </row>
        <row r="571">
          <cell r="B571" t="str">
            <v>Omaha</v>
          </cell>
          <cell r="C571"/>
          <cell r="D571" t="str">
            <v>NNW</v>
          </cell>
          <cell r="E571" t="str">
            <v>NNW</v>
          </cell>
          <cell r="F571" t="str">
            <v>N</v>
          </cell>
          <cell r="G571" t="str">
            <v>N</v>
          </cell>
          <cell r="H571" t="str">
            <v>NNW</v>
          </cell>
          <cell r="I571" t="str">
            <v>NNW</v>
          </cell>
          <cell r="J571" t="str">
            <v>SSE</v>
          </cell>
          <cell r="K571" t="str">
            <v>SSE</v>
          </cell>
          <cell r="L571" t="str">
            <v>S</v>
          </cell>
          <cell r="M571" t="str">
            <v>S</v>
          </cell>
          <cell r="N571" t="str">
            <v>S</v>
          </cell>
          <cell r="O571" t="str">
            <v>S</v>
          </cell>
          <cell r="P571" t="str">
            <v>SSE</v>
          </cell>
        </row>
        <row r="572">
          <cell r="B572"/>
          <cell r="C572"/>
          <cell r="D572">
            <v>11</v>
          </cell>
          <cell r="E572">
            <v>11</v>
          </cell>
          <cell r="F572">
            <v>12</v>
          </cell>
          <cell r="G572">
            <v>13</v>
          </cell>
          <cell r="H572">
            <v>11</v>
          </cell>
          <cell r="I572">
            <v>10</v>
          </cell>
          <cell r="J572">
            <v>9</v>
          </cell>
          <cell r="K572">
            <v>9</v>
          </cell>
          <cell r="L572">
            <v>9</v>
          </cell>
          <cell r="M572">
            <v>10</v>
          </cell>
          <cell r="N572">
            <v>11</v>
          </cell>
          <cell r="O572">
            <v>11</v>
          </cell>
          <cell r="P572">
            <v>11</v>
          </cell>
        </row>
        <row r="573">
          <cell r="B573"/>
          <cell r="C573"/>
          <cell r="D573">
            <v>57</v>
          </cell>
          <cell r="E573">
            <v>57</v>
          </cell>
          <cell r="F573">
            <v>73</v>
          </cell>
          <cell r="G573">
            <v>65</v>
          </cell>
          <cell r="H573">
            <v>73</v>
          </cell>
          <cell r="I573">
            <v>72</v>
          </cell>
          <cell r="J573">
            <v>109</v>
          </cell>
          <cell r="K573">
            <v>66</v>
          </cell>
          <cell r="L573">
            <v>47</v>
          </cell>
          <cell r="M573">
            <v>62</v>
          </cell>
          <cell r="N573">
            <v>56</v>
          </cell>
          <cell r="O573">
            <v>52</v>
          </cell>
          <cell r="P573">
            <v>109</v>
          </cell>
        </row>
        <row r="574">
          <cell r="B574" t="str">
            <v>Scottsbluff</v>
          </cell>
          <cell r="C574"/>
          <cell r="D574" t="str">
            <v>WNW</v>
          </cell>
          <cell r="E574" t="str">
            <v>WNW</v>
          </cell>
          <cell r="F574" t="str">
            <v>WNW</v>
          </cell>
          <cell r="G574" t="str">
            <v>WNW</v>
          </cell>
          <cell r="H574" t="str">
            <v>WNW</v>
          </cell>
          <cell r="I574" t="str">
            <v>WNW</v>
          </cell>
          <cell r="J574" t="str">
            <v>WNW</v>
          </cell>
          <cell r="K574" t="str">
            <v>WNW</v>
          </cell>
          <cell r="L574" t="str">
            <v>WNW</v>
          </cell>
          <cell r="M574" t="str">
            <v>WNW</v>
          </cell>
          <cell r="N574" t="str">
            <v>ESE</v>
          </cell>
          <cell r="O574" t="str">
            <v>ESE</v>
          </cell>
          <cell r="P574" t="str">
            <v>WNW</v>
          </cell>
        </row>
        <row r="575">
          <cell r="B575"/>
          <cell r="C575"/>
          <cell r="D575">
            <v>11</v>
          </cell>
          <cell r="E575">
            <v>11</v>
          </cell>
          <cell r="F575">
            <v>13</v>
          </cell>
          <cell r="G575">
            <v>13</v>
          </cell>
          <cell r="H575">
            <v>12</v>
          </cell>
          <cell r="I575">
            <v>11</v>
          </cell>
          <cell r="J575">
            <v>9</v>
          </cell>
          <cell r="K575">
            <v>9</v>
          </cell>
          <cell r="L575">
            <v>9</v>
          </cell>
          <cell r="M575">
            <v>10</v>
          </cell>
          <cell r="N575">
            <v>11</v>
          </cell>
          <cell r="O575">
            <v>11</v>
          </cell>
          <cell r="P575">
            <v>11</v>
          </cell>
        </row>
        <row r="576">
          <cell r="B576"/>
          <cell r="C576"/>
          <cell r="D576">
            <v>68</v>
          </cell>
          <cell r="E576">
            <v>62</v>
          </cell>
          <cell r="F576">
            <v>59</v>
          </cell>
          <cell r="G576">
            <v>63</v>
          </cell>
          <cell r="H576">
            <v>63</v>
          </cell>
          <cell r="I576">
            <v>70</v>
          </cell>
          <cell r="J576">
            <v>68</v>
          </cell>
          <cell r="K576">
            <v>66</v>
          </cell>
          <cell r="L576">
            <v>54</v>
          </cell>
          <cell r="M576">
            <v>60</v>
          </cell>
          <cell r="N576">
            <v>61</v>
          </cell>
          <cell r="O576">
            <v>66</v>
          </cell>
          <cell r="P576">
            <v>70</v>
          </cell>
        </row>
        <row r="577">
          <cell r="B577" t="str">
            <v>Valentine</v>
          </cell>
          <cell r="C577"/>
          <cell r="D577" t="str">
            <v>NW</v>
          </cell>
          <cell r="E577" t="str">
            <v>NNW</v>
          </cell>
          <cell r="F577" t="str">
            <v>NNW</v>
          </cell>
          <cell r="G577" t="str">
            <v>NNW</v>
          </cell>
          <cell r="H577" t="str">
            <v>S</v>
          </cell>
          <cell r="I577" t="str">
            <v>SSE</v>
          </cell>
          <cell r="J577" t="str">
            <v>SSE</v>
          </cell>
          <cell r="K577" t="str">
            <v>S</v>
          </cell>
          <cell r="L577" t="str">
            <v>S</v>
          </cell>
          <cell r="M577" t="str">
            <v>WNW</v>
          </cell>
          <cell r="N577" t="str">
            <v>WNW</v>
          </cell>
          <cell r="O577" t="str">
            <v>WNW</v>
          </cell>
          <cell r="P577" t="str">
            <v>NW</v>
          </cell>
        </row>
        <row r="578">
          <cell r="B578"/>
          <cell r="C578"/>
          <cell r="D578">
            <v>9</v>
          </cell>
          <cell r="E578">
            <v>9</v>
          </cell>
          <cell r="F578">
            <v>10</v>
          </cell>
          <cell r="G578">
            <v>10</v>
          </cell>
          <cell r="H578">
            <v>10</v>
          </cell>
          <cell r="I578">
            <v>10</v>
          </cell>
          <cell r="J578">
            <v>9</v>
          </cell>
          <cell r="K578">
            <v>8</v>
          </cell>
          <cell r="L578">
            <v>10</v>
          </cell>
          <cell r="M578">
            <v>9</v>
          </cell>
          <cell r="N578">
            <v>9</v>
          </cell>
          <cell r="O578">
            <v>9</v>
          </cell>
          <cell r="P578">
            <v>9</v>
          </cell>
        </row>
        <row r="579">
          <cell r="B579"/>
          <cell r="C579"/>
          <cell r="D579">
            <v>53</v>
          </cell>
          <cell r="E579">
            <v>63</v>
          </cell>
          <cell r="F579">
            <v>52</v>
          </cell>
          <cell r="G579">
            <v>60</v>
          </cell>
          <cell r="H579">
            <v>41</v>
          </cell>
          <cell r="I579">
            <v>45</v>
          </cell>
          <cell r="J579">
            <v>39</v>
          </cell>
          <cell r="K579">
            <v>60</v>
          </cell>
          <cell r="L579">
            <v>51</v>
          </cell>
          <cell r="M579">
            <v>55</v>
          </cell>
          <cell r="N579">
            <v>37</v>
          </cell>
          <cell r="O579">
            <v>51</v>
          </cell>
          <cell r="P579">
            <v>63</v>
          </cell>
        </row>
        <row r="580">
          <cell r="C580"/>
          <cell r="D580"/>
          <cell r="E580"/>
          <cell r="F580"/>
          <cell r="G580"/>
          <cell r="H580"/>
          <cell r="I580"/>
          <cell r="J580"/>
          <cell r="K580"/>
          <cell r="L580"/>
          <cell r="M580"/>
          <cell r="N580"/>
          <cell r="O580"/>
          <cell r="P580"/>
        </row>
        <row r="581">
          <cell r="B581" t="str">
            <v>Elko</v>
          </cell>
          <cell r="C581"/>
          <cell r="D581" t="str">
            <v>SW</v>
          </cell>
          <cell r="E581" t="str">
            <v>SW</v>
          </cell>
          <cell r="F581" t="str">
            <v>SW</v>
          </cell>
          <cell r="G581" t="str">
            <v>SW</v>
          </cell>
          <cell r="H581" t="str">
            <v>SW</v>
          </cell>
          <cell r="I581" t="str">
            <v>SW</v>
          </cell>
          <cell r="J581" t="str">
            <v>SW</v>
          </cell>
          <cell r="K581" t="str">
            <v>SW</v>
          </cell>
          <cell r="L581" t="str">
            <v>SW</v>
          </cell>
          <cell r="M581" t="str">
            <v>SW</v>
          </cell>
          <cell r="N581" t="str">
            <v>SW</v>
          </cell>
          <cell r="O581" t="str">
            <v>SW</v>
          </cell>
          <cell r="P581" t="str">
            <v>SW</v>
          </cell>
        </row>
        <row r="582">
          <cell r="B582"/>
          <cell r="C582"/>
          <cell r="D582">
            <v>5</v>
          </cell>
          <cell r="E582">
            <v>6</v>
          </cell>
          <cell r="F582">
            <v>7</v>
          </cell>
          <cell r="G582">
            <v>7</v>
          </cell>
          <cell r="H582">
            <v>7</v>
          </cell>
          <cell r="I582">
            <v>7</v>
          </cell>
          <cell r="J582">
            <v>6</v>
          </cell>
          <cell r="K582">
            <v>6</v>
          </cell>
          <cell r="L582">
            <v>5</v>
          </cell>
          <cell r="M582">
            <v>5</v>
          </cell>
          <cell r="N582">
            <v>5</v>
          </cell>
          <cell r="O582">
            <v>5</v>
          </cell>
          <cell r="P582">
            <v>6</v>
          </cell>
        </row>
        <row r="583">
          <cell r="B583"/>
          <cell r="C583"/>
          <cell r="D583">
            <v>40</v>
          </cell>
          <cell r="E583">
            <v>39</v>
          </cell>
          <cell r="F583">
            <v>41</v>
          </cell>
          <cell r="G583">
            <v>48</v>
          </cell>
          <cell r="H583">
            <v>55</v>
          </cell>
          <cell r="I583">
            <v>61</v>
          </cell>
          <cell r="J583">
            <v>37</v>
          </cell>
          <cell r="K583">
            <v>35</v>
          </cell>
          <cell r="L583">
            <v>58</v>
          </cell>
          <cell r="M583">
            <v>35</v>
          </cell>
          <cell r="N583">
            <v>40</v>
          </cell>
          <cell r="O583">
            <v>50</v>
          </cell>
          <cell r="P583">
            <v>61</v>
          </cell>
        </row>
        <row r="584">
          <cell r="B584" t="str">
            <v>Ely</v>
          </cell>
          <cell r="C584"/>
          <cell r="D584" t="str">
            <v>S</v>
          </cell>
          <cell r="E584" t="str">
            <v>S</v>
          </cell>
          <cell r="F584" t="str">
            <v>S</v>
          </cell>
          <cell r="G584" t="str">
            <v>S</v>
          </cell>
          <cell r="H584" t="str">
            <v>S</v>
          </cell>
          <cell r="I584" t="str">
            <v>S</v>
          </cell>
          <cell r="J584" t="str">
            <v>S</v>
          </cell>
          <cell r="K584" t="str">
            <v>S</v>
          </cell>
          <cell r="L584" t="str">
            <v>S</v>
          </cell>
          <cell r="M584" t="str">
            <v>S</v>
          </cell>
          <cell r="N584" t="str">
            <v>S</v>
          </cell>
          <cell r="O584" t="str">
            <v>S</v>
          </cell>
          <cell r="P584" t="str">
            <v>S</v>
          </cell>
        </row>
        <row r="585">
          <cell r="B585"/>
          <cell r="C585"/>
          <cell r="D585">
            <v>10</v>
          </cell>
          <cell r="E585">
            <v>10</v>
          </cell>
          <cell r="F585">
            <v>11</v>
          </cell>
          <cell r="G585">
            <v>11</v>
          </cell>
          <cell r="H585">
            <v>10</v>
          </cell>
          <cell r="I585">
            <v>10</v>
          </cell>
          <cell r="J585">
            <v>10</v>
          </cell>
          <cell r="K585">
            <v>10</v>
          </cell>
          <cell r="L585">
            <v>10</v>
          </cell>
          <cell r="M585">
            <v>9</v>
          </cell>
          <cell r="N585">
            <v>9</v>
          </cell>
          <cell r="O585">
            <v>9</v>
          </cell>
          <cell r="P585">
            <v>10</v>
          </cell>
        </row>
        <row r="586">
          <cell r="B586"/>
          <cell r="C586"/>
          <cell r="D586">
            <v>47</v>
          </cell>
          <cell r="E586">
            <v>48</v>
          </cell>
          <cell r="F586">
            <v>49</v>
          </cell>
          <cell r="G586">
            <v>52</v>
          </cell>
          <cell r="H586">
            <v>46</v>
          </cell>
          <cell r="I586">
            <v>48</v>
          </cell>
          <cell r="J586">
            <v>61</v>
          </cell>
          <cell r="K586">
            <v>43</v>
          </cell>
          <cell r="L586">
            <v>49</v>
          </cell>
          <cell r="M586">
            <v>34</v>
          </cell>
          <cell r="N586">
            <v>38</v>
          </cell>
          <cell r="O586">
            <v>46</v>
          </cell>
          <cell r="P586">
            <v>61</v>
          </cell>
        </row>
        <row r="587">
          <cell r="B587" t="str">
            <v>Las Vegas</v>
          </cell>
          <cell r="C587"/>
          <cell r="D587" t="str">
            <v>WSW</v>
          </cell>
          <cell r="E587" t="str">
            <v>WSW</v>
          </cell>
          <cell r="F587" t="str">
            <v>WSW</v>
          </cell>
          <cell r="G587" t="str">
            <v>SW</v>
          </cell>
          <cell r="H587" t="str">
            <v>SW</v>
          </cell>
          <cell r="I587" t="str">
            <v>S</v>
          </cell>
          <cell r="J587" t="str">
            <v>S</v>
          </cell>
          <cell r="K587" t="str">
            <v>S</v>
          </cell>
          <cell r="L587" t="str">
            <v>WSW</v>
          </cell>
          <cell r="M587" t="str">
            <v>WSW</v>
          </cell>
          <cell r="N587" t="str">
            <v>WSW</v>
          </cell>
          <cell r="O587" t="str">
            <v>WSW</v>
          </cell>
          <cell r="P587" t="str">
            <v>WSW</v>
          </cell>
        </row>
        <row r="588">
          <cell r="B588"/>
          <cell r="C588"/>
          <cell r="D588">
            <v>7</v>
          </cell>
          <cell r="E588">
            <v>9</v>
          </cell>
          <cell r="F588">
            <v>11</v>
          </cell>
          <cell r="G588">
            <v>11</v>
          </cell>
          <cell r="H588">
            <v>12</v>
          </cell>
          <cell r="I588">
            <v>11</v>
          </cell>
          <cell r="J588">
            <v>11</v>
          </cell>
          <cell r="K588">
            <v>10</v>
          </cell>
          <cell r="L588">
            <v>9</v>
          </cell>
          <cell r="M588">
            <v>8</v>
          </cell>
          <cell r="N588">
            <v>8</v>
          </cell>
          <cell r="O588">
            <v>7</v>
          </cell>
          <cell r="P588">
            <v>9</v>
          </cell>
        </row>
        <row r="589">
          <cell r="B589"/>
          <cell r="C589"/>
          <cell r="D589">
            <v>54</v>
          </cell>
          <cell r="E589">
            <v>67</v>
          </cell>
          <cell r="F589">
            <v>82</v>
          </cell>
          <cell r="G589">
            <v>69</v>
          </cell>
          <cell r="H589">
            <v>72</v>
          </cell>
          <cell r="I589">
            <v>59</v>
          </cell>
          <cell r="J589">
            <v>71</v>
          </cell>
          <cell r="K589">
            <v>90</v>
          </cell>
          <cell r="L589">
            <v>49</v>
          </cell>
          <cell r="M589">
            <v>61</v>
          </cell>
          <cell r="N589">
            <v>68</v>
          </cell>
          <cell r="O589">
            <v>54</v>
          </cell>
          <cell r="P589">
            <v>90</v>
          </cell>
        </row>
        <row r="590">
          <cell r="B590" t="str">
            <v>Reno</v>
          </cell>
          <cell r="C590"/>
          <cell r="D590" t="str">
            <v>S</v>
          </cell>
          <cell r="E590" t="str">
            <v>S</v>
          </cell>
          <cell r="F590" t="str">
            <v>S</v>
          </cell>
          <cell r="G590" t="str">
            <v>S</v>
          </cell>
          <cell r="H590" t="str">
            <v>WNW</v>
          </cell>
          <cell r="I590" t="str">
            <v>WNW</v>
          </cell>
          <cell r="J590" t="str">
            <v>WNW</v>
          </cell>
          <cell r="K590" t="str">
            <v>WNW</v>
          </cell>
          <cell r="L590" t="str">
            <v>WNW</v>
          </cell>
          <cell r="M590" t="str">
            <v>WNW</v>
          </cell>
          <cell r="N590" t="str">
            <v>WNW</v>
          </cell>
          <cell r="O590" t="str">
            <v>WNW</v>
          </cell>
          <cell r="P590" t="str">
            <v>WNW</v>
          </cell>
        </row>
        <row r="591">
          <cell r="B591"/>
          <cell r="C591"/>
          <cell r="D591">
            <v>6</v>
          </cell>
          <cell r="E591">
            <v>6</v>
          </cell>
          <cell r="F591">
            <v>8</v>
          </cell>
          <cell r="G591">
            <v>8</v>
          </cell>
          <cell r="H591">
            <v>8</v>
          </cell>
          <cell r="I591">
            <v>8</v>
          </cell>
          <cell r="J591">
            <v>7</v>
          </cell>
          <cell r="K591">
            <v>7</v>
          </cell>
          <cell r="L591">
            <v>6</v>
          </cell>
          <cell r="M591">
            <v>5</v>
          </cell>
          <cell r="N591">
            <v>5</v>
          </cell>
          <cell r="O591">
            <v>6</v>
          </cell>
          <cell r="P591">
            <v>7</v>
          </cell>
        </row>
        <row r="592">
          <cell r="B592"/>
          <cell r="C592"/>
          <cell r="D592">
            <v>90</v>
          </cell>
          <cell r="E592">
            <v>66</v>
          </cell>
          <cell r="F592">
            <v>71</v>
          </cell>
          <cell r="G592">
            <v>64</v>
          </cell>
          <cell r="H592">
            <v>70</v>
          </cell>
          <cell r="I592">
            <v>67</v>
          </cell>
          <cell r="J592">
            <v>67</v>
          </cell>
          <cell r="K592">
            <v>58</v>
          </cell>
          <cell r="L592">
            <v>54</v>
          </cell>
          <cell r="M592">
            <v>81</v>
          </cell>
          <cell r="N592">
            <v>70</v>
          </cell>
          <cell r="O592">
            <v>75</v>
          </cell>
          <cell r="P592">
            <v>90</v>
          </cell>
        </row>
        <row r="593">
          <cell r="B593" t="str">
            <v>Winnemucca</v>
          </cell>
          <cell r="C593"/>
          <cell r="D593" t="str">
            <v>S</v>
          </cell>
          <cell r="E593" t="str">
            <v>S</v>
          </cell>
          <cell r="F593" t="str">
            <v>S</v>
          </cell>
          <cell r="G593" t="str">
            <v>S</v>
          </cell>
          <cell r="H593" t="str">
            <v>S</v>
          </cell>
          <cell r="I593" t="str">
            <v>S</v>
          </cell>
          <cell r="J593" t="str">
            <v>S</v>
          </cell>
          <cell r="K593" t="str">
            <v>S</v>
          </cell>
          <cell r="L593" t="str">
            <v>W</v>
          </cell>
          <cell r="M593" t="str">
            <v>W</v>
          </cell>
          <cell r="N593" t="str">
            <v>W</v>
          </cell>
          <cell r="O593" t="str">
            <v>W</v>
          </cell>
          <cell r="P593" t="str">
            <v>S</v>
          </cell>
        </row>
        <row r="594">
          <cell r="B594"/>
          <cell r="C594"/>
          <cell r="D594">
            <v>7</v>
          </cell>
          <cell r="E594">
            <v>8</v>
          </cell>
          <cell r="F594">
            <v>9</v>
          </cell>
          <cell r="G594">
            <v>9</v>
          </cell>
          <cell r="H594">
            <v>9</v>
          </cell>
          <cell r="I594">
            <v>9</v>
          </cell>
          <cell r="J594">
            <v>8</v>
          </cell>
          <cell r="K594">
            <v>8</v>
          </cell>
          <cell r="L594">
            <v>8</v>
          </cell>
          <cell r="M594">
            <v>7</v>
          </cell>
          <cell r="N594">
            <v>7</v>
          </cell>
          <cell r="O594">
            <v>7</v>
          </cell>
          <cell r="P594">
            <v>8</v>
          </cell>
        </row>
        <row r="595">
          <cell r="B595"/>
          <cell r="C595"/>
          <cell r="D595">
            <v>53</v>
          </cell>
          <cell r="E595">
            <v>46</v>
          </cell>
          <cell r="F595">
            <v>47</v>
          </cell>
          <cell r="G595">
            <v>46</v>
          </cell>
          <cell r="H595">
            <v>39</v>
          </cell>
          <cell r="I595">
            <v>44</v>
          </cell>
          <cell r="J595">
            <v>51</v>
          </cell>
          <cell r="K595">
            <v>58</v>
          </cell>
          <cell r="L595">
            <v>53</v>
          </cell>
          <cell r="M595">
            <v>54</v>
          </cell>
          <cell r="N595">
            <v>52</v>
          </cell>
          <cell r="O595">
            <v>63</v>
          </cell>
          <cell r="P595">
            <v>63</v>
          </cell>
        </row>
        <row r="596">
          <cell r="B596" t="str">
            <v>Tonopah</v>
          </cell>
          <cell r="C596"/>
          <cell r="D596" t="str">
            <v>WNW</v>
          </cell>
          <cell r="E596" t="str">
            <v>WNW</v>
          </cell>
          <cell r="F596" t="str">
            <v>WNW</v>
          </cell>
          <cell r="G596" t="str">
            <v>WNW</v>
          </cell>
          <cell r="H596" t="str">
            <v>WNW</v>
          </cell>
          <cell r="I596" t="str">
            <v>S</v>
          </cell>
          <cell r="J596" t="str">
            <v>S</v>
          </cell>
          <cell r="K596" t="str">
            <v>S</v>
          </cell>
          <cell r="L596" t="str">
            <v>S</v>
          </cell>
          <cell r="M596" t="str">
            <v>WNW</v>
          </cell>
          <cell r="N596" t="str">
            <v>WNW</v>
          </cell>
          <cell r="O596" t="str">
            <v>WNW</v>
          </cell>
          <cell r="P596" t="str">
            <v>WNW</v>
          </cell>
        </row>
        <row r="597">
          <cell r="B597"/>
          <cell r="C597"/>
          <cell r="D597">
            <v>6</v>
          </cell>
          <cell r="E597">
            <v>8</v>
          </cell>
          <cell r="F597">
            <v>9</v>
          </cell>
          <cell r="G597">
            <v>9</v>
          </cell>
          <cell r="H597">
            <v>9</v>
          </cell>
          <cell r="I597">
            <v>8</v>
          </cell>
          <cell r="J597">
            <v>8</v>
          </cell>
          <cell r="K597">
            <v>6</v>
          </cell>
          <cell r="L597">
            <v>6</v>
          </cell>
          <cell r="M597">
            <v>6</v>
          </cell>
          <cell r="N597">
            <v>7</v>
          </cell>
          <cell r="O597">
            <v>6</v>
          </cell>
          <cell r="P597">
            <v>7</v>
          </cell>
        </row>
        <row r="598">
          <cell r="B598"/>
          <cell r="C598"/>
          <cell r="D598">
            <v>48</v>
          </cell>
          <cell r="E598">
            <v>58</v>
          </cell>
          <cell r="F598">
            <v>62</v>
          </cell>
          <cell r="G598">
            <v>56</v>
          </cell>
          <cell r="H598">
            <v>56</v>
          </cell>
          <cell r="I598">
            <v>56</v>
          </cell>
          <cell r="J598">
            <v>53</v>
          </cell>
          <cell r="K598">
            <v>52</v>
          </cell>
          <cell r="L598">
            <v>54</v>
          </cell>
          <cell r="M598">
            <v>51</v>
          </cell>
          <cell r="N598">
            <v>63</v>
          </cell>
          <cell r="O598">
            <v>60</v>
          </cell>
          <cell r="P598">
            <v>63</v>
          </cell>
        </row>
        <row r="599">
          <cell r="B599"/>
          <cell r="C599"/>
          <cell r="D599"/>
          <cell r="E599"/>
          <cell r="F599"/>
          <cell r="G599"/>
          <cell r="H599"/>
          <cell r="I599"/>
          <cell r="J599"/>
          <cell r="K599"/>
          <cell r="L599"/>
          <cell r="M599"/>
          <cell r="N599"/>
          <cell r="O599"/>
          <cell r="P599"/>
        </row>
        <row r="600">
          <cell r="B600" t="str">
            <v>Concord</v>
          </cell>
          <cell r="C600"/>
          <cell r="D600" t="str">
            <v>NW</v>
          </cell>
          <cell r="E600" t="str">
            <v>NW</v>
          </cell>
          <cell r="F600" t="str">
            <v>NW</v>
          </cell>
          <cell r="G600" t="str">
            <v>NW</v>
          </cell>
          <cell r="H600" t="str">
            <v>NW</v>
          </cell>
          <cell r="I600" t="str">
            <v>NW</v>
          </cell>
          <cell r="J600" t="str">
            <v>NW</v>
          </cell>
          <cell r="K600" t="str">
            <v>NW</v>
          </cell>
          <cell r="L600" t="str">
            <v>NW</v>
          </cell>
          <cell r="M600" t="str">
            <v>NW</v>
          </cell>
          <cell r="N600" t="str">
            <v>NW</v>
          </cell>
          <cell r="O600" t="str">
            <v>NW</v>
          </cell>
          <cell r="P600" t="str">
            <v>NW</v>
          </cell>
        </row>
        <row r="601">
          <cell r="B601"/>
          <cell r="C601"/>
          <cell r="D601">
            <v>7</v>
          </cell>
          <cell r="E601">
            <v>8</v>
          </cell>
          <cell r="F601">
            <v>8</v>
          </cell>
          <cell r="G601">
            <v>8</v>
          </cell>
          <cell r="H601">
            <v>7</v>
          </cell>
          <cell r="I601">
            <v>6</v>
          </cell>
          <cell r="J601">
            <v>6</v>
          </cell>
          <cell r="K601">
            <v>5</v>
          </cell>
          <cell r="L601">
            <v>5</v>
          </cell>
          <cell r="M601">
            <v>6</v>
          </cell>
          <cell r="N601">
            <v>7</v>
          </cell>
          <cell r="O601">
            <v>7</v>
          </cell>
          <cell r="P601">
            <v>7</v>
          </cell>
        </row>
        <row r="602">
          <cell r="B602"/>
          <cell r="C602"/>
          <cell r="D602">
            <v>52</v>
          </cell>
          <cell r="E602">
            <v>60</v>
          </cell>
          <cell r="F602">
            <v>49</v>
          </cell>
          <cell r="G602">
            <v>61</v>
          </cell>
          <cell r="H602">
            <v>52</v>
          </cell>
          <cell r="I602">
            <v>59</v>
          </cell>
          <cell r="J602">
            <v>53</v>
          </cell>
          <cell r="K602">
            <v>45</v>
          </cell>
          <cell r="L602">
            <v>52</v>
          </cell>
          <cell r="M602">
            <v>48</v>
          </cell>
          <cell r="N602">
            <v>53</v>
          </cell>
          <cell r="O602">
            <v>58</v>
          </cell>
          <cell r="P602">
            <v>61</v>
          </cell>
        </row>
        <row r="603">
          <cell r="B603" t="str">
            <v>Mount Washington</v>
          </cell>
          <cell r="C603"/>
          <cell r="D603" t="str">
            <v>W</v>
          </cell>
          <cell r="E603" t="str">
            <v>W</v>
          </cell>
          <cell r="F603" t="str">
            <v>W</v>
          </cell>
          <cell r="G603" t="str">
            <v>W</v>
          </cell>
          <cell r="H603" t="str">
            <v>W</v>
          </cell>
          <cell r="I603" t="str">
            <v>W</v>
          </cell>
          <cell r="J603" t="str">
            <v>W</v>
          </cell>
          <cell r="K603" t="str">
            <v>W</v>
          </cell>
          <cell r="L603" t="str">
            <v>W</v>
          </cell>
          <cell r="M603" t="str">
            <v>W</v>
          </cell>
          <cell r="N603" t="str">
            <v>W</v>
          </cell>
          <cell r="O603" t="str">
            <v>W</v>
          </cell>
          <cell r="P603" t="str">
            <v>W</v>
          </cell>
        </row>
        <row r="604">
          <cell r="B604"/>
          <cell r="C604"/>
          <cell r="D604">
            <v>46</v>
          </cell>
          <cell r="E604">
            <v>45</v>
          </cell>
          <cell r="F604">
            <v>42</v>
          </cell>
          <cell r="G604">
            <v>36</v>
          </cell>
          <cell r="H604">
            <v>30</v>
          </cell>
          <cell r="I604">
            <v>28</v>
          </cell>
          <cell r="J604">
            <v>26</v>
          </cell>
          <cell r="K604">
            <v>25</v>
          </cell>
          <cell r="L604">
            <v>29</v>
          </cell>
          <cell r="M604">
            <v>34</v>
          </cell>
          <cell r="N604">
            <v>40</v>
          </cell>
          <cell r="O604">
            <v>46</v>
          </cell>
          <cell r="P604">
            <v>35</v>
          </cell>
        </row>
        <row r="605">
          <cell r="B605"/>
          <cell r="C605"/>
          <cell r="D605">
            <v>173</v>
          </cell>
          <cell r="E605">
            <v>166</v>
          </cell>
          <cell r="F605">
            <v>180</v>
          </cell>
          <cell r="G605">
            <v>231</v>
          </cell>
          <cell r="H605">
            <v>164</v>
          </cell>
          <cell r="I605">
            <v>136</v>
          </cell>
          <cell r="J605">
            <v>110</v>
          </cell>
          <cell r="K605">
            <v>142</v>
          </cell>
          <cell r="L605">
            <v>174</v>
          </cell>
          <cell r="M605">
            <v>161</v>
          </cell>
          <cell r="N605">
            <v>163</v>
          </cell>
          <cell r="O605">
            <v>178</v>
          </cell>
          <cell r="P605">
            <v>231</v>
          </cell>
        </row>
        <row r="606">
          <cell r="B606" t="str">
            <v>Portsmouth</v>
          </cell>
          <cell r="C606"/>
          <cell r="D606" t="str">
            <v>W</v>
          </cell>
          <cell r="E606" t="str">
            <v>W</v>
          </cell>
          <cell r="F606" t="str">
            <v>W</v>
          </cell>
          <cell r="G606" t="str">
            <v>W</v>
          </cell>
          <cell r="H606" t="str">
            <v>W</v>
          </cell>
          <cell r="I606" t="str">
            <v>W</v>
          </cell>
          <cell r="J606" t="str">
            <v>W</v>
          </cell>
          <cell r="K606" t="str">
            <v>W</v>
          </cell>
          <cell r="L606" t="str">
            <v>W</v>
          </cell>
          <cell r="M606" t="str">
            <v>W</v>
          </cell>
          <cell r="N606" t="str">
            <v>W</v>
          </cell>
          <cell r="O606" t="str">
            <v>W</v>
          </cell>
          <cell r="P606" t="str">
            <v>W</v>
          </cell>
        </row>
        <row r="607">
          <cell r="B607"/>
          <cell r="C607"/>
          <cell r="D607">
            <v>8</v>
          </cell>
          <cell r="E607">
            <v>8</v>
          </cell>
          <cell r="F607">
            <v>8</v>
          </cell>
          <cell r="G607">
            <v>8</v>
          </cell>
          <cell r="H607">
            <v>7</v>
          </cell>
          <cell r="I607">
            <v>6</v>
          </cell>
          <cell r="J607">
            <v>6</v>
          </cell>
          <cell r="K607">
            <v>6</v>
          </cell>
          <cell r="L607">
            <v>6</v>
          </cell>
          <cell r="M607">
            <v>6</v>
          </cell>
          <cell r="N607">
            <v>7</v>
          </cell>
          <cell r="O607">
            <v>8</v>
          </cell>
          <cell r="P607">
            <v>7</v>
          </cell>
        </row>
        <row r="608">
          <cell r="B608"/>
          <cell r="C608"/>
          <cell r="D608">
            <v>64</v>
          </cell>
          <cell r="E608">
            <v>66</v>
          </cell>
          <cell r="F608">
            <v>60</v>
          </cell>
          <cell r="G608">
            <v>56</v>
          </cell>
          <cell r="H608">
            <v>56</v>
          </cell>
          <cell r="I608">
            <v>46</v>
          </cell>
          <cell r="J608">
            <v>61</v>
          </cell>
          <cell r="K608">
            <v>58</v>
          </cell>
          <cell r="L608">
            <v>75</v>
          </cell>
          <cell r="M608">
            <v>59</v>
          </cell>
          <cell r="N608">
            <v>63</v>
          </cell>
          <cell r="O608">
            <v>62</v>
          </cell>
          <cell r="P608">
            <v>75</v>
          </cell>
        </row>
        <row r="609">
          <cell r="C609"/>
          <cell r="D609"/>
          <cell r="E609"/>
          <cell r="F609"/>
          <cell r="G609"/>
          <cell r="H609"/>
          <cell r="I609"/>
          <cell r="J609"/>
          <cell r="K609"/>
          <cell r="L609"/>
          <cell r="M609"/>
          <cell r="N609"/>
          <cell r="O609"/>
          <cell r="P609"/>
        </row>
        <row r="610">
          <cell r="B610" t="str">
            <v>Atlantic City</v>
          </cell>
          <cell r="C610"/>
          <cell r="D610" t="str">
            <v>WNW</v>
          </cell>
          <cell r="E610" t="str">
            <v>WNW</v>
          </cell>
          <cell r="F610" t="str">
            <v>WNW</v>
          </cell>
          <cell r="G610" t="str">
            <v>S</v>
          </cell>
          <cell r="H610" t="str">
            <v>S</v>
          </cell>
          <cell r="I610" t="str">
            <v>S</v>
          </cell>
          <cell r="J610" t="str">
            <v>S</v>
          </cell>
          <cell r="K610" t="str">
            <v>S</v>
          </cell>
          <cell r="L610" t="str">
            <v>S</v>
          </cell>
          <cell r="M610" t="str">
            <v>NW</v>
          </cell>
          <cell r="N610" t="str">
            <v>WNW</v>
          </cell>
          <cell r="O610" t="str">
            <v>WNW</v>
          </cell>
          <cell r="P610" t="str">
            <v>WNW</v>
          </cell>
        </row>
        <row r="611">
          <cell r="B611"/>
          <cell r="C611"/>
          <cell r="D611">
            <v>11</v>
          </cell>
          <cell r="E611">
            <v>11</v>
          </cell>
          <cell r="F611">
            <v>12</v>
          </cell>
          <cell r="G611">
            <v>12</v>
          </cell>
          <cell r="H611">
            <v>10</v>
          </cell>
          <cell r="I611">
            <v>9</v>
          </cell>
          <cell r="J611">
            <v>8</v>
          </cell>
          <cell r="K611">
            <v>8</v>
          </cell>
          <cell r="L611">
            <v>8</v>
          </cell>
          <cell r="M611">
            <v>9</v>
          </cell>
          <cell r="N611">
            <v>10</v>
          </cell>
          <cell r="O611">
            <v>11</v>
          </cell>
          <cell r="P611">
            <v>10</v>
          </cell>
        </row>
        <row r="612">
          <cell r="B612"/>
          <cell r="C612"/>
          <cell r="D612">
            <v>54</v>
          </cell>
          <cell r="E612">
            <v>53</v>
          </cell>
          <cell r="F612">
            <v>66</v>
          </cell>
          <cell r="G612">
            <v>53</v>
          </cell>
          <cell r="H612">
            <v>55</v>
          </cell>
          <cell r="I612">
            <v>64</v>
          </cell>
          <cell r="J612">
            <v>81</v>
          </cell>
          <cell r="K612">
            <v>46</v>
          </cell>
          <cell r="L612">
            <v>69</v>
          </cell>
          <cell r="M612">
            <v>56</v>
          </cell>
          <cell r="N612">
            <v>63</v>
          </cell>
          <cell r="O612">
            <v>58</v>
          </cell>
          <cell r="P612">
            <v>81</v>
          </cell>
        </row>
        <row r="613">
          <cell r="B613" t="str">
            <v>Atlantic State Marina</v>
          </cell>
          <cell r="C613"/>
          <cell r="D613" t="str">
            <v>N/A</v>
          </cell>
          <cell r="E613" t="str">
            <v>N/A</v>
          </cell>
          <cell r="F613" t="str">
            <v>N/A</v>
          </cell>
          <cell r="G613" t="str">
            <v>N/A</v>
          </cell>
          <cell r="H613" t="str">
            <v>N/A</v>
          </cell>
          <cell r="I613" t="str">
            <v>N/A</v>
          </cell>
          <cell r="J613" t="str">
            <v>N/A</v>
          </cell>
          <cell r="K613" t="str">
            <v>N/A</v>
          </cell>
          <cell r="L613" t="str">
            <v>N/A</v>
          </cell>
          <cell r="M613" t="str">
            <v>N/A</v>
          </cell>
          <cell r="N613" t="str">
            <v>N/A</v>
          </cell>
          <cell r="O613" t="str">
            <v>N/A</v>
          </cell>
          <cell r="P613" t="str">
            <v>N/A</v>
          </cell>
        </row>
        <row r="614">
          <cell r="B614"/>
          <cell r="C614"/>
          <cell r="D614" t="str">
            <v>N/A</v>
          </cell>
          <cell r="E614" t="str">
            <v>N/A</v>
          </cell>
          <cell r="F614" t="str">
            <v>N/A</v>
          </cell>
          <cell r="G614" t="str">
            <v>N/A</v>
          </cell>
          <cell r="H614" t="str">
            <v>N/A</v>
          </cell>
          <cell r="I614" t="str">
            <v>N/A</v>
          </cell>
          <cell r="J614" t="str">
            <v>N/A</v>
          </cell>
          <cell r="K614" t="str">
            <v>N/A</v>
          </cell>
          <cell r="L614" t="str">
            <v>N/A</v>
          </cell>
          <cell r="M614" t="str">
            <v>N/A</v>
          </cell>
          <cell r="N614" t="str">
            <v>N/A</v>
          </cell>
          <cell r="O614" t="str">
            <v>N/A</v>
          </cell>
          <cell r="P614" t="str">
            <v>N/A</v>
          </cell>
        </row>
        <row r="615">
          <cell r="B615"/>
          <cell r="C615"/>
          <cell r="D615">
            <v>58</v>
          </cell>
          <cell r="E615">
            <v>60</v>
          </cell>
          <cell r="F615">
            <v>87</v>
          </cell>
          <cell r="G615">
            <v>63</v>
          </cell>
          <cell r="H615">
            <v>52</v>
          </cell>
          <cell r="I615">
            <v>64</v>
          </cell>
          <cell r="J615">
            <v>52</v>
          </cell>
          <cell r="K615">
            <v>67</v>
          </cell>
          <cell r="L615">
            <v>78</v>
          </cell>
          <cell r="M615">
            <v>77</v>
          </cell>
          <cell r="N615">
            <v>64</v>
          </cell>
          <cell r="O615">
            <v>67</v>
          </cell>
          <cell r="P615">
            <v>87</v>
          </cell>
        </row>
        <row r="616">
          <cell r="B616" t="str">
            <v>Trenton</v>
          </cell>
          <cell r="C616"/>
          <cell r="D616" t="str">
            <v>NW</v>
          </cell>
          <cell r="E616" t="str">
            <v>NW</v>
          </cell>
          <cell r="F616" t="str">
            <v>NW</v>
          </cell>
          <cell r="G616" t="str">
            <v>S</v>
          </cell>
          <cell r="H616" t="str">
            <v>S</v>
          </cell>
          <cell r="I616" t="str">
            <v>S</v>
          </cell>
          <cell r="J616" t="str">
            <v>S</v>
          </cell>
          <cell r="K616" t="str">
            <v>S</v>
          </cell>
          <cell r="L616" t="str">
            <v>S</v>
          </cell>
          <cell r="M616" t="str">
            <v>N</v>
          </cell>
          <cell r="N616" t="str">
            <v>NW</v>
          </cell>
          <cell r="O616" t="str">
            <v>NW</v>
          </cell>
          <cell r="P616" t="str">
            <v>S</v>
          </cell>
        </row>
        <row r="617">
          <cell r="B617"/>
          <cell r="C617"/>
          <cell r="D617">
            <v>10</v>
          </cell>
          <cell r="E617">
            <v>10</v>
          </cell>
          <cell r="F617">
            <v>11</v>
          </cell>
          <cell r="G617">
            <v>10</v>
          </cell>
          <cell r="H617">
            <v>9</v>
          </cell>
          <cell r="I617">
            <v>8</v>
          </cell>
          <cell r="J617">
            <v>8</v>
          </cell>
          <cell r="K617">
            <v>8</v>
          </cell>
          <cell r="L617">
            <v>8</v>
          </cell>
          <cell r="M617">
            <v>8</v>
          </cell>
          <cell r="N617">
            <v>9</v>
          </cell>
          <cell r="O617">
            <v>9</v>
          </cell>
          <cell r="P617">
            <v>9</v>
          </cell>
        </row>
        <row r="618">
          <cell r="B618"/>
          <cell r="C618"/>
          <cell r="D618">
            <v>57</v>
          </cell>
          <cell r="E618">
            <v>51</v>
          </cell>
          <cell r="F618">
            <v>49</v>
          </cell>
          <cell r="G618">
            <v>47</v>
          </cell>
          <cell r="H618">
            <v>40</v>
          </cell>
          <cell r="I618">
            <v>43</v>
          </cell>
          <cell r="J618">
            <v>46</v>
          </cell>
          <cell r="K618">
            <v>43</v>
          </cell>
          <cell r="L618">
            <v>56</v>
          </cell>
          <cell r="M618">
            <v>60</v>
          </cell>
          <cell r="N618">
            <v>64</v>
          </cell>
          <cell r="O618">
            <v>52</v>
          </cell>
          <cell r="P618">
            <v>64</v>
          </cell>
        </row>
        <row r="619">
          <cell r="B619" t="str">
            <v>McGuire</v>
          </cell>
          <cell r="C619"/>
          <cell r="D619" t="str">
            <v>WNW</v>
          </cell>
          <cell r="E619" t="str">
            <v>WNW</v>
          </cell>
          <cell r="F619" t="str">
            <v>WNW</v>
          </cell>
          <cell r="G619" t="str">
            <v>WNW</v>
          </cell>
          <cell r="H619" t="str">
            <v>WSW</v>
          </cell>
          <cell r="I619" t="str">
            <v>WSW</v>
          </cell>
          <cell r="J619" t="str">
            <v>WSW</v>
          </cell>
          <cell r="K619" t="str">
            <v>SSW</v>
          </cell>
          <cell r="L619" t="str">
            <v>WSW</v>
          </cell>
          <cell r="M619" t="str">
            <v>WSW</v>
          </cell>
          <cell r="N619" t="str">
            <v>WNW</v>
          </cell>
          <cell r="O619" t="str">
            <v>WNW</v>
          </cell>
          <cell r="P619" t="str">
            <v>WNW</v>
          </cell>
        </row>
        <row r="620">
          <cell r="B620"/>
          <cell r="C620"/>
          <cell r="D620">
            <v>8</v>
          </cell>
          <cell r="E620">
            <v>8</v>
          </cell>
          <cell r="F620">
            <v>8</v>
          </cell>
          <cell r="G620">
            <v>8</v>
          </cell>
          <cell r="H620">
            <v>6</v>
          </cell>
          <cell r="I620">
            <v>6</v>
          </cell>
          <cell r="J620">
            <v>5</v>
          </cell>
          <cell r="K620">
            <v>5</v>
          </cell>
          <cell r="L620">
            <v>5</v>
          </cell>
          <cell r="M620">
            <v>6</v>
          </cell>
          <cell r="N620">
            <v>7</v>
          </cell>
          <cell r="O620">
            <v>8</v>
          </cell>
          <cell r="P620">
            <v>7</v>
          </cell>
        </row>
        <row r="621">
          <cell r="B621"/>
          <cell r="C621"/>
          <cell r="D621">
            <v>56</v>
          </cell>
          <cell r="E621">
            <v>61</v>
          </cell>
          <cell r="F621">
            <v>62</v>
          </cell>
          <cell r="G621">
            <v>64</v>
          </cell>
          <cell r="H621">
            <v>71</v>
          </cell>
          <cell r="I621">
            <v>82</v>
          </cell>
          <cell r="J621">
            <v>78</v>
          </cell>
          <cell r="K621">
            <v>81</v>
          </cell>
          <cell r="L621">
            <v>76</v>
          </cell>
          <cell r="M621">
            <v>87</v>
          </cell>
          <cell r="N621">
            <v>84</v>
          </cell>
          <cell r="O621">
            <v>64</v>
          </cell>
          <cell r="P621">
            <v>87</v>
          </cell>
        </row>
        <row r="622">
          <cell r="B622" t="str">
            <v>Newark</v>
          </cell>
          <cell r="C622"/>
          <cell r="D622" t="str">
            <v>WNW</v>
          </cell>
          <cell r="E622" t="str">
            <v>WNW</v>
          </cell>
          <cell r="F622" t="str">
            <v>WNW</v>
          </cell>
          <cell r="G622" t="str">
            <v>NW</v>
          </cell>
          <cell r="H622" t="str">
            <v>NW</v>
          </cell>
          <cell r="I622" t="str">
            <v>NW</v>
          </cell>
          <cell r="J622" t="str">
            <v>NW</v>
          </cell>
          <cell r="K622" t="str">
            <v>NW</v>
          </cell>
          <cell r="L622" t="str">
            <v>NW</v>
          </cell>
          <cell r="M622" t="str">
            <v>NW</v>
          </cell>
          <cell r="N622" t="str">
            <v>NW</v>
          </cell>
          <cell r="O622" t="str">
            <v>NW</v>
          </cell>
          <cell r="P622" t="str">
            <v>NW</v>
          </cell>
        </row>
        <row r="623">
          <cell r="B623"/>
          <cell r="C623"/>
          <cell r="D623">
            <v>11</v>
          </cell>
          <cell r="E623">
            <v>11</v>
          </cell>
          <cell r="F623">
            <v>12</v>
          </cell>
          <cell r="G623">
            <v>11</v>
          </cell>
          <cell r="H623">
            <v>10</v>
          </cell>
          <cell r="I623">
            <v>10</v>
          </cell>
          <cell r="J623">
            <v>9</v>
          </cell>
          <cell r="K623">
            <v>9</v>
          </cell>
          <cell r="L623">
            <v>9</v>
          </cell>
          <cell r="M623">
            <v>10</v>
          </cell>
          <cell r="N623">
            <v>10</v>
          </cell>
          <cell r="O623">
            <v>11</v>
          </cell>
          <cell r="P623">
            <v>10</v>
          </cell>
        </row>
        <row r="624">
          <cell r="B624"/>
          <cell r="C624"/>
          <cell r="D624">
            <v>54</v>
          </cell>
          <cell r="E624">
            <v>60</v>
          </cell>
          <cell r="F624">
            <v>62</v>
          </cell>
          <cell r="G624">
            <v>58</v>
          </cell>
          <cell r="H624">
            <v>58</v>
          </cell>
          <cell r="I624">
            <v>83</v>
          </cell>
          <cell r="J624">
            <v>69</v>
          </cell>
          <cell r="K624">
            <v>68</v>
          </cell>
          <cell r="L624">
            <v>67</v>
          </cell>
          <cell r="M624">
            <v>53</v>
          </cell>
          <cell r="N624">
            <v>63</v>
          </cell>
          <cell r="O624">
            <v>60</v>
          </cell>
          <cell r="P624">
            <v>83</v>
          </cell>
        </row>
        <row r="625">
          <cell r="C625"/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</row>
        <row r="626">
          <cell r="B626" t="str">
            <v>Alamagordo</v>
          </cell>
          <cell r="C626"/>
          <cell r="D626" t="str">
            <v>N</v>
          </cell>
          <cell r="E626" t="str">
            <v>SSE</v>
          </cell>
          <cell r="F626" t="str">
            <v>SSE</v>
          </cell>
          <cell r="G626" t="str">
            <v>WSW</v>
          </cell>
          <cell r="H626" t="str">
            <v>S</v>
          </cell>
          <cell r="I626" t="str">
            <v>S</v>
          </cell>
          <cell r="J626" t="str">
            <v>SSE</v>
          </cell>
          <cell r="K626" t="str">
            <v>S</v>
          </cell>
          <cell r="L626" t="str">
            <v>S</v>
          </cell>
          <cell r="M626" t="str">
            <v>S</v>
          </cell>
          <cell r="N626" t="str">
            <v>SSE</v>
          </cell>
          <cell r="O626" t="str">
            <v>SSE</v>
          </cell>
          <cell r="P626" t="str">
            <v>SSE</v>
          </cell>
        </row>
        <row r="627">
          <cell r="B627"/>
          <cell r="C627"/>
          <cell r="D627">
            <v>5</v>
          </cell>
          <cell r="E627">
            <v>5</v>
          </cell>
          <cell r="F627">
            <v>6</v>
          </cell>
          <cell r="G627">
            <v>6</v>
          </cell>
          <cell r="H627">
            <v>6</v>
          </cell>
          <cell r="I627">
            <v>6</v>
          </cell>
          <cell r="J627">
            <v>5</v>
          </cell>
          <cell r="K627">
            <v>5</v>
          </cell>
          <cell r="L627">
            <v>5</v>
          </cell>
          <cell r="M627">
            <v>3</v>
          </cell>
          <cell r="N627">
            <v>5</v>
          </cell>
          <cell r="O627">
            <v>3</v>
          </cell>
          <cell r="P627">
            <v>5</v>
          </cell>
        </row>
        <row r="628">
          <cell r="B628"/>
          <cell r="C628"/>
          <cell r="D628">
            <v>77</v>
          </cell>
          <cell r="E628">
            <v>56</v>
          </cell>
          <cell r="F628">
            <v>59</v>
          </cell>
          <cell r="G628">
            <v>77</v>
          </cell>
          <cell r="H628">
            <v>79</v>
          </cell>
          <cell r="I628">
            <v>63</v>
          </cell>
          <cell r="J628">
            <v>66</v>
          </cell>
          <cell r="K628">
            <v>69</v>
          </cell>
          <cell r="L628">
            <v>52</v>
          </cell>
          <cell r="M628">
            <v>58</v>
          </cell>
          <cell r="N628">
            <v>67</v>
          </cell>
          <cell r="O628">
            <v>56</v>
          </cell>
          <cell r="P628">
            <v>79</v>
          </cell>
        </row>
        <row r="629">
          <cell r="B629" t="str">
            <v>Albuquerque</v>
          </cell>
          <cell r="C629"/>
          <cell r="D629" t="str">
            <v>N</v>
          </cell>
          <cell r="E629" t="str">
            <v>N</v>
          </cell>
          <cell r="F629" t="str">
            <v>N</v>
          </cell>
          <cell r="G629" t="str">
            <v>SW</v>
          </cell>
          <cell r="H629" t="str">
            <v>S</v>
          </cell>
          <cell r="I629" t="str">
            <v>E</v>
          </cell>
          <cell r="J629" t="str">
            <v>E</v>
          </cell>
          <cell r="K629" t="str">
            <v>E</v>
          </cell>
          <cell r="L629" t="str">
            <v>ESE</v>
          </cell>
          <cell r="M629" t="str">
            <v>N</v>
          </cell>
          <cell r="N629" t="str">
            <v>N</v>
          </cell>
          <cell r="O629" t="str">
            <v>N</v>
          </cell>
          <cell r="P629" t="str">
            <v>N</v>
          </cell>
        </row>
        <row r="630">
          <cell r="B630"/>
          <cell r="C630"/>
          <cell r="D630">
            <v>8</v>
          </cell>
          <cell r="E630">
            <v>9</v>
          </cell>
          <cell r="F630">
            <v>10</v>
          </cell>
          <cell r="G630">
            <v>11</v>
          </cell>
          <cell r="H630">
            <v>10</v>
          </cell>
          <cell r="I630">
            <v>10</v>
          </cell>
          <cell r="J630">
            <v>9</v>
          </cell>
          <cell r="K630">
            <v>8</v>
          </cell>
          <cell r="L630">
            <v>8</v>
          </cell>
          <cell r="M630">
            <v>8</v>
          </cell>
          <cell r="N630">
            <v>8</v>
          </cell>
          <cell r="O630">
            <v>8</v>
          </cell>
          <cell r="P630">
            <v>9</v>
          </cell>
        </row>
        <row r="631">
          <cell r="B631"/>
          <cell r="C631"/>
          <cell r="D631">
            <v>70</v>
          </cell>
          <cell r="E631">
            <v>63</v>
          </cell>
          <cell r="F631">
            <v>77</v>
          </cell>
          <cell r="G631">
            <v>64</v>
          </cell>
          <cell r="H631">
            <v>70</v>
          </cell>
          <cell r="I631">
            <v>68</v>
          </cell>
          <cell r="J631">
            <v>72</v>
          </cell>
          <cell r="K631">
            <v>63</v>
          </cell>
          <cell r="L631">
            <v>61</v>
          </cell>
          <cell r="M631">
            <v>55</v>
          </cell>
          <cell r="N631">
            <v>63</v>
          </cell>
          <cell r="O631">
            <v>71</v>
          </cell>
          <cell r="P631">
            <v>77</v>
          </cell>
        </row>
        <row r="632">
          <cell r="B632" t="str">
            <v>Clayton</v>
          </cell>
          <cell r="C632"/>
          <cell r="D632" t="str">
            <v>W</v>
          </cell>
          <cell r="E632" t="str">
            <v>W</v>
          </cell>
          <cell r="F632" t="str">
            <v>W</v>
          </cell>
          <cell r="G632" t="str">
            <v>SW</v>
          </cell>
          <cell r="H632" t="str">
            <v>SW</v>
          </cell>
          <cell r="I632" t="str">
            <v>SW</v>
          </cell>
          <cell r="J632" t="str">
            <v>SW</v>
          </cell>
          <cell r="K632" t="str">
            <v>SW</v>
          </cell>
          <cell r="L632" t="str">
            <v>SSW</v>
          </cell>
          <cell r="M632" t="str">
            <v>SW</v>
          </cell>
          <cell r="N632" t="str">
            <v>W</v>
          </cell>
          <cell r="O632" t="str">
            <v>SW</v>
          </cell>
          <cell r="P632" t="str">
            <v>SW</v>
          </cell>
        </row>
        <row r="633">
          <cell r="B633"/>
          <cell r="C633"/>
          <cell r="D633">
            <v>12</v>
          </cell>
          <cell r="E633">
            <v>12</v>
          </cell>
          <cell r="F633">
            <v>13</v>
          </cell>
          <cell r="G633">
            <v>15</v>
          </cell>
          <cell r="H633">
            <v>13</v>
          </cell>
          <cell r="I633">
            <v>12</v>
          </cell>
          <cell r="J633">
            <v>11</v>
          </cell>
          <cell r="K633">
            <v>11</v>
          </cell>
          <cell r="L633">
            <v>12</v>
          </cell>
          <cell r="M633">
            <v>12</v>
          </cell>
          <cell r="N633">
            <v>13</v>
          </cell>
          <cell r="O633">
            <v>13</v>
          </cell>
          <cell r="P633">
            <v>12</v>
          </cell>
        </row>
        <row r="634">
          <cell r="B634"/>
          <cell r="C634"/>
          <cell r="D634" t="str">
            <v>N/A</v>
          </cell>
          <cell r="E634" t="str">
            <v>N/A</v>
          </cell>
          <cell r="F634" t="str">
            <v>N/A</v>
          </cell>
          <cell r="G634" t="str">
            <v>N/A</v>
          </cell>
          <cell r="H634" t="str">
            <v>N/A</v>
          </cell>
          <cell r="I634" t="str">
            <v>N/A</v>
          </cell>
          <cell r="J634" t="str">
            <v>N/A</v>
          </cell>
          <cell r="K634" t="str">
            <v>N/A</v>
          </cell>
          <cell r="L634" t="str">
            <v>N/A</v>
          </cell>
          <cell r="M634" t="str">
            <v>N/A</v>
          </cell>
          <cell r="N634" t="str">
            <v>N/A</v>
          </cell>
          <cell r="O634" t="str">
            <v>N/A</v>
          </cell>
          <cell r="P634" t="str">
            <v>N/A</v>
          </cell>
        </row>
        <row r="635">
          <cell r="B635" t="str">
            <v>Clovis</v>
          </cell>
          <cell r="C635"/>
          <cell r="D635" t="str">
            <v>W</v>
          </cell>
          <cell r="E635" t="str">
            <v>W</v>
          </cell>
          <cell r="F635" t="str">
            <v>W</v>
          </cell>
          <cell r="G635" t="str">
            <v>W</v>
          </cell>
          <cell r="H635" t="str">
            <v>W</v>
          </cell>
          <cell r="I635" t="str">
            <v>S</v>
          </cell>
          <cell r="J635" t="str">
            <v>S</v>
          </cell>
          <cell r="K635" t="str">
            <v>SSE</v>
          </cell>
          <cell r="L635" t="str">
            <v>SSW</v>
          </cell>
          <cell r="M635" t="str">
            <v>WSW</v>
          </cell>
          <cell r="N635" t="str">
            <v>W</v>
          </cell>
          <cell r="O635" t="str">
            <v>W</v>
          </cell>
          <cell r="P635" t="str">
            <v>W</v>
          </cell>
        </row>
        <row r="636">
          <cell r="B636"/>
          <cell r="C636"/>
          <cell r="D636">
            <v>9</v>
          </cell>
          <cell r="E636">
            <v>9</v>
          </cell>
          <cell r="F636">
            <v>9</v>
          </cell>
          <cell r="G636">
            <v>10</v>
          </cell>
          <cell r="H636">
            <v>9</v>
          </cell>
          <cell r="I636">
            <v>8</v>
          </cell>
          <cell r="J636">
            <v>7</v>
          </cell>
          <cell r="K636">
            <v>6</v>
          </cell>
          <cell r="L636">
            <v>7</v>
          </cell>
          <cell r="M636">
            <v>8</v>
          </cell>
          <cell r="N636">
            <v>9</v>
          </cell>
          <cell r="O636">
            <v>9</v>
          </cell>
          <cell r="P636">
            <v>8</v>
          </cell>
        </row>
        <row r="637">
          <cell r="B637"/>
          <cell r="C637"/>
          <cell r="D637">
            <v>69</v>
          </cell>
          <cell r="E637">
            <v>70</v>
          </cell>
          <cell r="F637">
            <v>84</v>
          </cell>
          <cell r="G637">
            <v>68</v>
          </cell>
          <cell r="H637">
            <v>75</v>
          </cell>
          <cell r="I637">
            <v>74</v>
          </cell>
          <cell r="J637">
            <v>76</v>
          </cell>
          <cell r="K637">
            <v>79</v>
          </cell>
          <cell r="L637">
            <v>81</v>
          </cell>
          <cell r="M637">
            <v>74</v>
          </cell>
          <cell r="N637">
            <v>68</v>
          </cell>
          <cell r="O637">
            <v>77</v>
          </cell>
          <cell r="P637">
            <v>84</v>
          </cell>
        </row>
        <row r="638">
          <cell r="B638" t="str">
            <v>Roswell</v>
          </cell>
          <cell r="C638"/>
          <cell r="D638" t="str">
            <v>S</v>
          </cell>
          <cell r="E638" t="str">
            <v>S</v>
          </cell>
          <cell r="F638" t="str">
            <v>S</v>
          </cell>
          <cell r="G638" t="str">
            <v>S</v>
          </cell>
          <cell r="H638" t="str">
            <v>S</v>
          </cell>
          <cell r="I638" t="str">
            <v>SSE</v>
          </cell>
          <cell r="J638" t="str">
            <v>SE</v>
          </cell>
          <cell r="K638" t="str">
            <v>SE</v>
          </cell>
          <cell r="L638" t="str">
            <v>S</v>
          </cell>
          <cell r="M638" t="str">
            <v>SSE</v>
          </cell>
          <cell r="N638" t="str">
            <v>S</v>
          </cell>
          <cell r="O638" t="str">
            <v>S</v>
          </cell>
          <cell r="P638" t="str">
            <v>S</v>
          </cell>
        </row>
        <row r="639">
          <cell r="B639"/>
          <cell r="C639"/>
          <cell r="D639">
            <v>6</v>
          </cell>
          <cell r="E639">
            <v>8</v>
          </cell>
          <cell r="F639">
            <v>9</v>
          </cell>
          <cell r="G639">
            <v>9</v>
          </cell>
          <cell r="H639">
            <v>9</v>
          </cell>
          <cell r="I639">
            <v>9</v>
          </cell>
          <cell r="J639">
            <v>8</v>
          </cell>
          <cell r="K639">
            <v>7</v>
          </cell>
          <cell r="L639">
            <v>7</v>
          </cell>
          <cell r="M639">
            <v>7</v>
          </cell>
          <cell r="N639">
            <v>7</v>
          </cell>
          <cell r="O639">
            <v>6</v>
          </cell>
          <cell r="P639">
            <v>8</v>
          </cell>
        </row>
        <row r="640">
          <cell r="B640"/>
          <cell r="C640"/>
          <cell r="D640">
            <v>58</v>
          </cell>
          <cell r="E640">
            <v>62</v>
          </cell>
          <cell r="F640">
            <v>75</v>
          </cell>
          <cell r="G640">
            <v>62</v>
          </cell>
          <cell r="H640">
            <v>66</v>
          </cell>
          <cell r="I640">
            <v>71</v>
          </cell>
          <cell r="J640">
            <v>60</v>
          </cell>
          <cell r="K640">
            <v>64</v>
          </cell>
          <cell r="L640">
            <v>69</v>
          </cell>
          <cell r="M640">
            <v>58</v>
          </cell>
          <cell r="N640">
            <v>54</v>
          </cell>
          <cell r="O640">
            <v>60</v>
          </cell>
          <cell r="P640">
            <v>75</v>
          </cell>
        </row>
        <row r="641">
          <cell r="C641"/>
          <cell r="D641"/>
          <cell r="E641"/>
          <cell r="F641"/>
          <cell r="G641"/>
          <cell r="H641"/>
          <cell r="I641"/>
          <cell r="J641"/>
          <cell r="K641"/>
          <cell r="L641"/>
          <cell r="M641"/>
          <cell r="N641"/>
          <cell r="O641"/>
          <cell r="P641"/>
        </row>
        <row r="642">
          <cell r="B642" t="str">
            <v xml:space="preserve">Albany </v>
          </cell>
          <cell r="C642"/>
          <cell r="D642" t="str">
            <v>WNW</v>
          </cell>
          <cell r="E642" t="str">
            <v>WNW</v>
          </cell>
          <cell r="F642" t="str">
            <v>WNW</v>
          </cell>
          <cell r="G642" t="str">
            <v>WNW</v>
          </cell>
          <cell r="H642" t="str">
            <v>S</v>
          </cell>
          <cell r="I642" t="str">
            <v>S</v>
          </cell>
          <cell r="J642" t="str">
            <v>S</v>
          </cell>
          <cell r="K642" t="str">
            <v>S</v>
          </cell>
          <cell r="L642" t="str">
            <v>S</v>
          </cell>
          <cell r="M642" t="str">
            <v>S</v>
          </cell>
          <cell r="N642" t="str">
            <v>S</v>
          </cell>
          <cell r="O642" t="str">
            <v>WNW</v>
          </cell>
          <cell r="P642" t="str">
            <v>S</v>
          </cell>
        </row>
        <row r="643">
          <cell r="B643"/>
          <cell r="C643"/>
          <cell r="D643">
            <v>10</v>
          </cell>
          <cell r="E643">
            <v>10</v>
          </cell>
          <cell r="F643">
            <v>11</v>
          </cell>
          <cell r="G643">
            <v>10</v>
          </cell>
          <cell r="H643">
            <v>9</v>
          </cell>
          <cell r="I643">
            <v>8</v>
          </cell>
          <cell r="J643">
            <v>8</v>
          </cell>
          <cell r="K643">
            <v>7</v>
          </cell>
          <cell r="L643">
            <v>8</v>
          </cell>
          <cell r="M643">
            <v>8</v>
          </cell>
          <cell r="N643">
            <v>9</v>
          </cell>
          <cell r="O643">
            <v>9</v>
          </cell>
          <cell r="P643">
            <v>9</v>
          </cell>
        </row>
        <row r="644">
          <cell r="B644"/>
          <cell r="C644"/>
          <cell r="D644">
            <v>58</v>
          </cell>
          <cell r="E644">
            <v>56</v>
          </cell>
          <cell r="F644">
            <v>53</v>
          </cell>
          <cell r="G644">
            <v>56</v>
          </cell>
          <cell r="H644">
            <v>49</v>
          </cell>
          <cell r="I644">
            <v>59</v>
          </cell>
          <cell r="J644">
            <v>77</v>
          </cell>
          <cell r="K644">
            <v>73</v>
          </cell>
          <cell r="L644">
            <v>47</v>
          </cell>
          <cell r="M644">
            <v>56</v>
          </cell>
          <cell r="N644">
            <v>58</v>
          </cell>
          <cell r="O644">
            <v>56</v>
          </cell>
          <cell r="P644">
            <v>77</v>
          </cell>
        </row>
        <row r="645">
          <cell r="B645" t="str">
            <v>Binghamton</v>
          </cell>
          <cell r="C645"/>
          <cell r="D645" t="str">
            <v>WNW</v>
          </cell>
          <cell r="E645" t="str">
            <v>WNW</v>
          </cell>
          <cell r="F645" t="str">
            <v>WNW</v>
          </cell>
          <cell r="G645" t="str">
            <v>WNW</v>
          </cell>
          <cell r="H645" t="str">
            <v>NW</v>
          </cell>
          <cell r="I645" t="str">
            <v>SW</v>
          </cell>
          <cell r="J645" t="str">
            <v>SW</v>
          </cell>
          <cell r="K645" t="str">
            <v>SW</v>
          </cell>
          <cell r="L645" t="str">
            <v>S</v>
          </cell>
          <cell r="M645" t="str">
            <v>S</v>
          </cell>
          <cell r="N645" t="str">
            <v>NW</v>
          </cell>
          <cell r="O645" t="str">
            <v>WNW</v>
          </cell>
          <cell r="P645" t="str">
            <v>WNW</v>
          </cell>
        </row>
        <row r="646">
          <cell r="B646"/>
          <cell r="C646"/>
          <cell r="D646">
            <v>11</v>
          </cell>
          <cell r="E646">
            <v>11</v>
          </cell>
          <cell r="F646">
            <v>11</v>
          </cell>
          <cell r="G646">
            <v>11</v>
          </cell>
          <cell r="H646">
            <v>10</v>
          </cell>
          <cell r="I646">
            <v>9</v>
          </cell>
          <cell r="J646">
            <v>8</v>
          </cell>
          <cell r="K646">
            <v>8</v>
          </cell>
          <cell r="L646">
            <v>9</v>
          </cell>
          <cell r="M646">
            <v>9</v>
          </cell>
          <cell r="N646">
            <v>11</v>
          </cell>
          <cell r="O646">
            <v>11</v>
          </cell>
          <cell r="P646">
            <v>10</v>
          </cell>
        </row>
        <row r="647">
          <cell r="B647"/>
          <cell r="C647"/>
          <cell r="D647">
            <v>51</v>
          </cell>
          <cell r="E647">
            <v>52</v>
          </cell>
          <cell r="F647">
            <v>52</v>
          </cell>
          <cell r="G647">
            <v>52</v>
          </cell>
          <cell r="H647">
            <v>54</v>
          </cell>
          <cell r="I647">
            <v>59</v>
          </cell>
          <cell r="J647">
            <v>74</v>
          </cell>
          <cell r="K647">
            <v>51</v>
          </cell>
          <cell r="L647">
            <v>48</v>
          </cell>
          <cell r="M647">
            <v>46</v>
          </cell>
          <cell r="N647">
            <v>62</v>
          </cell>
          <cell r="O647">
            <v>48</v>
          </cell>
          <cell r="P647">
            <v>74</v>
          </cell>
        </row>
        <row r="648">
          <cell r="B648" t="str">
            <v>Buffalo</v>
          </cell>
          <cell r="C648"/>
          <cell r="D648" t="str">
            <v>W</v>
          </cell>
          <cell r="E648" t="str">
            <v>WSW</v>
          </cell>
          <cell r="F648" t="str">
            <v>WSW</v>
          </cell>
          <cell r="G648" t="str">
            <v>SW</v>
          </cell>
          <cell r="H648" t="str">
            <v>SW</v>
          </cell>
          <cell r="I648" t="str">
            <v>SW</v>
          </cell>
          <cell r="J648" t="str">
            <v>SW</v>
          </cell>
          <cell r="K648" t="str">
            <v>SW</v>
          </cell>
          <cell r="L648" t="str">
            <v>SW</v>
          </cell>
          <cell r="M648" t="str">
            <v>SW</v>
          </cell>
          <cell r="N648" t="str">
            <v>W</v>
          </cell>
          <cell r="O648" t="str">
            <v>W</v>
          </cell>
          <cell r="P648" t="str">
            <v>WSW</v>
          </cell>
        </row>
        <row r="649">
          <cell r="B649"/>
          <cell r="C649"/>
          <cell r="D649">
            <v>14</v>
          </cell>
          <cell r="E649">
            <v>13</v>
          </cell>
          <cell r="F649">
            <v>13</v>
          </cell>
          <cell r="G649">
            <v>12</v>
          </cell>
          <cell r="H649">
            <v>11</v>
          </cell>
          <cell r="I649">
            <v>11</v>
          </cell>
          <cell r="J649">
            <v>10</v>
          </cell>
          <cell r="K649">
            <v>10</v>
          </cell>
          <cell r="L649">
            <v>10</v>
          </cell>
          <cell r="M649">
            <v>11</v>
          </cell>
          <cell r="N649">
            <v>12</v>
          </cell>
          <cell r="O649">
            <v>13</v>
          </cell>
          <cell r="P649">
            <v>12</v>
          </cell>
        </row>
        <row r="650">
          <cell r="B650"/>
          <cell r="C650"/>
          <cell r="D650">
            <v>71</v>
          </cell>
          <cell r="E650">
            <v>55</v>
          </cell>
          <cell r="F650">
            <v>72</v>
          </cell>
          <cell r="G650">
            <v>74</v>
          </cell>
          <cell r="H650">
            <v>61</v>
          </cell>
          <cell r="I650">
            <v>59</v>
          </cell>
          <cell r="J650">
            <v>53</v>
          </cell>
          <cell r="K650">
            <v>71</v>
          </cell>
          <cell r="L650">
            <v>62</v>
          </cell>
          <cell r="M650">
            <v>61</v>
          </cell>
          <cell r="N650">
            <v>12</v>
          </cell>
          <cell r="O650">
            <v>66</v>
          </cell>
          <cell r="P650">
            <v>74</v>
          </cell>
        </row>
        <row r="651">
          <cell r="B651" t="str">
            <v>Islip</v>
          </cell>
          <cell r="C651"/>
          <cell r="D651" t="str">
            <v>WNW</v>
          </cell>
          <cell r="E651" t="str">
            <v>WNW</v>
          </cell>
          <cell r="F651" t="str">
            <v>WNW</v>
          </cell>
          <cell r="G651" t="str">
            <v>WNW</v>
          </cell>
          <cell r="H651" t="str">
            <v>WNW</v>
          </cell>
          <cell r="I651" t="str">
            <v>WNW</v>
          </cell>
          <cell r="J651" t="str">
            <v>NW</v>
          </cell>
          <cell r="K651" t="str">
            <v>NW</v>
          </cell>
          <cell r="L651" t="str">
            <v>NW</v>
          </cell>
          <cell r="M651" t="str">
            <v>SW</v>
          </cell>
          <cell r="N651" t="str">
            <v>SW</v>
          </cell>
          <cell r="O651" t="str">
            <v>SW</v>
          </cell>
          <cell r="P651" t="str">
            <v>WNW</v>
          </cell>
        </row>
        <row r="652">
          <cell r="B652"/>
          <cell r="C652"/>
          <cell r="D652">
            <v>10</v>
          </cell>
          <cell r="E652">
            <v>10</v>
          </cell>
          <cell r="F652">
            <v>11</v>
          </cell>
          <cell r="G652">
            <v>11</v>
          </cell>
          <cell r="H652">
            <v>9</v>
          </cell>
          <cell r="I652">
            <v>9</v>
          </cell>
          <cell r="J652">
            <v>8</v>
          </cell>
          <cell r="K652">
            <v>8</v>
          </cell>
          <cell r="L652">
            <v>8</v>
          </cell>
          <cell r="M652">
            <v>9</v>
          </cell>
          <cell r="N652">
            <v>10</v>
          </cell>
          <cell r="O652">
            <v>10</v>
          </cell>
          <cell r="P652">
            <v>9</v>
          </cell>
        </row>
        <row r="653">
          <cell r="B653"/>
          <cell r="C653"/>
          <cell r="D653" t="str">
            <v>N/A</v>
          </cell>
          <cell r="E653" t="str">
            <v>N/A</v>
          </cell>
          <cell r="F653" t="str">
            <v>N/A</v>
          </cell>
          <cell r="G653" t="str">
            <v>N/A</v>
          </cell>
          <cell r="H653" t="str">
            <v>N/A</v>
          </cell>
          <cell r="I653" t="str">
            <v>N/A</v>
          </cell>
          <cell r="J653" t="str">
            <v>N/A</v>
          </cell>
          <cell r="K653" t="str">
            <v>N/A</v>
          </cell>
          <cell r="L653" t="str">
            <v>N/A</v>
          </cell>
          <cell r="M653" t="str">
            <v>N/A</v>
          </cell>
          <cell r="N653" t="str">
            <v>N/A</v>
          </cell>
          <cell r="O653" t="str">
            <v>N/A</v>
          </cell>
          <cell r="P653" t="str">
            <v>N/A</v>
          </cell>
        </row>
        <row r="654">
          <cell r="B654" t="str">
            <v>Newburgh</v>
          </cell>
          <cell r="C654"/>
          <cell r="D654" t="str">
            <v>W</v>
          </cell>
          <cell r="E654" t="str">
            <v>W</v>
          </cell>
          <cell r="F654" t="str">
            <v>WNW</v>
          </cell>
          <cell r="G654" t="str">
            <v>W</v>
          </cell>
          <cell r="H654" t="str">
            <v>WSW</v>
          </cell>
          <cell r="I654" t="str">
            <v>WSW</v>
          </cell>
          <cell r="J654" t="str">
            <v>WSW</v>
          </cell>
          <cell r="K654" t="str">
            <v>WSW</v>
          </cell>
          <cell r="L654" t="str">
            <v>WSW</v>
          </cell>
          <cell r="M654" t="str">
            <v>W</v>
          </cell>
          <cell r="N654" t="str">
            <v>W</v>
          </cell>
          <cell r="O654" t="str">
            <v>W</v>
          </cell>
          <cell r="P654" t="str">
            <v>W</v>
          </cell>
        </row>
        <row r="655">
          <cell r="B655"/>
          <cell r="C655"/>
          <cell r="D655">
            <v>10</v>
          </cell>
          <cell r="E655">
            <v>10</v>
          </cell>
          <cell r="F655">
            <v>12</v>
          </cell>
          <cell r="G655">
            <v>10</v>
          </cell>
          <cell r="H655">
            <v>9</v>
          </cell>
          <cell r="I655">
            <v>8</v>
          </cell>
          <cell r="J655">
            <v>7</v>
          </cell>
          <cell r="K655">
            <v>7</v>
          </cell>
          <cell r="L655">
            <v>7</v>
          </cell>
          <cell r="M655">
            <v>8</v>
          </cell>
          <cell r="N655">
            <v>9</v>
          </cell>
          <cell r="O655">
            <v>10</v>
          </cell>
          <cell r="P655">
            <v>9</v>
          </cell>
        </row>
        <row r="656">
          <cell r="B656"/>
          <cell r="C656"/>
          <cell r="D656">
            <v>71</v>
          </cell>
          <cell r="E656">
            <v>71</v>
          </cell>
          <cell r="F656">
            <v>72</v>
          </cell>
          <cell r="G656">
            <v>63</v>
          </cell>
          <cell r="H656">
            <v>76</v>
          </cell>
          <cell r="I656">
            <v>97</v>
          </cell>
          <cell r="J656">
            <v>79</v>
          </cell>
          <cell r="K656">
            <v>68</v>
          </cell>
          <cell r="L656">
            <v>70</v>
          </cell>
          <cell r="M656">
            <v>86</v>
          </cell>
          <cell r="N656">
            <v>97</v>
          </cell>
          <cell r="O656">
            <v>66</v>
          </cell>
          <cell r="P656">
            <v>97</v>
          </cell>
        </row>
        <row r="657">
          <cell r="B657" t="str">
            <v>New York</v>
          </cell>
          <cell r="C657"/>
          <cell r="D657" t="str">
            <v>NW</v>
          </cell>
          <cell r="E657" t="str">
            <v>NW</v>
          </cell>
          <cell r="F657" t="str">
            <v>NW</v>
          </cell>
          <cell r="G657" t="str">
            <v>NW</v>
          </cell>
          <cell r="H657" t="str">
            <v>SW</v>
          </cell>
          <cell r="I657" t="str">
            <v>SW</v>
          </cell>
          <cell r="J657" t="str">
            <v>SW</v>
          </cell>
          <cell r="K657" t="str">
            <v>SW</v>
          </cell>
          <cell r="L657" t="str">
            <v>SW</v>
          </cell>
          <cell r="M657" t="str">
            <v>W</v>
          </cell>
          <cell r="N657" t="str">
            <v>W</v>
          </cell>
          <cell r="O657" t="str">
            <v>NW</v>
          </cell>
          <cell r="P657" t="str">
            <v>NW</v>
          </cell>
        </row>
        <row r="658">
          <cell r="B658"/>
          <cell r="C658"/>
          <cell r="D658">
            <v>9</v>
          </cell>
          <cell r="E658">
            <v>9</v>
          </cell>
          <cell r="F658">
            <v>10</v>
          </cell>
          <cell r="G658">
            <v>9</v>
          </cell>
          <cell r="H658">
            <v>7</v>
          </cell>
          <cell r="I658">
            <v>7</v>
          </cell>
          <cell r="J658">
            <v>7</v>
          </cell>
          <cell r="K658">
            <v>6</v>
          </cell>
          <cell r="L658">
            <v>7</v>
          </cell>
          <cell r="M658">
            <v>8</v>
          </cell>
          <cell r="N658">
            <v>7</v>
          </cell>
          <cell r="O658">
            <v>8</v>
          </cell>
          <cell r="P658">
            <v>8</v>
          </cell>
        </row>
        <row r="659">
          <cell r="B659"/>
          <cell r="C659"/>
          <cell r="D659">
            <v>52</v>
          </cell>
          <cell r="E659">
            <v>51</v>
          </cell>
          <cell r="F659">
            <v>63</v>
          </cell>
          <cell r="G659">
            <v>46</v>
          </cell>
          <cell r="H659">
            <v>44</v>
          </cell>
          <cell r="I659">
            <v>41</v>
          </cell>
          <cell r="J659">
            <v>46</v>
          </cell>
          <cell r="K659">
            <v>43</v>
          </cell>
          <cell r="L659">
            <v>52</v>
          </cell>
          <cell r="M659">
            <v>46</v>
          </cell>
          <cell r="N659">
            <v>58</v>
          </cell>
          <cell r="O659">
            <v>64</v>
          </cell>
          <cell r="P659">
            <v>64</v>
          </cell>
        </row>
        <row r="660">
          <cell r="B660" t="str">
            <v>NY JFK</v>
          </cell>
          <cell r="C660"/>
          <cell r="D660" t="str">
            <v>NW</v>
          </cell>
          <cell r="E660" t="str">
            <v>NW</v>
          </cell>
          <cell r="F660" t="str">
            <v>NW</v>
          </cell>
          <cell r="G660" t="str">
            <v>S</v>
          </cell>
          <cell r="H660" t="str">
            <v>S</v>
          </cell>
          <cell r="I660" t="str">
            <v>S</v>
          </cell>
          <cell r="J660" t="str">
            <v>S</v>
          </cell>
          <cell r="K660" t="str">
            <v>S</v>
          </cell>
          <cell r="L660" t="str">
            <v>S</v>
          </cell>
          <cell r="M660" t="str">
            <v>WSW</v>
          </cell>
          <cell r="N660" t="str">
            <v>NW</v>
          </cell>
          <cell r="O660" t="str">
            <v>NW</v>
          </cell>
          <cell r="P660" t="str">
            <v>S</v>
          </cell>
        </row>
        <row r="661">
          <cell r="B661"/>
          <cell r="C661"/>
          <cell r="D661">
            <v>13</v>
          </cell>
          <cell r="E661">
            <v>13</v>
          </cell>
          <cell r="F661">
            <v>14</v>
          </cell>
          <cell r="G661">
            <v>13</v>
          </cell>
          <cell r="H661">
            <v>12</v>
          </cell>
          <cell r="I661">
            <v>11</v>
          </cell>
          <cell r="J661">
            <v>10</v>
          </cell>
          <cell r="K661">
            <v>10</v>
          </cell>
          <cell r="L661">
            <v>10</v>
          </cell>
          <cell r="M661">
            <v>11</v>
          </cell>
          <cell r="N661">
            <v>12</v>
          </cell>
          <cell r="O661">
            <v>13</v>
          </cell>
          <cell r="P661">
            <v>12</v>
          </cell>
        </row>
        <row r="662">
          <cell r="B662"/>
          <cell r="C662"/>
          <cell r="D662">
            <v>52</v>
          </cell>
          <cell r="E662">
            <v>60</v>
          </cell>
          <cell r="F662">
            <v>61</v>
          </cell>
          <cell r="G662">
            <v>52</v>
          </cell>
          <cell r="H662">
            <v>71</v>
          </cell>
          <cell r="I662">
            <v>49</v>
          </cell>
          <cell r="J662">
            <v>54</v>
          </cell>
          <cell r="K662">
            <v>47</v>
          </cell>
          <cell r="L662">
            <v>58</v>
          </cell>
          <cell r="M662">
            <v>49</v>
          </cell>
          <cell r="N662">
            <v>67</v>
          </cell>
          <cell r="O662">
            <v>60</v>
          </cell>
          <cell r="P662">
            <v>71</v>
          </cell>
        </row>
        <row r="663">
          <cell r="B663" t="str">
            <v>NY LaGuardia</v>
          </cell>
          <cell r="C663"/>
          <cell r="D663" t="str">
            <v>NW</v>
          </cell>
          <cell r="E663" t="str">
            <v>NW</v>
          </cell>
          <cell r="F663" t="str">
            <v>NW</v>
          </cell>
          <cell r="G663" t="str">
            <v>NW</v>
          </cell>
          <cell r="H663" t="str">
            <v>S</v>
          </cell>
          <cell r="I663" t="str">
            <v>S</v>
          </cell>
          <cell r="J663" t="str">
            <v>S</v>
          </cell>
          <cell r="K663" t="str">
            <v>S</v>
          </cell>
          <cell r="L663" t="str">
            <v>NE</v>
          </cell>
          <cell r="M663" t="str">
            <v>WNW</v>
          </cell>
          <cell r="N663" t="str">
            <v>WNW</v>
          </cell>
          <cell r="O663" t="str">
            <v>NW</v>
          </cell>
          <cell r="P663" t="str">
            <v>NE</v>
          </cell>
        </row>
        <row r="664">
          <cell r="B664"/>
          <cell r="C664"/>
          <cell r="D664">
            <v>14</v>
          </cell>
          <cell r="E664">
            <v>14</v>
          </cell>
          <cell r="F664">
            <v>14</v>
          </cell>
          <cell r="G664">
            <v>13</v>
          </cell>
          <cell r="H664">
            <v>12</v>
          </cell>
          <cell r="I664">
            <v>11</v>
          </cell>
          <cell r="J664">
            <v>11</v>
          </cell>
          <cell r="K664">
            <v>11</v>
          </cell>
          <cell r="L664">
            <v>11</v>
          </cell>
          <cell r="M664">
            <v>12</v>
          </cell>
          <cell r="N664">
            <v>13</v>
          </cell>
          <cell r="O664">
            <v>14</v>
          </cell>
          <cell r="P664">
            <v>13</v>
          </cell>
        </row>
        <row r="665">
          <cell r="B665"/>
          <cell r="C665"/>
          <cell r="D665">
            <v>59</v>
          </cell>
          <cell r="E665">
            <v>59</v>
          </cell>
          <cell r="F665">
            <v>71</v>
          </cell>
          <cell r="G665">
            <v>63</v>
          </cell>
          <cell r="H665">
            <v>56</v>
          </cell>
          <cell r="I665">
            <v>56</v>
          </cell>
          <cell r="J665">
            <v>49</v>
          </cell>
          <cell r="K665">
            <v>72</v>
          </cell>
          <cell r="L665">
            <v>64</v>
          </cell>
          <cell r="M665">
            <v>64</v>
          </cell>
          <cell r="N665">
            <v>76</v>
          </cell>
          <cell r="O665">
            <v>77</v>
          </cell>
          <cell r="P665">
            <v>77</v>
          </cell>
        </row>
        <row r="666">
          <cell r="B666" t="str">
            <v>Niagara Falls</v>
          </cell>
          <cell r="C666"/>
          <cell r="D666" t="str">
            <v>W</v>
          </cell>
          <cell r="E666" t="str">
            <v>WSW</v>
          </cell>
          <cell r="F666" t="str">
            <v>SW</v>
          </cell>
          <cell r="G666" t="str">
            <v>SW</v>
          </cell>
          <cell r="H666" t="str">
            <v>SW</v>
          </cell>
          <cell r="I666" t="str">
            <v>SW</v>
          </cell>
          <cell r="J666" t="str">
            <v>SW</v>
          </cell>
          <cell r="K666" t="str">
            <v>SW</v>
          </cell>
          <cell r="L666" t="str">
            <v>SW</v>
          </cell>
          <cell r="M666" t="str">
            <v>W</v>
          </cell>
          <cell r="N666" t="str">
            <v>W</v>
          </cell>
          <cell r="O666" t="str">
            <v>W</v>
          </cell>
          <cell r="P666" t="str">
            <v>SW</v>
          </cell>
        </row>
        <row r="667">
          <cell r="B667"/>
          <cell r="C667"/>
          <cell r="D667">
            <v>13</v>
          </cell>
          <cell r="E667">
            <v>12</v>
          </cell>
          <cell r="F667">
            <v>12</v>
          </cell>
          <cell r="G667">
            <v>10</v>
          </cell>
          <cell r="H667">
            <v>9</v>
          </cell>
          <cell r="I667">
            <v>9</v>
          </cell>
          <cell r="J667">
            <v>9</v>
          </cell>
          <cell r="K667">
            <v>8</v>
          </cell>
          <cell r="L667">
            <v>9</v>
          </cell>
          <cell r="M667">
            <v>9</v>
          </cell>
          <cell r="N667">
            <v>12</v>
          </cell>
          <cell r="O667">
            <v>12</v>
          </cell>
          <cell r="P667">
            <v>10</v>
          </cell>
        </row>
        <row r="668">
          <cell r="B668"/>
          <cell r="C668"/>
          <cell r="D668">
            <v>67</v>
          </cell>
          <cell r="E668">
            <v>59</v>
          </cell>
          <cell r="F668">
            <v>69</v>
          </cell>
          <cell r="G668">
            <v>59</v>
          </cell>
          <cell r="H668">
            <v>64</v>
          </cell>
          <cell r="I668">
            <v>48</v>
          </cell>
          <cell r="J668">
            <v>55</v>
          </cell>
          <cell r="K668">
            <v>48</v>
          </cell>
          <cell r="L668">
            <v>44</v>
          </cell>
          <cell r="M668">
            <v>45</v>
          </cell>
          <cell r="N668">
            <v>64</v>
          </cell>
          <cell r="O668">
            <v>52</v>
          </cell>
          <cell r="P668">
            <v>69</v>
          </cell>
        </row>
        <row r="669">
          <cell r="B669" t="str">
            <v>Plattsburgh</v>
          </cell>
          <cell r="C669"/>
          <cell r="D669" t="str">
            <v>W</v>
          </cell>
          <cell r="E669" t="str">
            <v>WSW</v>
          </cell>
          <cell r="F669" t="str">
            <v>SW</v>
          </cell>
          <cell r="G669" t="str">
            <v>SW</v>
          </cell>
          <cell r="H669" t="str">
            <v>SW</v>
          </cell>
          <cell r="I669" t="str">
            <v>SW</v>
          </cell>
          <cell r="J669" t="str">
            <v>SW</v>
          </cell>
          <cell r="K669" t="str">
            <v>SW</v>
          </cell>
          <cell r="L669" t="str">
            <v>SW</v>
          </cell>
          <cell r="M669" t="str">
            <v>W</v>
          </cell>
          <cell r="N669" t="str">
            <v>W</v>
          </cell>
          <cell r="O669" t="str">
            <v>W</v>
          </cell>
          <cell r="P669" t="str">
            <v>SW</v>
          </cell>
        </row>
        <row r="670">
          <cell r="B670"/>
          <cell r="C670"/>
          <cell r="D670">
            <v>13</v>
          </cell>
          <cell r="E670">
            <v>12</v>
          </cell>
          <cell r="F670">
            <v>12</v>
          </cell>
          <cell r="G670">
            <v>10</v>
          </cell>
          <cell r="H670">
            <v>9</v>
          </cell>
          <cell r="I670">
            <v>9</v>
          </cell>
          <cell r="J670">
            <v>9</v>
          </cell>
          <cell r="K670">
            <v>8</v>
          </cell>
          <cell r="L670">
            <v>9</v>
          </cell>
          <cell r="M670">
            <v>9</v>
          </cell>
          <cell r="N670">
            <v>12</v>
          </cell>
          <cell r="O670">
            <v>12</v>
          </cell>
          <cell r="P670">
            <v>10</v>
          </cell>
        </row>
        <row r="671">
          <cell r="B671"/>
          <cell r="C671"/>
          <cell r="D671">
            <v>67</v>
          </cell>
          <cell r="E671">
            <v>59</v>
          </cell>
          <cell r="F671">
            <v>69</v>
          </cell>
          <cell r="G671">
            <v>59</v>
          </cell>
          <cell r="H671">
            <v>64</v>
          </cell>
          <cell r="I671">
            <v>48</v>
          </cell>
          <cell r="J671">
            <v>55</v>
          </cell>
          <cell r="K671">
            <v>48</v>
          </cell>
          <cell r="L671">
            <v>44</v>
          </cell>
          <cell r="M671">
            <v>45</v>
          </cell>
          <cell r="N671">
            <v>64</v>
          </cell>
          <cell r="O671">
            <v>52</v>
          </cell>
          <cell r="P671">
            <v>69</v>
          </cell>
        </row>
        <row r="672">
          <cell r="B672" t="str">
            <v>Rochester</v>
          </cell>
          <cell r="C672"/>
          <cell r="D672" t="str">
            <v>WSW</v>
          </cell>
          <cell r="E672" t="str">
            <v>WSW</v>
          </cell>
          <cell r="F672" t="str">
            <v>WSW</v>
          </cell>
          <cell r="G672" t="str">
            <v>WSW</v>
          </cell>
          <cell r="H672" t="str">
            <v>WSW</v>
          </cell>
          <cell r="I672" t="str">
            <v>WSW</v>
          </cell>
          <cell r="J672" t="str">
            <v>WSW</v>
          </cell>
          <cell r="K672" t="str">
            <v>WSW</v>
          </cell>
          <cell r="L672" t="str">
            <v>WSW</v>
          </cell>
          <cell r="M672" t="str">
            <v>WSW</v>
          </cell>
          <cell r="N672" t="str">
            <v>WSW</v>
          </cell>
          <cell r="O672" t="str">
            <v>WSW</v>
          </cell>
          <cell r="P672" t="str">
            <v>WSW</v>
          </cell>
        </row>
        <row r="673">
          <cell r="B673"/>
          <cell r="C673"/>
          <cell r="D673">
            <v>12</v>
          </cell>
          <cell r="E673">
            <v>12</v>
          </cell>
          <cell r="F673">
            <v>12</v>
          </cell>
          <cell r="G673">
            <v>12</v>
          </cell>
          <cell r="H673">
            <v>10</v>
          </cell>
          <cell r="I673">
            <v>9</v>
          </cell>
          <cell r="J673">
            <v>9</v>
          </cell>
          <cell r="K673">
            <v>8</v>
          </cell>
          <cell r="L673">
            <v>9</v>
          </cell>
          <cell r="M673">
            <v>9</v>
          </cell>
          <cell r="N673">
            <v>11</v>
          </cell>
          <cell r="O673">
            <v>11</v>
          </cell>
          <cell r="P673">
            <v>10</v>
          </cell>
        </row>
        <row r="674">
          <cell r="B674"/>
          <cell r="C674"/>
          <cell r="D674">
            <v>63</v>
          </cell>
          <cell r="E674">
            <v>52</v>
          </cell>
          <cell r="F674">
            <v>68</v>
          </cell>
          <cell r="G674">
            <v>67</v>
          </cell>
          <cell r="H674">
            <v>64</v>
          </cell>
          <cell r="I674">
            <v>52</v>
          </cell>
          <cell r="J674">
            <v>51</v>
          </cell>
          <cell r="K674">
            <v>62</v>
          </cell>
          <cell r="L674">
            <v>51</v>
          </cell>
          <cell r="M674">
            <v>56</v>
          </cell>
          <cell r="N674">
            <v>67</v>
          </cell>
          <cell r="O674">
            <v>53</v>
          </cell>
          <cell r="P674">
            <v>68</v>
          </cell>
        </row>
        <row r="675">
          <cell r="B675" t="str">
            <v>Rome</v>
          </cell>
          <cell r="C675"/>
          <cell r="D675" t="str">
            <v>WNW</v>
          </cell>
          <cell r="E675" t="str">
            <v>WNW</v>
          </cell>
          <cell r="F675" t="str">
            <v>WNW</v>
          </cell>
          <cell r="G675" t="str">
            <v>WNW</v>
          </cell>
          <cell r="H675" t="str">
            <v>WNW</v>
          </cell>
          <cell r="I675" t="str">
            <v>WNW</v>
          </cell>
          <cell r="J675" t="str">
            <v>WNW</v>
          </cell>
          <cell r="K675" t="str">
            <v>ESE</v>
          </cell>
          <cell r="L675" t="str">
            <v>ESE</v>
          </cell>
          <cell r="M675" t="str">
            <v>ESE</v>
          </cell>
          <cell r="N675" t="str">
            <v>WNW</v>
          </cell>
          <cell r="O675" t="str">
            <v>ESE</v>
          </cell>
          <cell r="P675" t="str">
            <v>WNW</v>
          </cell>
        </row>
        <row r="676">
          <cell r="B676"/>
          <cell r="C676"/>
          <cell r="D676">
            <v>7</v>
          </cell>
          <cell r="E676">
            <v>7</v>
          </cell>
          <cell r="F676">
            <v>7</v>
          </cell>
          <cell r="G676">
            <v>7</v>
          </cell>
          <cell r="H676">
            <v>6</v>
          </cell>
          <cell r="I676">
            <v>5</v>
          </cell>
          <cell r="J676">
            <v>5</v>
          </cell>
          <cell r="K676">
            <v>3</v>
          </cell>
          <cell r="L676">
            <v>5</v>
          </cell>
          <cell r="M676">
            <v>6</v>
          </cell>
          <cell r="N676">
            <v>7</v>
          </cell>
          <cell r="O676">
            <v>7</v>
          </cell>
          <cell r="P676">
            <v>6</v>
          </cell>
        </row>
        <row r="677">
          <cell r="B677"/>
          <cell r="C677"/>
          <cell r="D677">
            <v>68</v>
          </cell>
          <cell r="E677">
            <v>67</v>
          </cell>
          <cell r="F677">
            <v>76</v>
          </cell>
          <cell r="G677">
            <v>64</v>
          </cell>
          <cell r="H677">
            <v>69</v>
          </cell>
          <cell r="I677">
            <v>84</v>
          </cell>
          <cell r="J677">
            <v>59</v>
          </cell>
          <cell r="K677">
            <v>64</v>
          </cell>
          <cell r="L677">
            <v>69</v>
          </cell>
          <cell r="M677">
            <v>76</v>
          </cell>
          <cell r="N677">
            <v>60</v>
          </cell>
          <cell r="O677">
            <v>56</v>
          </cell>
          <cell r="P677">
            <v>84</v>
          </cell>
        </row>
        <row r="678">
          <cell r="B678" t="str">
            <v>Syracuse</v>
          </cell>
          <cell r="C678"/>
          <cell r="D678" t="str">
            <v>WSW</v>
          </cell>
          <cell r="E678" t="str">
            <v>WSW</v>
          </cell>
          <cell r="F678" t="str">
            <v>WSW</v>
          </cell>
          <cell r="G678" t="str">
            <v>WSW</v>
          </cell>
          <cell r="H678" t="str">
            <v>W</v>
          </cell>
          <cell r="I678" t="str">
            <v>W</v>
          </cell>
          <cell r="J678" t="str">
            <v>WNW</v>
          </cell>
          <cell r="K678" t="str">
            <v>WNW</v>
          </cell>
          <cell r="L678" t="str">
            <v>WNW</v>
          </cell>
          <cell r="M678" t="str">
            <v>WNW</v>
          </cell>
          <cell r="N678" t="str">
            <v>WNW</v>
          </cell>
          <cell r="O678" t="str">
            <v>WNW</v>
          </cell>
          <cell r="P678" t="str">
            <v>WSW</v>
          </cell>
        </row>
        <row r="679">
          <cell r="B679"/>
          <cell r="C679"/>
          <cell r="D679">
            <v>11</v>
          </cell>
          <cell r="E679">
            <v>11</v>
          </cell>
          <cell r="F679">
            <v>11</v>
          </cell>
          <cell r="G679">
            <v>11</v>
          </cell>
          <cell r="H679">
            <v>9</v>
          </cell>
          <cell r="I679">
            <v>8</v>
          </cell>
          <cell r="J679">
            <v>8</v>
          </cell>
          <cell r="K679">
            <v>8</v>
          </cell>
          <cell r="L679">
            <v>8</v>
          </cell>
          <cell r="M679">
            <v>9</v>
          </cell>
          <cell r="N679">
            <v>10</v>
          </cell>
          <cell r="O679">
            <v>10</v>
          </cell>
          <cell r="P679">
            <v>9</v>
          </cell>
        </row>
        <row r="680">
          <cell r="B680"/>
          <cell r="C680"/>
          <cell r="D680">
            <v>54</v>
          </cell>
          <cell r="E680">
            <v>49</v>
          </cell>
          <cell r="F680">
            <v>49</v>
          </cell>
          <cell r="G680">
            <v>44</v>
          </cell>
          <cell r="H680">
            <v>44</v>
          </cell>
          <cell r="I680">
            <v>39</v>
          </cell>
          <cell r="J680">
            <v>37</v>
          </cell>
          <cell r="K680">
            <v>47</v>
          </cell>
          <cell r="L680">
            <v>44</v>
          </cell>
          <cell r="M680">
            <v>43</v>
          </cell>
          <cell r="N680">
            <v>51</v>
          </cell>
          <cell r="O680">
            <v>46</v>
          </cell>
          <cell r="P680">
            <v>54</v>
          </cell>
        </row>
        <row r="681">
          <cell r="B681" t="str">
            <v>Suffolk</v>
          </cell>
          <cell r="C681"/>
          <cell r="D681" t="str">
            <v>NW</v>
          </cell>
          <cell r="E681" t="str">
            <v>NW</v>
          </cell>
          <cell r="F681" t="str">
            <v>NNW</v>
          </cell>
          <cell r="G681" t="str">
            <v>SW</v>
          </cell>
          <cell r="H681" t="str">
            <v>SW</v>
          </cell>
          <cell r="I681" t="str">
            <v>SW</v>
          </cell>
          <cell r="J681" t="str">
            <v>SW</v>
          </cell>
          <cell r="K681" t="str">
            <v>SW</v>
          </cell>
          <cell r="L681" t="str">
            <v>SW</v>
          </cell>
          <cell r="M681" t="str">
            <v>SW</v>
          </cell>
          <cell r="N681" t="str">
            <v>W</v>
          </cell>
          <cell r="O681" t="str">
            <v>W</v>
          </cell>
          <cell r="P681" t="str">
            <v>SW</v>
          </cell>
        </row>
        <row r="682">
          <cell r="B682"/>
          <cell r="C682"/>
          <cell r="D682">
            <v>10</v>
          </cell>
          <cell r="E682">
            <v>10</v>
          </cell>
          <cell r="F682">
            <v>10</v>
          </cell>
          <cell r="G682">
            <v>10</v>
          </cell>
          <cell r="H682">
            <v>9</v>
          </cell>
          <cell r="I682">
            <v>9</v>
          </cell>
          <cell r="J682">
            <v>8</v>
          </cell>
          <cell r="K682">
            <v>8</v>
          </cell>
          <cell r="L682">
            <v>9</v>
          </cell>
          <cell r="M682">
            <v>9</v>
          </cell>
          <cell r="N682">
            <v>9</v>
          </cell>
          <cell r="O682">
            <v>9</v>
          </cell>
          <cell r="P682">
            <v>9</v>
          </cell>
        </row>
        <row r="683">
          <cell r="B683"/>
          <cell r="C683"/>
          <cell r="D683">
            <v>58</v>
          </cell>
          <cell r="E683">
            <v>61</v>
          </cell>
          <cell r="F683">
            <v>60</v>
          </cell>
          <cell r="G683">
            <v>58</v>
          </cell>
          <cell r="H683">
            <v>43</v>
          </cell>
          <cell r="I683">
            <v>40</v>
          </cell>
          <cell r="J683">
            <v>44</v>
          </cell>
          <cell r="K683">
            <v>40</v>
          </cell>
          <cell r="L683">
            <v>76</v>
          </cell>
          <cell r="M683">
            <v>48</v>
          </cell>
          <cell r="N683">
            <v>62</v>
          </cell>
          <cell r="O683">
            <v>61</v>
          </cell>
          <cell r="P683">
            <v>76</v>
          </cell>
        </row>
        <row r="685">
          <cell r="B685" t="str">
            <v>Asheville</v>
          </cell>
          <cell r="C685"/>
          <cell r="D685" t="str">
            <v>NNW</v>
          </cell>
          <cell r="E685" t="str">
            <v>NNW</v>
          </cell>
          <cell r="F685" t="str">
            <v>NNW</v>
          </cell>
          <cell r="G685" t="str">
            <v>NNW</v>
          </cell>
          <cell r="H685" t="str">
            <v>NNW</v>
          </cell>
          <cell r="I685" t="str">
            <v>NNW</v>
          </cell>
          <cell r="J685" t="str">
            <v>NNW</v>
          </cell>
          <cell r="K685" t="str">
            <v>NNW</v>
          </cell>
          <cell r="L685" t="str">
            <v>NNW</v>
          </cell>
          <cell r="M685" t="str">
            <v>NNW</v>
          </cell>
          <cell r="N685" t="str">
            <v>NNW</v>
          </cell>
          <cell r="O685" t="str">
            <v>NNW</v>
          </cell>
          <cell r="P685" t="str">
            <v>NNW</v>
          </cell>
        </row>
        <row r="686">
          <cell r="B686"/>
          <cell r="C686"/>
          <cell r="D686">
            <v>10</v>
          </cell>
          <cell r="E686">
            <v>10</v>
          </cell>
          <cell r="F686">
            <v>9</v>
          </cell>
          <cell r="G686">
            <v>9</v>
          </cell>
          <cell r="H686">
            <v>7</v>
          </cell>
          <cell r="I686">
            <v>6</v>
          </cell>
          <cell r="J686">
            <v>6</v>
          </cell>
          <cell r="K686">
            <v>6</v>
          </cell>
          <cell r="L686">
            <v>6</v>
          </cell>
          <cell r="M686">
            <v>7</v>
          </cell>
          <cell r="N686">
            <v>8</v>
          </cell>
          <cell r="O686">
            <v>9</v>
          </cell>
          <cell r="P686">
            <v>8</v>
          </cell>
        </row>
        <row r="687">
          <cell r="B687"/>
          <cell r="C687"/>
          <cell r="D687">
            <v>55</v>
          </cell>
          <cell r="E687">
            <v>54</v>
          </cell>
          <cell r="F687">
            <v>64</v>
          </cell>
          <cell r="G687">
            <v>51</v>
          </cell>
          <cell r="H687">
            <v>44</v>
          </cell>
          <cell r="I687">
            <v>52</v>
          </cell>
          <cell r="J687">
            <v>60</v>
          </cell>
          <cell r="K687">
            <v>43</v>
          </cell>
          <cell r="L687">
            <v>37</v>
          </cell>
          <cell r="M687">
            <v>58</v>
          </cell>
          <cell r="N687">
            <v>49</v>
          </cell>
          <cell r="O687">
            <v>49</v>
          </cell>
          <cell r="P687">
            <v>64</v>
          </cell>
        </row>
        <row r="688">
          <cell r="B688" t="str">
            <v>Cape Hatteras</v>
          </cell>
          <cell r="C688"/>
          <cell r="D688" t="str">
            <v>N</v>
          </cell>
          <cell r="E688" t="str">
            <v>N</v>
          </cell>
          <cell r="F688" t="str">
            <v>N</v>
          </cell>
          <cell r="G688" t="str">
            <v>NNE</v>
          </cell>
          <cell r="H688" t="str">
            <v>NNE</v>
          </cell>
          <cell r="I688" t="str">
            <v>NNE</v>
          </cell>
          <cell r="J688" t="str">
            <v>NNE</v>
          </cell>
          <cell r="K688" t="str">
            <v>NNE</v>
          </cell>
          <cell r="L688" t="str">
            <v>NNE</v>
          </cell>
          <cell r="M688" t="str">
            <v>SW</v>
          </cell>
          <cell r="N688" t="str">
            <v>SW</v>
          </cell>
          <cell r="O688" t="str">
            <v>SW</v>
          </cell>
          <cell r="P688" t="str">
            <v>NNE</v>
          </cell>
        </row>
        <row r="689">
          <cell r="B689"/>
          <cell r="C689"/>
          <cell r="D689">
            <v>12</v>
          </cell>
          <cell r="E689">
            <v>12</v>
          </cell>
          <cell r="F689">
            <v>12</v>
          </cell>
          <cell r="G689">
            <v>12</v>
          </cell>
          <cell r="H689">
            <v>11</v>
          </cell>
          <cell r="I689">
            <v>11</v>
          </cell>
          <cell r="J689">
            <v>10</v>
          </cell>
          <cell r="K689">
            <v>10</v>
          </cell>
          <cell r="L689">
            <v>11</v>
          </cell>
          <cell r="M689">
            <v>11</v>
          </cell>
          <cell r="N689">
            <v>12</v>
          </cell>
          <cell r="O689">
            <v>11</v>
          </cell>
          <cell r="P689">
            <v>11</v>
          </cell>
        </row>
        <row r="690">
          <cell r="B690"/>
          <cell r="C690"/>
          <cell r="D690">
            <v>59</v>
          </cell>
          <cell r="E690">
            <v>58</v>
          </cell>
          <cell r="F690">
            <v>63</v>
          </cell>
          <cell r="G690">
            <v>60</v>
          </cell>
          <cell r="H690">
            <v>46</v>
          </cell>
          <cell r="I690">
            <v>55</v>
          </cell>
          <cell r="J690">
            <v>45</v>
          </cell>
          <cell r="K690">
            <v>98</v>
          </cell>
          <cell r="L690">
            <v>87</v>
          </cell>
          <cell r="M690">
            <v>66</v>
          </cell>
          <cell r="N690">
            <v>78</v>
          </cell>
          <cell r="O690">
            <v>60</v>
          </cell>
          <cell r="P690">
            <v>98</v>
          </cell>
        </row>
        <row r="691">
          <cell r="B691" t="str">
            <v>Charlotte</v>
          </cell>
          <cell r="C691"/>
          <cell r="D691" t="str">
            <v>SW</v>
          </cell>
          <cell r="E691" t="str">
            <v>SW</v>
          </cell>
          <cell r="F691" t="str">
            <v>S</v>
          </cell>
          <cell r="G691" t="str">
            <v>SW</v>
          </cell>
          <cell r="H691" t="str">
            <v>SW</v>
          </cell>
          <cell r="I691" t="str">
            <v>S</v>
          </cell>
          <cell r="J691" t="str">
            <v>SW</v>
          </cell>
          <cell r="K691" t="str">
            <v>S</v>
          </cell>
          <cell r="L691" t="str">
            <v>NE</v>
          </cell>
          <cell r="M691" t="str">
            <v>NE</v>
          </cell>
          <cell r="N691" t="str">
            <v>SW</v>
          </cell>
          <cell r="O691" t="str">
            <v>SW</v>
          </cell>
          <cell r="P691" t="str">
            <v>SW</v>
          </cell>
        </row>
        <row r="692">
          <cell r="B692"/>
          <cell r="C692"/>
          <cell r="D692">
            <v>8</v>
          </cell>
          <cell r="E692">
            <v>8</v>
          </cell>
          <cell r="F692">
            <v>9</v>
          </cell>
          <cell r="G692">
            <v>9</v>
          </cell>
          <cell r="H692">
            <v>8</v>
          </cell>
          <cell r="I692">
            <v>7</v>
          </cell>
          <cell r="J692">
            <v>7</v>
          </cell>
          <cell r="K692">
            <v>7</v>
          </cell>
          <cell r="L692">
            <v>7</v>
          </cell>
          <cell r="M692">
            <v>7</v>
          </cell>
          <cell r="N692">
            <v>7</v>
          </cell>
          <cell r="O692">
            <v>8</v>
          </cell>
          <cell r="P692">
            <v>8</v>
          </cell>
        </row>
        <row r="693">
          <cell r="B693"/>
          <cell r="C693"/>
          <cell r="D693">
            <v>49</v>
          </cell>
          <cell r="E693">
            <v>53</v>
          </cell>
          <cell r="F693">
            <v>60</v>
          </cell>
          <cell r="G693">
            <v>56</v>
          </cell>
          <cell r="H693">
            <v>52</v>
          </cell>
          <cell r="I693">
            <v>52</v>
          </cell>
          <cell r="J693">
            <v>52</v>
          </cell>
          <cell r="K693">
            <v>77</v>
          </cell>
          <cell r="L693">
            <v>87</v>
          </cell>
          <cell r="M693">
            <v>40</v>
          </cell>
          <cell r="N693">
            <v>51</v>
          </cell>
          <cell r="O693">
            <v>47</v>
          </cell>
          <cell r="P693">
            <v>87</v>
          </cell>
        </row>
        <row r="694">
          <cell r="B694" t="str">
            <v>Cherry Point</v>
          </cell>
          <cell r="D694" t="str">
            <v>N</v>
          </cell>
          <cell r="E694" t="str">
            <v>N</v>
          </cell>
          <cell r="F694" t="str">
            <v>S</v>
          </cell>
          <cell r="G694" t="str">
            <v>SSW</v>
          </cell>
          <cell r="H694" t="str">
            <v>SSW</v>
          </cell>
          <cell r="I694" t="str">
            <v>SSW</v>
          </cell>
          <cell r="J694" t="str">
            <v>SSW</v>
          </cell>
          <cell r="K694" t="str">
            <v>SSW</v>
          </cell>
          <cell r="L694" t="str">
            <v>NNE</v>
          </cell>
          <cell r="M694" t="str">
            <v>NNE</v>
          </cell>
          <cell r="N694" t="str">
            <v>N</v>
          </cell>
          <cell r="O694" t="str">
            <v>N</v>
          </cell>
          <cell r="P694" t="str">
            <v>SSW</v>
          </cell>
        </row>
        <row r="695">
          <cell r="D695">
            <v>6</v>
          </cell>
          <cell r="E695">
            <v>7</v>
          </cell>
          <cell r="F695">
            <v>7</v>
          </cell>
          <cell r="G695">
            <v>7</v>
          </cell>
          <cell r="H695">
            <v>6</v>
          </cell>
          <cell r="I695">
            <v>6</v>
          </cell>
          <cell r="J695">
            <v>5</v>
          </cell>
          <cell r="K695">
            <v>5</v>
          </cell>
          <cell r="L695">
            <v>5</v>
          </cell>
          <cell r="M695">
            <v>6</v>
          </cell>
          <cell r="N695">
            <v>6</v>
          </cell>
          <cell r="O695">
            <v>6</v>
          </cell>
          <cell r="P695">
            <v>6</v>
          </cell>
        </row>
        <row r="696">
          <cell r="D696">
            <v>58</v>
          </cell>
          <cell r="E696">
            <v>66</v>
          </cell>
          <cell r="F696">
            <v>68</v>
          </cell>
          <cell r="G696">
            <v>81</v>
          </cell>
          <cell r="H696">
            <v>64</v>
          </cell>
          <cell r="I696">
            <v>81</v>
          </cell>
          <cell r="J696">
            <v>66</v>
          </cell>
          <cell r="K696">
            <v>104</v>
          </cell>
          <cell r="L696">
            <v>107</v>
          </cell>
          <cell r="M696">
            <v>86</v>
          </cell>
          <cell r="N696">
            <v>59</v>
          </cell>
          <cell r="O696">
            <v>68</v>
          </cell>
          <cell r="P696">
            <v>107</v>
          </cell>
        </row>
        <row r="697">
          <cell r="B697" t="str">
            <v>Fayetteville</v>
          </cell>
          <cell r="D697" t="str">
            <v>WSW</v>
          </cell>
          <cell r="E697" t="str">
            <v>WSW</v>
          </cell>
          <cell r="F697" t="str">
            <v>W</v>
          </cell>
          <cell r="G697" t="str">
            <v>SW</v>
          </cell>
          <cell r="H697" t="str">
            <v>SW</v>
          </cell>
          <cell r="I697" t="str">
            <v>WSW</v>
          </cell>
          <cell r="J697" t="str">
            <v>SW</v>
          </cell>
          <cell r="K697" t="str">
            <v>SW</v>
          </cell>
          <cell r="L697" t="str">
            <v>NE</v>
          </cell>
          <cell r="M697" t="str">
            <v>N</v>
          </cell>
          <cell r="N697" t="str">
            <v>N</v>
          </cell>
          <cell r="O697" t="str">
            <v>WSW</v>
          </cell>
          <cell r="P697" t="str">
            <v>SW</v>
          </cell>
        </row>
        <row r="698">
          <cell r="B698"/>
          <cell r="C698"/>
          <cell r="D698">
            <v>5</v>
          </cell>
          <cell r="E698">
            <v>6</v>
          </cell>
          <cell r="F698">
            <v>6</v>
          </cell>
          <cell r="G698">
            <v>6</v>
          </cell>
          <cell r="H698">
            <v>5</v>
          </cell>
          <cell r="I698">
            <v>5</v>
          </cell>
          <cell r="J698">
            <v>3</v>
          </cell>
          <cell r="K698">
            <v>3</v>
          </cell>
          <cell r="L698">
            <v>3</v>
          </cell>
          <cell r="M698">
            <v>3</v>
          </cell>
          <cell r="N698">
            <v>5</v>
          </cell>
          <cell r="O698">
            <v>5</v>
          </cell>
          <cell r="P698">
            <v>5</v>
          </cell>
        </row>
        <row r="699">
          <cell r="B699"/>
          <cell r="C699"/>
          <cell r="D699">
            <v>77</v>
          </cell>
          <cell r="E699">
            <v>64</v>
          </cell>
          <cell r="F699">
            <v>68</v>
          </cell>
          <cell r="G699">
            <v>55</v>
          </cell>
          <cell r="H699">
            <v>62</v>
          </cell>
          <cell r="I699">
            <v>59</v>
          </cell>
          <cell r="J699">
            <v>64</v>
          </cell>
          <cell r="K699">
            <v>64</v>
          </cell>
          <cell r="L699">
            <v>53</v>
          </cell>
          <cell r="M699">
            <v>70</v>
          </cell>
          <cell r="N699">
            <v>59</v>
          </cell>
          <cell r="O699">
            <v>55</v>
          </cell>
          <cell r="P699">
            <v>77</v>
          </cell>
        </row>
        <row r="700">
          <cell r="B700" t="str">
            <v>Goldsboro</v>
          </cell>
          <cell r="C700"/>
          <cell r="D700" t="str">
            <v>N</v>
          </cell>
          <cell r="E700" t="str">
            <v>N</v>
          </cell>
          <cell r="F700" t="str">
            <v>N</v>
          </cell>
          <cell r="G700" t="str">
            <v>SW</v>
          </cell>
          <cell r="H700" t="str">
            <v>S</v>
          </cell>
          <cell r="I700" t="str">
            <v>S</v>
          </cell>
          <cell r="J700" t="str">
            <v>S</v>
          </cell>
          <cell r="K700" t="str">
            <v>S</v>
          </cell>
          <cell r="L700" t="str">
            <v>NNE</v>
          </cell>
          <cell r="M700" t="str">
            <v>N</v>
          </cell>
          <cell r="N700" t="str">
            <v>N</v>
          </cell>
          <cell r="O700" t="str">
            <v>W</v>
          </cell>
          <cell r="P700" t="str">
            <v>N</v>
          </cell>
        </row>
        <row r="701">
          <cell r="B701"/>
          <cell r="C701"/>
          <cell r="D701">
            <v>6</v>
          </cell>
          <cell r="E701">
            <v>7</v>
          </cell>
          <cell r="F701">
            <v>7</v>
          </cell>
          <cell r="G701">
            <v>7</v>
          </cell>
          <cell r="H701">
            <v>6</v>
          </cell>
          <cell r="I701">
            <v>5</v>
          </cell>
          <cell r="J701">
            <v>5</v>
          </cell>
          <cell r="K701">
            <v>5</v>
          </cell>
          <cell r="L701">
            <v>5</v>
          </cell>
          <cell r="M701">
            <v>5</v>
          </cell>
          <cell r="N701">
            <v>5</v>
          </cell>
          <cell r="O701">
            <v>6</v>
          </cell>
          <cell r="P701">
            <v>6</v>
          </cell>
        </row>
        <row r="702">
          <cell r="C702"/>
          <cell r="D702">
            <v>72</v>
          </cell>
          <cell r="E702">
            <v>75</v>
          </cell>
          <cell r="F702">
            <v>64</v>
          </cell>
          <cell r="G702">
            <v>64</v>
          </cell>
          <cell r="H702">
            <v>52</v>
          </cell>
          <cell r="I702">
            <v>52</v>
          </cell>
          <cell r="J702">
            <v>60</v>
          </cell>
          <cell r="K702">
            <v>59</v>
          </cell>
          <cell r="L702">
            <v>46</v>
          </cell>
          <cell r="M702">
            <v>66</v>
          </cell>
          <cell r="N702">
            <v>54</v>
          </cell>
          <cell r="O702">
            <v>69</v>
          </cell>
          <cell r="P702">
            <v>75</v>
          </cell>
        </row>
        <row r="703">
          <cell r="B703" t="str">
            <v>Greensboro</v>
          </cell>
          <cell r="C703"/>
          <cell r="D703" t="str">
            <v>SSW</v>
          </cell>
          <cell r="E703" t="str">
            <v>SSW</v>
          </cell>
          <cell r="F703" t="str">
            <v>SSW</v>
          </cell>
          <cell r="G703" t="str">
            <v>SSW</v>
          </cell>
          <cell r="H703" t="str">
            <v>SW</v>
          </cell>
          <cell r="I703" t="str">
            <v>SSW</v>
          </cell>
          <cell r="J703" t="str">
            <v>SSW</v>
          </cell>
          <cell r="K703" t="str">
            <v>SSW</v>
          </cell>
          <cell r="L703" t="str">
            <v>NNE</v>
          </cell>
          <cell r="M703" t="str">
            <v>NNE</v>
          </cell>
          <cell r="N703" t="str">
            <v>SSW</v>
          </cell>
          <cell r="O703" t="str">
            <v>SSW</v>
          </cell>
          <cell r="P703" t="str">
            <v>SSW</v>
          </cell>
        </row>
        <row r="704">
          <cell r="C704"/>
          <cell r="D704">
            <v>8</v>
          </cell>
          <cell r="E704">
            <v>9</v>
          </cell>
          <cell r="F704">
            <v>9</v>
          </cell>
          <cell r="G704">
            <v>9</v>
          </cell>
          <cell r="H704">
            <v>8</v>
          </cell>
          <cell r="I704">
            <v>7</v>
          </cell>
          <cell r="J704">
            <v>7</v>
          </cell>
          <cell r="K704">
            <v>6</v>
          </cell>
          <cell r="L704">
            <v>7</v>
          </cell>
          <cell r="M704">
            <v>7</v>
          </cell>
          <cell r="N704">
            <v>8</v>
          </cell>
          <cell r="O704">
            <v>7</v>
          </cell>
          <cell r="P704">
            <v>8</v>
          </cell>
        </row>
        <row r="705">
          <cell r="C705"/>
          <cell r="D705">
            <v>63</v>
          </cell>
          <cell r="E705">
            <v>48</v>
          </cell>
          <cell r="F705">
            <v>43</v>
          </cell>
          <cell r="G705">
            <v>46</v>
          </cell>
          <cell r="H705">
            <v>59</v>
          </cell>
          <cell r="I705">
            <v>51</v>
          </cell>
          <cell r="J705">
            <v>59</v>
          </cell>
          <cell r="K705">
            <v>39</v>
          </cell>
          <cell r="L705">
            <v>54</v>
          </cell>
          <cell r="M705">
            <v>60</v>
          </cell>
          <cell r="N705">
            <v>53</v>
          </cell>
          <cell r="O705">
            <v>47</v>
          </cell>
          <cell r="P705">
            <v>63</v>
          </cell>
        </row>
        <row r="706">
          <cell r="B706" t="str">
            <v>Raleigh</v>
          </cell>
          <cell r="C706"/>
          <cell r="D706" t="str">
            <v>SW</v>
          </cell>
          <cell r="E706" t="str">
            <v>SW</v>
          </cell>
          <cell r="F706" t="str">
            <v>SW</v>
          </cell>
          <cell r="G706" t="str">
            <v>SW</v>
          </cell>
          <cell r="H706" t="str">
            <v>SW</v>
          </cell>
          <cell r="I706" t="str">
            <v>SW</v>
          </cell>
          <cell r="J706" t="str">
            <v>SW</v>
          </cell>
          <cell r="K706" t="str">
            <v>SW</v>
          </cell>
          <cell r="L706" t="str">
            <v>SW</v>
          </cell>
          <cell r="M706" t="str">
            <v>SW</v>
          </cell>
          <cell r="N706" t="str">
            <v>SW</v>
          </cell>
          <cell r="O706" t="str">
            <v>SW</v>
          </cell>
          <cell r="P706" t="str">
            <v>SW</v>
          </cell>
        </row>
        <row r="707">
          <cell r="C707"/>
          <cell r="D707" t="str">
            <v>8
51</v>
          </cell>
          <cell r="E707" t="str">
            <v>9
62</v>
          </cell>
          <cell r="F707" t="str">
            <v>9
52</v>
          </cell>
          <cell r="G707" t="str">
            <v>9
56</v>
          </cell>
          <cell r="H707" t="str">
            <v>8
64</v>
          </cell>
          <cell r="I707" t="str">
            <v>7
48</v>
          </cell>
          <cell r="J707" t="str">
            <v>7
45</v>
          </cell>
          <cell r="K707" t="str">
            <v>6
61</v>
          </cell>
          <cell r="L707" t="str">
            <v>7
67</v>
          </cell>
          <cell r="M707" t="str">
            <v>7
40</v>
          </cell>
          <cell r="N707" t="str">
            <v>8
41</v>
          </cell>
          <cell r="O707" t="str">
            <v>7
45</v>
          </cell>
          <cell r="P707" t="str">
            <v>8
67</v>
          </cell>
        </row>
        <row r="708">
          <cell r="C708"/>
          <cell r="D708">
            <v>51</v>
          </cell>
          <cell r="E708">
            <v>62</v>
          </cell>
          <cell r="F708">
            <v>52</v>
          </cell>
          <cell r="G708">
            <v>56</v>
          </cell>
          <cell r="H708">
            <v>64</v>
          </cell>
          <cell r="I708">
            <v>48</v>
          </cell>
          <cell r="J708">
            <v>45</v>
          </cell>
          <cell r="K708">
            <v>61</v>
          </cell>
          <cell r="L708">
            <v>67</v>
          </cell>
          <cell r="M708">
            <v>40</v>
          </cell>
          <cell r="N708">
            <v>41</v>
          </cell>
          <cell r="O708">
            <v>45</v>
          </cell>
          <cell r="P708">
            <v>67</v>
          </cell>
        </row>
        <row r="709">
          <cell r="B709" t="str">
            <v xml:space="preserve">Wilmington </v>
          </cell>
          <cell r="C709"/>
          <cell r="D709" t="str">
            <v>N</v>
          </cell>
          <cell r="E709" t="str">
            <v>N</v>
          </cell>
          <cell r="F709" t="str">
            <v>SW</v>
          </cell>
          <cell r="G709" t="str">
            <v>SW</v>
          </cell>
          <cell r="H709" t="str">
            <v>SW</v>
          </cell>
          <cell r="I709" t="str">
            <v>SW</v>
          </cell>
          <cell r="J709" t="str">
            <v>SW</v>
          </cell>
          <cell r="K709" t="str">
            <v>SW</v>
          </cell>
          <cell r="L709" t="str">
            <v>SW</v>
          </cell>
          <cell r="M709" t="str">
            <v>SW</v>
          </cell>
          <cell r="N709" t="str">
            <v>SW</v>
          </cell>
          <cell r="O709" t="str">
            <v>SW</v>
          </cell>
          <cell r="P709" t="str">
            <v>SW</v>
          </cell>
        </row>
        <row r="710">
          <cell r="B710"/>
          <cell r="C710"/>
          <cell r="D710">
            <v>9</v>
          </cell>
          <cell r="E710">
            <v>9</v>
          </cell>
          <cell r="F710">
            <v>10</v>
          </cell>
          <cell r="G710">
            <v>10</v>
          </cell>
          <cell r="H710">
            <v>9</v>
          </cell>
          <cell r="I710">
            <v>8</v>
          </cell>
          <cell r="J710">
            <v>8</v>
          </cell>
          <cell r="K710">
            <v>7</v>
          </cell>
          <cell r="L710">
            <v>8</v>
          </cell>
          <cell r="M710">
            <v>8</v>
          </cell>
          <cell r="N710">
            <v>8</v>
          </cell>
          <cell r="O710">
            <v>8</v>
          </cell>
          <cell r="P710">
            <v>8</v>
          </cell>
        </row>
        <row r="711">
          <cell r="C711"/>
          <cell r="D711">
            <v>49</v>
          </cell>
          <cell r="E711">
            <v>49</v>
          </cell>
          <cell r="F711">
            <v>70</v>
          </cell>
          <cell r="G711">
            <v>53</v>
          </cell>
          <cell r="H711">
            <v>54</v>
          </cell>
          <cell r="I711">
            <v>64</v>
          </cell>
          <cell r="J711">
            <v>78</v>
          </cell>
          <cell r="K711">
            <v>41</v>
          </cell>
          <cell r="L711">
            <v>74</v>
          </cell>
          <cell r="M711">
            <v>52</v>
          </cell>
          <cell r="N711">
            <v>59</v>
          </cell>
          <cell r="O711">
            <v>49</v>
          </cell>
          <cell r="P711">
            <v>78</v>
          </cell>
        </row>
        <row r="712">
          <cell r="C712"/>
          <cell r="D712"/>
          <cell r="E712"/>
          <cell r="F712"/>
          <cell r="G712"/>
          <cell r="H712"/>
          <cell r="I712"/>
          <cell r="J712"/>
          <cell r="K712"/>
          <cell r="L712"/>
          <cell r="M712"/>
          <cell r="N712"/>
          <cell r="O712"/>
          <cell r="P712"/>
        </row>
        <row r="713">
          <cell r="B713" t="str">
            <v>Bismarck</v>
          </cell>
          <cell r="C713"/>
          <cell r="D713" t="str">
            <v>WNW</v>
          </cell>
          <cell r="E713" t="str">
            <v>WNW</v>
          </cell>
          <cell r="F713" t="str">
            <v>WNW</v>
          </cell>
          <cell r="G713" t="str">
            <v>WNW</v>
          </cell>
          <cell r="H713" t="str">
            <v>WNW</v>
          </cell>
          <cell r="I713" t="str">
            <v>NW</v>
          </cell>
          <cell r="J713" t="str">
            <v>NW</v>
          </cell>
          <cell r="K713" t="str">
            <v>NW</v>
          </cell>
          <cell r="L713" t="str">
            <v>NW</v>
          </cell>
          <cell r="M713" t="str">
            <v>NW</v>
          </cell>
          <cell r="N713" t="str">
            <v>NW</v>
          </cell>
          <cell r="O713" t="str">
            <v>NW</v>
          </cell>
          <cell r="P713" t="str">
            <v>NW</v>
          </cell>
        </row>
        <row r="714">
          <cell r="C714"/>
          <cell r="D714">
            <v>10</v>
          </cell>
          <cell r="E714">
            <v>10</v>
          </cell>
          <cell r="F714">
            <v>11</v>
          </cell>
          <cell r="G714">
            <v>12</v>
          </cell>
          <cell r="H714">
            <v>11</v>
          </cell>
          <cell r="I714">
            <v>10</v>
          </cell>
          <cell r="J714">
            <v>9</v>
          </cell>
          <cell r="K714">
            <v>9</v>
          </cell>
          <cell r="L714">
            <v>10</v>
          </cell>
          <cell r="M714">
            <v>10</v>
          </cell>
          <cell r="N714">
            <v>10</v>
          </cell>
          <cell r="O714">
            <v>10</v>
          </cell>
          <cell r="P714">
            <v>10</v>
          </cell>
        </row>
        <row r="715">
          <cell r="B715"/>
          <cell r="C715"/>
          <cell r="D715">
            <v>69</v>
          </cell>
          <cell r="E715">
            <v>62</v>
          </cell>
          <cell r="F715">
            <v>64</v>
          </cell>
          <cell r="G715">
            <v>56</v>
          </cell>
          <cell r="H715">
            <v>69</v>
          </cell>
          <cell r="I715">
            <v>58</v>
          </cell>
          <cell r="J715">
            <v>61</v>
          </cell>
          <cell r="K715">
            <v>62</v>
          </cell>
          <cell r="L715">
            <v>84</v>
          </cell>
          <cell r="M715">
            <v>55</v>
          </cell>
          <cell r="N715">
            <v>56</v>
          </cell>
          <cell r="O715">
            <v>63</v>
          </cell>
          <cell r="P715">
            <v>84</v>
          </cell>
        </row>
        <row r="716">
          <cell r="B716" t="str">
            <v>Fargo</v>
          </cell>
          <cell r="C716"/>
          <cell r="D716" t="str">
            <v>N</v>
          </cell>
          <cell r="E716" t="str">
            <v>SSE</v>
          </cell>
          <cell r="F716" t="str">
            <v>N</v>
          </cell>
          <cell r="G716" t="str">
            <v>N</v>
          </cell>
          <cell r="H716" t="str">
            <v>SSE</v>
          </cell>
          <cell r="I716" t="str">
            <v>SSE</v>
          </cell>
          <cell r="J716" t="str">
            <v>SSE</v>
          </cell>
          <cell r="K716" t="str">
            <v>SSE</v>
          </cell>
          <cell r="L716" t="str">
            <v>SSE</v>
          </cell>
          <cell r="M716" t="str">
            <v>SSE</v>
          </cell>
          <cell r="N716" t="str">
            <v>SSE</v>
          </cell>
          <cell r="O716" t="str">
            <v>S</v>
          </cell>
          <cell r="P716" t="str">
            <v>SSE</v>
          </cell>
        </row>
        <row r="717">
          <cell r="C717"/>
          <cell r="D717">
            <v>13</v>
          </cell>
          <cell r="E717">
            <v>13</v>
          </cell>
          <cell r="F717">
            <v>13</v>
          </cell>
          <cell r="G717">
            <v>14</v>
          </cell>
          <cell r="H717">
            <v>13</v>
          </cell>
          <cell r="I717">
            <v>12</v>
          </cell>
          <cell r="J717">
            <v>11</v>
          </cell>
          <cell r="K717">
            <v>11</v>
          </cell>
          <cell r="L717">
            <v>12</v>
          </cell>
          <cell r="M717">
            <v>13</v>
          </cell>
          <cell r="N717">
            <v>13</v>
          </cell>
          <cell r="O717">
            <v>12</v>
          </cell>
          <cell r="P717">
            <v>12</v>
          </cell>
        </row>
        <row r="718">
          <cell r="B718"/>
          <cell r="C718"/>
          <cell r="D718">
            <v>60</v>
          </cell>
          <cell r="E718">
            <v>59</v>
          </cell>
          <cell r="F718">
            <v>53</v>
          </cell>
          <cell r="G718">
            <v>53</v>
          </cell>
          <cell r="H718">
            <v>62</v>
          </cell>
          <cell r="I718">
            <v>66</v>
          </cell>
          <cell r="J718">
            <v>70</v>
          </cell>
          <cell r="K718">
            <v>60</v>
          </cell>
          <cell r="L718">
            <v>62</v>
          </cell>
          <cell r="M718">
            <v>61</v>
          </cell>
          <cell r="N718">
            <v>53</v>
          </cell>
          <cell r="O718">
            <v>61</v>
          </cell>
          <cell r="P718">
            <v>70</v>
          </cell>
        </row>
        <row r="719">
          <cell r="B719" t="str">
            <v>Grand Forks</v>
          </cell>
          <cell r="C719"/>
          <cell r="D719" t="str">
            <v>N</v>
          </cell>
          <cell r="E719" t="str">
            <v>N</v>
          </cell>
          <cell r="F719" t="str">
            <v>N</v>
          </cell>
          <cell r="G719" t="str">
            <v>N</v>
          </cell>
          <cell r="H719" t="str">
            <v>N</v>
          </cell>
          <cell r="I719" t="str">
            <v>N</v>
          </cell>
          <cell r="J719" t="str">
            <v>S</v>
          </cell>
          <cell r="K719" t="str">
            <v>N</v>
          </cell>
          <cell r="L719" t="str">
            <v>N</v>
          </cell>
          <cell r="M719" t="str">
            <v>N</v>
          </cell>
          <cell r="N719" t="str">
            <v>N</v>
          </cell>
          <cell r="O719" t="str">
            <v>N</v>
          </cell>
          <cell r="P719" t="str">
            <v>N</v>
          </cell>
        </row>
        <row r="720">
          <cell r="C720"/>
          <cell r="D720">
            <v>10</v>
          </cell>
          <cell r="E720">
            <v>10</v>
          </cell>
          <cell r="F720">
            <v>10</v>
          </cell>
          <cell r="G720">
            <v>10</v>
          </cell>
          <cell r="H720">
            <v>9</v>
          </cell>
          <cell r="I720">
            <v>9</v>
          </cell>
          <cell r="J720">
            <v>8</v>
          </cell>
          <cell r="K720">
            <v>8</v>
          </cell>
          <cell r="L720">
            <v>9</v>
          </cell>
          <cell r="M720">
            <v>10</v>
          </cell>
          <cell r="N720">
            <v>10</v>
          </cell>
          <cell r="O720">
            <v>10</v>
          </cell>
          <cell r="P720">
            <v>9</v>
          </cell>
        </row>
        <row r="721">
          <cell r="B721"/>
          <cell r="C721"/>
          <cell r="D721">
            <v>62</v>
          </cell>
          <cell r="E721">
            <v>66</v>
          </cell>
          <cell r="F721">
            <v>72</v>
          </cell>
          <cell r="G721">
            <v>71</v>
          </cell>
          <cell r="H721">
            <v>63</v>
          </cell>
          <cell r="I721">
            <v>53</v>
          </cell>
          <cell r="J721">
            <v>62</v>
          </cell>
          <cell r="K721">
            <v>62</v>
          </cell>
          <cell r="L721">
            <v>68</v>
          </cell>
          <cell r="M721">
            <v>63</v>
          </cell>
          <cell r="N721">
            <v>63</v>
          </cell>
          <cell r="O721">
            <v>59</v>
          </cell>
          <cell r="P721">
            <v>72</v>
          </cell>
        </row>
        <row r="722">
          <cell r="B722" t="str">
            <v>Minot</v>
          </cell>
          <cell r="C722"/>
          <cell r="D722" t="str">
            <v>NW</v>
          </cell>
          <cell r="E722" t="str">
            <v>NW</v>
          </cell>
          <cell r="F722" t="str">
            <v>NW</v>
          </cell>
          <cell r="G722" t="str">
            <v>N</v>
          </cell>
          <cell r="H722" t="str">
            <v>N</v>
          </cell>
          <cell r="I722" t="str">
            <v>W</v>
          </cell>
          <cell r="J722" t="str">
            <v>W</v>
          </cell>
          <cell r="K722" t="str">
            <v>W</v>
          </cell>
          <cell r="L722" t="str">
            <v>W</v>
          </cell>
          <cell r="M722" t="str">
            <v>WNW</v>
          </cell>
          <cell r="N722" t="str">
            <v>NW</v>
          </cell>
          <cell r="O722" t="str">
            <v>NW</v>
          </cell>
          <cell r="P722" t="str">
            <v>NW</v>
          </cell>
        </row>
        <row r="723">
          <cell r="C723"/>
          <cell r="D723">
            <v>12</v>
          </cell>
          <cell r="E723">
            <v>12</v>
          </cell>
          <cell r="F723">
            <v>10</v>
          </cell>
          <cell r="G723">
            <v>10</v>
          </cell>
          <cell r="H723">
            <v>9</v>
          </cell>
          <cell r="I723">
            <v>9</v>
          </cell>
          <cell r="J723">
            <v>8</v>
          </cell>
          <cell r="K723">
            <v>8</v>
          </cell>
          <cell r="L723">
            <v>9</v>
          </cell>
          <cell r="M723">
            <v>10</v>
          </cell>
          <cell r="N723">
            <v>9</v>
          </cell>
          <cell r="O723">
            <v>10</v>
          </cell>
          <cell r="P723">
            <v>9</v>
          </cell>
        </row>
        <row r="724">
          <cell r="B724"/>
          <cell r="C724"/>
          <cell r="D724">
            <v>74</v>
          </cell>
          <cell r="E724">
            <v>81</v>
          </cell>
          <cell r="F724">
            <v>61</v>
          </cell>
          <cell r="G724">
            <v>71</v>
          </cell>
          <cell r="H724">
            <v>66</v>
          </cell>
          <cell r="I724">
            <v>71</v>
          </cell>
          <cell r="J724">
            <v>77</v>
          </cell>
          <cell r="K724">
            <v>85</v>
          </cell>
          <cell r="L724">
            <v>62</v>
          </cell>
          <cell r="M724">
            <v>63</v>
          </cell>
          <cell r="N724">
            <v>63</v>
          </cell>
          <cell r="O724">
            <v>67</v>
          </cell>
          <cell r="P724">
            <v>85</v>
          </cell>
        </row>
        <row r="725">
          <cell r="B725" t="str">
            <v>Williston</v>
          </cell>
          <cell r="C725"/>
          <cell r="D725" t="str">
            <v>SSW</v>
          </cell>
          <cell r="E725" t="str">
            <v>SSW</v>
          </cell>
          <cell r="F725" t="str">
            <v>SSW</v>
          </cell>
          <cell r="G725" t="str">
            <v>SSW</v>
          </cell>
          <cell r="H725" t="str">
            <v>N</v>
          </cell>
          <cell r="I725" t="str">
            <v>N</v>
          </cell>
          <cell r="J725" t="str">
            <v>N</v>
          </cell>
          <cell r="K725" t="str">
            <v>N</v>
          </cell>
          <cell r="L725" t="str">
            <v>N</v>
          </cell>
          <cell r="M725" t="str">
            <v>N</v>
          </cell>
          <cell r="N725" t="str">
            <v>N</v>
          </cell>
          <cell r="O725" t="str">
            <v>N</v>
          </cell>
          <cell r="P725" t="str">
            <v>N</v>
          </cell>
        </row>
        <row r="726">
          <cell r="C726"/>
          <cell r="D726">
            <v>10</v>
          </cell>
          <cell r="E726">
            <v>10</v>
          </cell>
          <cell r="F726">
            <v>10</v>
          </cell>
          <cell r="G726">
            <v>11</v>
          </cell>
          <cell r="H726">
            <v>11</v>
          </cell>
          <cell r="I726">
            <v>10</v>
          </cell>
          <cell r="J726">
            <v>9</v>
          </cell>
          <cell r="K726">
            <v>10</v>
          </cell>
          <cell r="L726">
            <v>10</v>
          </cell>
          <cell r="M726">
            <v>10</v>
          </cell>
          <cell r="N726">
            <v>9</v>
          </cell>
          <cell r="O726">
            <v>9</v>
          </cell>
          <cell r="P726">
            <v>10</v>
          </cell>
        </row>
        <row r="727">
          <cell r="B727"/>
          <cell r="C727"/>
          <cell r="D727">
            <v>62</v>
          </cell>
          <cell r="E727">
            <v>54</v>
          </cell>
          <cell r="F727">
            <v>58</v>
          </cell>
          <cell r="G727">
            <v>62</v>
          </cell>
          <cell r="H727">
            <v>62</v>
          </cell>
          <cell r="I727">
            <v>69</v>
          </cell>
          <cell r="J727">
            <v>70</v>
          </cell>
          <cell r="K727">
            <v>59</v>
          </cell>
          <cell r="L727">
            <v>60</v>
          </cell>
          <cell r="M727">
            <v>60</v>
          </cell>
          <cell r="N727">
            <v>53</v>
          </cell>
          <cell r="O727">
            <v>63</v>
          </cell>
          <cell r="P727">
            <v>70</v>
          </cell>
        </row>
        <row r="728">
          <cell r="C728"/>
          <cell r="D728"/>
          <cell r="E728"/>
          <cell r="F728"/>
          <cell r="G728"/>
          <cell r="H728"/>
          <cell r="I728"/>
          <cell r="J728"/>
          <cell r="K728"/>
          <cell r="L728"/>
          <cell r="M728"/>
          <cell r="N728"/>
          <cell r="O728"/>
          <cell r="P728"/>
        </row>
        <row r="729">
          <cell r="B729" t="str">
            <v>Akron</v>
          </cell>
          <cell r="C729"/>
          <cell r="D729" t="str">
            <v>WSW</v>
          </cell>
          <cell r="E729" t="str">
            <v>WSW</v>
          </cell>
          <cell r="F729" t="str">
            <v>W</v>
          </cell>
          <cell r="G729" t="str">
            <v>SW</v>
          </cell>
          <cell r="H729" t="str">
            <v>S</v>
          </cell>
          <cell r="I729" t="str">
            <v>SW</v>
          </cell>
          <cell r="J729" t="str">
            <v>SW</v>
          </cell>
          <cell r="K729" t="str">
            <v>SW</v>
          </cell>
          <cell r="L729" t="str">
            <v>S</v>
          </cell>
          <cell r="M729" t="str">
            <v>S</v>
          </cell>
          <cell r="N729" t="str">
            <v>WSW</v>
          </cell>
          <cell r="O729" t="str">
            <v>WSW</v>
          </cell>
          <cell r="P729" t="str">
            <v>SW</v>
          </cell>
        </row>
        <row r="730">
          <cell r="C730"/>
          <cell r="D730">
            <v>12</v>
          </cell>
          <cell r="E730">
            <v>11</v>
          </cell>
          <cell r="F730">
            <v>11</v>
          </cell>
          <cell r="G730">
            <v>11</v>
          </cell>
          <cell r="H730">
            <v>9</v>
          </cell>
          <cell r="I730">
            <v>8</v>
          </cell>
          <cell r="J730">
            <v>8</v>
          </cell>
          <cell r="K730">
            <v>8</v>
          </cell>
          <cell r="L730">
            <v>8</v>
          </cell>
          <cell r="M730">
            <v>9</v>
          </cell>
          <cell r="N730">
            <v>11</v>
          </cell>
          <cell r="O730">
            <v>12</v>
          </cell>
          <cell r="P730">
            <v>10</v>
          </cell>
        </row>
        <row r="731">
          <cell r="B731"/>
          <cell r="C731"/>
          <cell r="D731">
            <v>54</v>
          </cell>
          <cell r="E731">
            <v>53</v>
          </cell>
          <cell r="F731">
            <v>60</v>
          </cell>
          <cell r="G731">
            <v>60</v>
          </cell>
          <cell r="H731">
            <v>56</v>
          </cell>
          <cell r="I731">
            <v>60</v>
          </cell>
          <cell r="J731">
            <v>68</v>
          </cell>
          <cell r="K731">
            <v>60</v>
          </cell>
          <cell r="L731">
            <v>52</v>
          </cell>
          <cell r="M731">
            <v>51</v>
          </cell>
          <cell r="N731">
            <v>63</v>
          </cell>
          <cell r="O731">
            <v>58</v>
          </cell>
          <cell r="P731">
            <v>68</v>
          </cell>
        </row>
        <row r="732">
          <cell r="B732" t="str">
            <v>Cincinnati</v>
          </cell>
          <cell r="C732"/>
          <cell r="D732" t="str">
            <v>SSW</v>
          </cell>
          <cell r="E732" t="str">
            <v>SSW</v>
          </cell>
          <cell r="F732" t="str">
            <v>SSW</v>
          </cell>
          <cell r="G732" t="str">
            <v>SSW</v>
          </cell>
          <cell r="H732" t="str">
            <v>SW</v>
          </cell>
          <cell r="I732" t="str">
            <v>SSW</v>
          </cell>
          <cell r="J732" t="str">
            <v>SW</v>
          </cell>
          <cell r="K732" t="str">
            <v>SW</v>
          </cell>
          <cell r="L732" t="str">
            <v>SSW</v>
          </cell>
          <cell r="M732" t="str">
            <v>SSW</v>
          </cell>
          <cell r="N732" t="str">
            <v>SSW</v>
          </cell>
          <cell r="O732" t="str">
            <v>SSW</v>
          </cell>
          <cell r="P732" t="str">
            <v>SSW</v>
          </cell>
        </row>
        <row r="733">
          <cell r="C733"/>
          <cell r="D733">
            <v>11</v>
          </cell>
          <cell r="E733">
            <v>10</v>
          </cell>
          <cell r="F733">
            <v>11</v>
          </cell>
          <cell r="G733">
            <v>11</v>
          </cell>
          <cell r="H733">
            <v>9</v>
          </cell>
          <cell r="I733">
            <v>8</v>
          </cell>
          <cell r="J733">
            <v>7</v>
          </cell>
          <cell r="K733">
            <v>7</v>
          </cell>
          <cell r="L733">
            <v>7</v>
          </cell>
          <cell r="M733">
            <v>8</v>
          </cell>
          <cell r="N733">
            <v>10</v>
          </cell>
          <cell r="O733">
            <v>10</v>
          </cell>
          <cell r="P733">
            <v>9</v>
          </cell>
        </row>
        <row r="734">
          <cell r="B734"/>
          <cell r="C734"/>
          <cell r="D734">
            <v>51</v>
          </cell>
          <cell r="E734">
            <v>55</v>
          </cell>
          <cell r="F734">
            <v>64</v>
          </cell>
          <cell r="G734">
            <v>61</v>
          </cell>
          <cell r="H734">
            <v>53</v>
          </cell>
          <cell r="I734">
            <v>60</v>
          </cell>
          <cell r="J734">
            <v>51</v>
          </cell>
          <cell r="K734">
            <v>47</v>
          </cell>
          <cell r="L734">
            <v>45</v>
          </cell>
          <cell r="M734">
            <v>45</v>
          </cell>
          <cell r="N734">
            <v>56</v>
          </cell>
          <cell r="O734">
            <v>59</v>
          </cell>
          <cell r="P734">
            <v>64</v>
          </cell>
        </row>
        <row r="735">
          <cell r="B735" t="str">
            <v>Cleveland</v>
          </cell>
          <cell r="C735"/>
          <cell r="D735" t="str">
            <v>WSW</v>
          </cell>
          <cell r="E735" t="str">
            <v>SW</v>
          </cell>
          <cell r="F735" t="str">
            <v>SSW</v>
          </cell>
          <cell r="G735" t="str">
            <v>N</v>
          </cell>
          <cell r="H735" t="str">
            <v>N</v>
          </cell>
          <cell r="I735" t="str">
            <v>SW</v>
          </cell>
          <cell r="J735" t="str">
            <v>SW</v>
          </cell>
          <cell r="K735" t="str">
            <v>SW</v>
          </cell>
          <cell r="L735" t="str">
            <v>SW</v>
          </cell>
          <cell r="M735" t="str">
            <v>SSW</v>
          </cell>
          <cell r="N735" t="str">
            <v>WSW</v>
          </cell>
          <cell r="O735" t="str">
            <v>WSW</v>
          </cell>
          <cell r="P735" t="str">
            <v>SW</v>
          </cell>
        </row>
        <row r="736">
          <cell r="C736"/>
          <cell r="D736">
            <v>12</v>
          </cell>
          <cell r="E736">
            <v>12</v>
          </cell>
          <cell r="F736">
            <v>12</v>
          </cell>
          <cell r="G736">
            <v>12</v>
          </cell>
          <cell r="H736">
            <v>10</v>
          </cell>
          <cell r="I736">
            <v>9</v>
          </cell>
          <cell r="J736">
            <v>9</v>
          </cell>
          <cell r="K736">
            <v>8</v>
          </cell>
          <cell r="L736">
            <v>9</v>
          </cell>
          <cell r="M736">
            <v>10</v>
          </cell>
          <cell r="N736">
            <v>12</v>
          </cell>
          <cell r="O736">
            <v>12</v>
          </cell>
          <cell r="P736">
            <v>11</v>
          </cell>
        </row>
        <row r="737">
          <cell r="B737"/>
          <cell r="C737"/>
          <cell r="D737">
            <v>55</v>
          </cell>
          <cell r="E737">
            <v>58</v>
          </cell>
          <cell r="F737">
            <v>63</v>
          </cell>
          <cell r="G737">
            <v>69</v>
          </cell>
          <cell r="H737">
            <v>54</v>
          </cell>
          <cell r="I737">
            <v>56</v>
          </cell>
          <cell r="J737">
            <v>67</v>
          </cell>
          <cell r="K737">
            <v>49</v>
          </cell>
          <cell r="L737">
            <v>45</v>
          </cell>
          <cell r="M737">
            <v>52</v>
          </cell>
          <cell r="N737">
            <v>59</v>
          </cell>
          <cell r="O737">
            <v>63</v>
          </cell>
          <cell r="P737">
            <v>69</v>
          </cell>
        </row>
        <row r="738">
          <cell r="B738" t="str">
            <v xml:space="preserve">Columbus  </v>
          </cell>
          <cell r="C738"/>
          <cell r="D738" t="str">
            <v>W</v>
          </cell>
          <cell r="E738" t="str">
            <v>W</v>
          </cell>
          <cell r="F738" t="str">
            <v>W</v>
          </cell>
          <cell r="G738" t="str">
            <v>N</v>
          </cell>
          <cell r="H738" t="str">
            <v>S</v>
          </cell>
          <cell r="I738" t="str">
            <v>S</v>
          </cell>
          <cell r="J738" t="str">
            <v>S</v>
          </cell>
          <cell r="K738" t="str">
            <v>S</v>
          </cell>
          <cell r="L738" t="str">
            <v>S</v>
          </cell>
          <cell r="M738" t="str">
            <v>S</v>
          </cell>
          <cell r="N738" t="str">
            <v>S</v>
          </cell>
          <cell r="O738" t="str">
            <v>S</v>
          </cell>
          <cell r="P738" t="str">
            <v>S</v>
          </cell>
        </row>
        <row r="739">
          <cell r="C739"/>
          <cell r="D739">
            <v>10</v>
          </cell>
          <cell r="E739">
            <v>9</v>
          </cell>
          <cell r="F739">
            <v>10</v>
          </cell>
          <cell r="G739">
            <v>10</v>
          </cell>
          <cell r="H739">
            <v>8</v>
          </cell>
          <cell r="I739">
            <v>7</v>
          </cell>
          <cell r="J739">
            <v>6</v>
          </cell>
          <cell r="K739">
            <v>6</v>
          </cell>
          <cell r="L739">
            <v>6</v>
          </cell>
          <cell r="M739">
            <v>7</v>
          </cell>
          <cell r="N739">
            <v>9</v>
          </cell>
          <cell r="O739">
            <v>9</v>
          </cell>
          <cell r="P739">
            <v>8</v>
          </cell>
        </row>
        <row r="740">
          <cell r="B740"/>
          <cell r="C740"/>
          <cell r="D740">
            <v>51</v>
          </cell>
          <cell r="E740">
            <v>51</v>
          </cell>
          <cell r="F740">
            <v>53</v>
          </cell>
          <cell r="G740">
            <v>52</v>
          </cell>
          <cell r="H740">
            <v>52</v>
          </cell>
          <cell r="I740">
            <v>40</v>
          </cell>
          <cell r="J740">
            <v>47</v>
          </cell>
          <cell r="K740">
            <v>59</v>
          </cell>
          <cell r="L740">
            <v>38</v>
          </cell>
          <cell r="M740">
            <v>39</v>
          </cell>
          <cell r="N740">
            <v>53</v>
          </cell>
          <cell r="O740">
            <v>55</v>
          </cell>
          <cell r="P740">
            <v>59</v>
          </cell>
        </row>
        <row r="741">
          <cell r="B741" t="str">
            <v>Dayton</v>
          </cell>
          <cell r="C741"/>
          <cell r="D741" t="str">
            <v>W</v>
          </cell>
          <cell r="E741" t="str">
            <v>SSW</v>
          </cell>
          <cell r="F741" t="str">
            <v>WNW</v>
          </cell>
          <cell r="G741" t="str">
            <v>S</v>
          </cell>
          <cell r="H741" t="str">
            <v>SW</v>
          </cell>
          <cell r="I741" t="str">
            <v>SSW</v>
          </cell>
          <cell r="J741" t="str">
            <v>WSW</v>
          </cell>
          <cell r="K741" t="str">
            <v>SW</v>
          </cell>
          <cell r="L741" t="str">
            <v>S</v>
          </cell>
          <cell r="M741" t="str">
            <v>S</v>
          </cell>
          <cell r="N741" t="str">
            <v>SSW</v>
          </cell>
          <cell r="O741" t="str">
            <v>S</v>
          </cell>
          <cell r="P741" t="str">
            <v>SSW</v>
          </cell>
        </row>
        <row r="742">
          <cell r="C742"/>
          <cell r="D742">
            <v>11</v>
          </cell>
          <cell r="E742">
            <v>11</v>
          </cell>
          <cell r="F742">
            <v>12</v>
          </cell>
          <cell r="G742">
            <v>11</v>
          </cell>
          <cell r="H742">
            <v>10</v>
          </cell>
          <cell r="I742">
            <v>9</v>
          </cell>
          <cell r="J742">
            <v>8</v>
          </cell>
          <cell r="K742">
            <v>7</v>
          </cell>
          <cell r="L742">
            <v>8</v>
          </cell>
          <cell r="M742">
            <v>9</v>
          </cell>
          <cell r="N742">
            <v>11</v>
          </cell>
          <cell r="O742">
            <v>11</v>
          </cell>
          <cell r="P742">
            <v>10</v>
          </cell>
        </row>
        <row r="743">
          <cell r="B743"/>
          <cell r="C743"/>
          <cell r="D743">
            <v>49</v>
          </cell>
          <cell r="E743">
            <v>52</v>
          </cell>
          <cell r="F743">
            <v>67</v>
          </cell>
          <cell r="G743">
            <v>62</v>
          </cell>
          <cell r="H743">
            <v>60</v>
          </cell>
          <cell r="I743">
            <v>60</v>
          </cell>
          <cell r="J743">
            <v>58</v>
          </cell>
          <cell r="K743">
            <v>51</v>
          </cell>
          <cell r="L743">
            <v>48</v>
          </cell>
          <cell r="M743">
            <v>43</v>
          </cell>
          <cell r="N743">
            <v>55</v>
          </cell>
          <cell r="O743">
            <v>62</v>
          </cell>
          <cell r="P743">
            <v>67</v>
          </cell>
        </row>
        <row r="744">
          <cell r="B744" t="str">
            <v>Mansfield</v>
          </cell>
          <cell r="C744"/>
          <cell r="D744" t="str">
            <v>WSW</v>
          </cell>
          <cell r="E744" t="str">
            <v>WSW</v>
          </cell>
          <cell r="F744" t="str">
            <v>WSW</v>
          </cell>
          <cell r="G744" t="str">
            <v>WSW</v>
          </cell>
          <cell r="H744" t="str">
            <v>W</v>
          </cell>
          <cell r="I744" t="str">
            <v>W</v>
          </cell>
          <cell r="J744" t="str">
            <v>SW</v>
          </cell>
          <cell r="K744" t="str">
            <v>SW</v>
          </cell>
          <cell r="L744" t="str">
            <v>SW</v>
          </cell>
          <cell r="M744" t="str">
            <v>SW</v>
          </cell>
          <cell r="N744" t="str">
            <v>SSW</v>
          </cell>
          <cell r="O744" t="str">
            <v>SSW</v>
          </cell>
          <cell r="P744" t="str">
            <v>WSW</v>
          </cell>
        </row>
        <row r="745">
          <cell r="B745"/>
          <cell r="D745">
            <v>14</v>
          </cell>
          <cell r="E745">
            <v>13</v>
          </cell>
          <cell r="F745">
            <v>13</v>
          </cell>
          <cell r="G745">
            <v>12</v>
          </cell>
          <cell r="H745">
            <v>10</v>
          </cell>
          <cell r="I745">
            <v>10</v>
          </cell>
          <cell r="J745">
            <v>9</v>
          </cell>
          <cell r="K745">
            <v>8</v>
          </cell>
          <cell r="L745">
            <v>9</v>
          </cell>
          <cell r="M745">
            <v>10</v>
          </cell>
          <cell r="N745">
            <v>12</v>
          </cell>
          <cell r="O745">
            <v>13</v>
          </cell>
          <cell r="P745">
            <v>11</v>
          </cell>
        </row>
        <row r="746">
          <cell r="D746">
            <v>59</v>
          </cell>
          <cell r="E746">
            <v>58</v>
          </cell>
          <cell r="F746">
            <v>62</v>
          </cell>
          <cell r="G746">
            <v>68</v>
          </cell>
          <cell r="H746">
            <v>55</v>
          </cell>
          <cell r="I746">
            <v>68</v>
          </cell>
          <cell r="J746">
            <v>64</v>
          </cell>
          <cell r="K746">
            <v>68</v>
          </cell>
          <cell r="L746">
            <v>48</v>
          </cell>
          <cell r="M746">
            <v>52</v>
          </cell>
          <cell r="N746">
            <v>69</v>
          </cell>
          <cell r="O746">
            <v>64</v>
          </cell>
          <cell r="P746">
            <v>69</v>
          </cell>
        </row>
        <row r="747">
          <cell r="B747" t="str">
            <v>Toledo</v>
          </cell>
          <cell r="D747" t="str">
            <v>WSW</v>
          </cell>
          <cell r="E747" t="str">
            <v>WSW</v>
          </cell>
          <cell r="F747" t="str">
            <v>ENE</v>
          </cell>
          <cell r="G747" t="str">
            <v>ENE</v>
          </cell>
          <cell r="H747" t="str">
            <v>ENE</v>
          </cell>
          <cell r="I747" t="str">
            <v>WSW</v>
          </cell>
          <cell r="J747" t="str">
            <v>WSW</v>
          </cell>
          <cell r="K747" t="str">
            <v>WSW</v>
          </cell>
          <cell r="L747" t="str">
            <v>WSW</v>
          </cell>
          <cell r="M747" t="str">
            <v>SW</v>
          </cell>
          <cell r="N747" t="str">
            <v>WSW</v>
          </cell>
          <cell r="O747" t="str">
            <v>WSW</v>
          </cell>
          <cell r="P747" t="str">
            <v>WSW</v>
          </cell>
        </row>
        <row r="748">
          <cell r="C748"/>
          <cell r="D748">
            <v>11</v>
          </cell>
          <cell r="E748">
            <v>11</v>
          </cell>
          <cell r="F748">
            <v>11</v>
          </cell>
          <cell r="G748">
            <v>11</v>
          </cell>
          <cell r="H748">
            <v>10</v>
          </cell>
          <cell r="I748">
            <v>9</v>
          </cell>
          <cell r="J748">
            <v>8</v>
          </cell>
          <cell r="K748">
            <v>8</v>
          </cell>
          <cell r="L748">
            <v>7</v>
          </cell>
          <cell r="M748">
            <v>8</v>
          </cell>
          <cell r="N748">
            <v>10</v>
          </cell>
          <cell r="O748">
            <v>10</v>
          </cell>
          <cell r="P748">
            <v>10</v>
          </cell>
        </row>
        <row r="749">
          <cell r="B749"/>
          <cell r="C749"/>
          <cell r="D749">
            <v>62</v>
          </cell>
          <cell r="E749">
            <v>52</v>
          </cell>
          <cell r="F749">
            <v>64</v>
          </cell>
          <cell r="G749">
            <v>59</v>
          </cell>
          <cell r="H749">
            <v>58</v>
          </cell>
          <cell r="I749">
            <v>55</v>
          </cell>
          <cell r="J749">
            <v>66</v>
          </cell>
          <cell r="K749">
            <v>75</v>
          </cell>
          <cell r="L749">
            <v>54</v>
          </cell>
          <cell r="M749">
            <v>49</v>
          </cell>
          <cell r="N749">
            <v>55</v>
          </cell>
          <cell r="O749">
            <v>56</v>
          </cell>
          <cell r="P749">
            <v>75</v>
          </cell>
        </row>
        <row r="750">
          <cell r="B750" t="str">
            <v>Youngstown</v>
          </cell>
          <cell r="C750"/>
          <cell r="D750" t="str">
            <v>WSW</v>
          </cell>
          <cell r="E750" t="str">
            <v>WSW</v>
          </cell>
          <cell r="F750" t="str">
            <v>WSW</v>
          </cell>
          <cell r="G750" t="str">
            <v>WSW</v>
          </cell>
          <cell r="H750" t="str">
            <v>WSW</v>
          </cell>
          <cell r="I750" t="str">
            <v>WSW</v>
          </cell>
          <cell r="J750" t="str">
            <v>W</v>
          </cell>
          <cell r="K750" t="str">
            <v>W</v>
          </cell>
          <cell r="L750" t="str">
            <v>W</v>
          </cell>
          <cell r="M750" t="str">
            <v>SSW</v>
          </cell>
          <cell r="N750" t="str">
            <v>SW</v>
          </cell>
          <cell r="O750" t="str">
            <v>SW</v>
          </cell>
          <cell r="P750" t="str">
            <v>WSW</v>
          </cell>
        </row>
        <row r="751">
          <cell r="C751"/>
          <cell r="D751">
            <v>12</v>
          </cell>
          <cell r="E751">
            <v>11</v>
          </cell>
          <cell r="F751">
            <v>11</v>
          </cell>
          <cell r="G751">
            <v>11</v>
          </cell>
          <cell r="H751">
            <v>9</v>
          </cell>
          <cell r="I751">
            <v>8</v>
          </cell>
          <cell r="J751">
            <v>8</v>
          </cell>
          <cell r="K751">
            <v>7</v>
          </cell>
          <cell r="L751">
            <v>8</v>
          </cell>
          <cell r="M751">
            <v>9</v>
          </cell>
          <cell r="N751">
            <v>11</v>
          </cell>
          <cell r="O751">
            <v>11</v>
          </cell>
          <cell r="P751">
            <v>10</v>
          </cell>
        </row>
        <row r="752">
          <cell r="B752"/>
          <cell r="C752"/>
          <cell r="D752">
            <v>51</v>
          </cell>
          <cell r="E752">
            <v>54</v>
          </cell>
          <cell r="F752">
            <v>58</v>
          </cell>
          <cell r="G752">
            <v>64</v>
          </cell>
          <cell r="H752">
            <v>56</v>
          </cell>
          <cell r="I752">
            <v>58</v>
          </cell>
          <cell r="J752">
            <v>66</v>
          </cell>
          <cell r="K752">
            <v>44</v>
          </cell>
          <cell r="L752">
            <v>52</v>
          </cell>
          <cell r="M752">
            <v>49</v>
          </cell>
          <cell r="N752">
            <v>53</v>
          </cell>
          <cell r="O752">
            <v>58</v>
          </cell>
          <cell r="P752">
            <v>66</v>
          </cell>
        </row>
        <row r="753">
          <cell r="C753"/>
          <cell r="D753"/>
          <cell r="E753"/>
          <cell r="F753"/>
          <cell r="G753"/>
          <cell r="H753"/>
          <cell r="I753"/>
          <cell r="J753"/>
          <cell r="K753"/>
          <cell r="L753"/>
          <cell r="M753"/>
          <cell r="N753"/>
          <cell r="O753"/>
          <cell r="P753"/>
        </row>
        <row r="754">
          <cell r="B754" t="str">
            <v>Altus</v>
          </cell>
          <cell r="C754"/>
          <cell r="D754" t="str">
            <v>N</v>
          </cell>
          <cell r="E754" t="str">
            <v>NNE</v>
          </cell>
          <cell r="F754" t="str">
            <v>SSE</v>
          </cell>
          <cell r="G754" t="str">
            <v>SSE</v>
          </cell>
          <cell r="H754" t="str">
            <v>SSE</v>
          </cell>
          <cell r="I754" t="str">
            <v>SSE</v>
          </cell>
          <cell r="J754" t="str">
            <v>SSE</v>
          </cell>
          <cell r="K754" t="str">
            <v>SSE</v>
          </cell>
          <cell r="L754" t="str">
            <v>SSE</v>
          </cell>
          <cell r="M754" t="str">
            <v>SSE</v>
          </cell>
          <cell r="N754" t="str">
            <v>N</v>
          </cell>
          <cell r="O754" t="str">
            <v>N</v>
          </cell>
          <cell r="P754" t="str">
            <v>SSE</v>
          </cell>
        </row>
        <row r="755">
          <cell r="B755"/>
          <cell r="C755"/>
          <cell r="D755">
            <v>8</v>
          </cell>
          <cell r="E755">
            <v>9</v>
          </cell>
          <cell r="F755">
            <v>9</v>
          </cell>
          <cell r="G755">
            <v>9</v>
          </cell>
          <cell r="H755">
            <v>8</v>
          </cell>
          <cell r="I755">
            <v>7</v>
          </cell>
          <cell r="J755">
            <v>7</v>
          </cell>
          <cell r="K755">
            <v>6</v>
          </cell>
          <cell r="L755">
            <v>7</v>
          </cell>
          <cell r="M755">
            <v>7</v>
          </cell>
          <cell r="N755">
            <v>8</v>
          </cell>
          <cell r="O755">
            <v>7</v>
          </cell>
          <cell r="P755">
            <v>8</v>
          </cell>
        </row>
        <row r="756">
          <cell r="B756"/>
          <cell r="C756"/>
          <cell r="D756">
            <v>76</v>
          </cell>
          <cell r="E756">
            <v>94</v>
          </cell>
          <cell r="F756">
            <v>64</v>
          </cell>
          <cell r="G756">
            <v>69</v>
          </cell>
          <cell r="H756">
            <v>92</v>
          </cell>
          <cell r="I756">
            <v>78</v>
          </cell>
          <cell r="J756">
            <v>76</v>
          </cell>
          <cell r="K756">
            <v>71</v>
          </cell>
          <cell r="L756">
            <v>69</v>
          </cell>
          <cell r="M756">
            <v>52</v>
          </cell>
          <cell r="N756">
            <v>64</v>
          </cell>
          <cell r="O756">
            <v>76</v>
          </cell>
          <cell r="P756">
            <v>94</v>
          </cell>
        </row>
        <row r="757">
          <cell r="B757" t="str">
            <v>Burns Flat</v>
          </cell>
          <cell r="C757"/>
          <cell r="D757" t="str">
            <v>S</v>
          </cell>
          <cell r="E757" t="str">
            <v>N</v>
          </cell>
          <cell r="F757" t="str">
            <v>S</v>
          </cell>
          <cell r="G757" t="str">
            <v>S</v>
          </cell>
          <cell r="H757" t="str">
            <v>S</v>
          </cell>
          <cell r="I757" t="str">
            <v>S</v>
          </cell>
          <cell r="J757" t="str">
            <v>S</v>
          </cell>
          <cell r="K757" t="str">
            <v>S</v>
          </cell>
          <cell r="L757" t="str">
            <v>S</v>
          </cell>
          <cell r="M757" t="str">
            <v>S</v>
          </cell>
          <cell r="N757" t="str">
            <v>S</v>
          </cell>
          <cell r="O757" t="str">
            <v>S</v>
          </cell>
          <cell r="P757" t="str">
            <v>S</v>
          </cell>
        </row>
        <row r="758">
          <cell r="B758"/>
          <cell r="C758"/>
          <cell r="D758">
            <v>12</v>
          </cell>
          <cell r="E758">
            <v>12</v>
          </cell>
          <cell r="F758">
            <v>14</v>
          </cell>
          <cell r="G758">
            <v>14</v>
          </cell>
          <cell r="H758">
            <v>14</v>
          </cell>
          <cell r="I758">
            <v>12</v>
          </cell>
          <cell r="J758">
            <v>9</v>
          </cell>
          <cell r="K758">
            <v>9</v>
          </cell>
          <cell r="L758">
            <v>10</v>
          </cell>
          <cell r="M758">
            <v>10</v>
          </cell>
          <cell r="N758">
            <v>10</v>
          </cell>
          <cell r="O758">
            <v>12</v>
          </cell>
          <cell r="P758">
            <v>12</v>
          </cell>
        </row>
        <row r="759">
          <cell r="B759"/>
          <cell r="C759"/>
          <cell r="D759">
            <v>52</v>
          </cell>
          <cell r="E759">
            <v>62</v>
          </cell>
          <cell r="F759">
            <v>68</v>
          </cell>
          <cell r="G759">
            <v>68</v>
          </cell>
          <cell r="H759">
            <v>70</v>
          </cell>
          <cell r="I759">
            <v>60</v>
          </cell>
          <cell r="J759">
            <v>67</v>
          </cell>
          <cell r="K759">
            <v>54</v>
          </cell>
          <cell r="L759">
            <v>60</v>
          </cell>
          <cell r="M759">
            <v>47</v>
          </cell>
          <cell r="N759">
            <v>51</v>
          </cell>
          <cell r="O759">
            <v>56</v>
          </cell>
          <cell r="P759">
            <v>70</v>
          </cell>
        </row>
        <row r="760">
          <cell r="B760" t="str">
            <v>Enid</v>
          </cell>
          <cell r="C760"/>
          <cell r="D760" t="str">
            <v>N</v>
          </cell>
          <cell r="E760" t="str">
            <v>N</v>
          </cell>
          <cell r="F760" t="str">
            <v>S</v>
          </cell>
          <cell r="G760" t="str">
            <v>S</v>
          </cell>
          <cell r="H760" t="str">
            <v>S</v>
          </cell>
          <cell r="I760" t="str">
            <v>S</v>
          </cell>
          <cell r="J760" t="str">
            <v>S</v>
          </cell>
          <cell r="K760" t="str">
            <v>S</v>
          </cell>
          <cell r="L760" t="str">
            <v>S</v>
          </cell>
          <cell r="M760" t="str">
            <v>S</v>
          </cell>
          <cell r="N760" t="str">
            <v>S</v>
          </cell>
          <cell r="O760" t="str">
            <v>N</v>
          </cell>
          <cell r="P760" t="str">
            <v>S</v>
          </cell>
        </row>
        <row r="761">
          <cell r="B761"/>
          <cell r="C761"/>
          <cell r="D761">
            <v>10</v>
          </cell>
          <cell r="E761">
            <v>12</v>
          </cell>
          <cell r="F761">
            <v>12</v>
          </cell>
          <cell r="G761">
            <v>12</v>
          </cell>
          <cell r="H761">
            <v>9</v>
          </cell>
          <cell r="I761">
            <v>10</v>
          </cell>
          <cell r="J761">
            <v>9</v>
          </cell>
          <cell r="K761">
            <v>9</v>
          </cell>
          <cell r="L761">
            <v>9</v>
          </cell>
          <cell r="M761">
            <v>10</v>
          </cell>
          <cell r="N761">
            <v>9</v>
          </cell>
          <cell r="O761">
            <v>10</v>
          </cell>
          <cell r="P761">
            <v>10</v>
          </cell>
        </row>
        <row r="762">
          <cell r="B762"/>
          <cell r="C762"/>
          <cell r="D762">
            <v>61</v>
          </cell>
          <cell r="E762">
            <v>62</v>
          </cell>
          <cell r="F762">
            <v>61</v>
          </cell>
          <cell r="G762">
            <v>86</v>
          </cell>
          <cell r="H762">
            <v>81</v>
          </cell>
          <cell r="I762">
            <v>90</v>
          </cell>
          <cell r="J762">
            <v>86</v>
          </cell>
          <cell r="K762">
            <v>81</v>
          </cell>
          <cell r="L762">
            <v>71</v>
          </cell>
          <cell r="M762">
            <v>83</v>
          </cell>
          <cell r="N762">
            <v>66</v>
          </cell>
          <cell r="O762">
            <v>67</v>
          </cell>
          <cell r="P762">
            <v>90</v>
          </cell>
        </row>
        <row r="763">
          <cell r="B763" t="str">
            <v>Oklahoma City</v>
          </cell>
          <cell r="C763"/>
          <cell r="D763" t="str">
            <v>N</v>
          </cell>
          <cell r="E763" t="str">
            <v>N</v>
          </cell>
          <cell r="F763" t="str">
            <v>N</v>
          </cell>
          <cell r="G763" t="str">
            <v>N</v>
          </cell>
          <cell r="H763" t="str">
            <v>S</v>
          </cell>
          <cell r="I763" t="str">
            <v>S</v>
          </cell>
          <cell r="J763" t="str">
            <v>SSE</v>
          </cell>
          <cell r="K763" t="str">
            <v>SSE</v>
          </cell>
          <cell r="L763" t="str">
            <v>SSE</v>
          </cell>
          <cell r="M763" t="str">
            <v>SSE</v>
          </cell>
          <cell r="N763" t="str">
            <v>S</v>
          </cell>
          <cell r="O763" t="str">
            <v>S</v>
          </cell>
          <cell r="P763" t="str">
            <v>S</v>
          </cell>
        </row>
        <row r="764">
          <cell r="B764"/>
          <cell r="C764"/>
          <cell r="D764">
            <v>13</v>
          </cell>
          <cell r="E764">
            <v>14</v>
          </cell>
          <cell r="F764">
            <v>15</v>
          </cell>
          <cell r="G764">
            <v>15</v>
          </cell>
          <cell r="H764">
            <v>13</v>
          </cell>
          <cell r="I764">
            <v>12</v>
          </cell>
          <cell r="J764">
            <v>11</v>
          </cell>
          <cell r="K764">
            <v>11</v>
          </cell>
          <cell r="L764">
            <v>12</v>
          </cell>
          <cell r="M764">
            <v>12</v>
          </cell>
          <cell r="N764">
            <v>13</v>
          </cell>
          <cell r="O764">
            <v>13</v>
          </cell>
          <cell r="P764">
            <v>13</v>
          </cell>
        </row>
        <row r="765">
          <cell r="B765"/>
          <cell r="C765"/>
          <cell r="D765">
            <v>53</v>
          </cell>
          <cell r="E765">
            <v>47</v>
          </cell>
          <cell r="F765">
            <v>62</v>
          </cell>
          <cell r="G765">
            <v>47</v>
          </cell>
          <cell r="H765">
            <v>57</v>
          </cell>
          <cell r="I765">
            <v>51</v>
          </cell>
          <cell r="J765">
            <v>49</v>
          </cell>
          <cell r="K765">
            <v>52</v>
          </cell>
          <cell r="L765">
            <v>40</v>
          </cell>
          <cell r="M765">
            <v>51</v>
          </cell>
          <cell r="N765">
            <v>56</v>
          </cell>
          <cell r="O765">
            <v>47</v>
          </cell>
          <cell r="P765">
            <v>62</v>
          </cell>
        </row>
        <row r="766">
          <cell r="B766" t="str">
            <v>Tulsa</v>
          </cell>
          <cell r="C766"/>
          <cell r="D766" t="str">
            <v>S</v>
          </cell>
          <cell r="E766" t="str">
            <v>S</v>
          </cell>
          <cell r="F766" t="str">
            <v>S</v>
          </cell>
          <cell r="G766" t="str">
            <v>S</v>
          </cell>
          <cell r="H766" t="str">
            <v>S</v>
          </cell>
          <cell r="I766" t="str">
            <v>S</v>
          </cell>
          <cell r="J766" t="str">
            <v>S</v>
          </cell>
          <cell r="K766" t="str">
            <v>S</v>
          </cell>
          <cell r="L766" t="str">
            <v>S</v>
          </cell>
          <cell r="M766" t="str">
            <v>S</v>
          </cell>
          <cell r="N766" t="str">
            <v>S</v>
          </cell>
          <cell r="O766" t="str">
            <v>S</v>
          </cell>
          <cell r="P766" t="str">
            <v>S</v>
          </cell>
        </row>
        <row r="767">
          <cell r="B767"/>
          <cell r="C767"/>
          <cell r="D767">
            <v>10</v>
          </cell>
          <cell r="E767">
            <v>11</v>
          </cell>
          <cell r="F767">
            <v>12</v>
          </cell>
          <cell r="G767">
            <v>12</v>
          </cell>
          <cell r="H767">
            <v>11</v>
          </cell>
          <cell r="I767">
            <v>10</v>
          </cell>
          <cell r="J767">
            <v>9</v>
          </cell>
          <cell r="K767">
            <v>9</v>
          </cell>
          <cell r="L767">
            <v>9</v>
          </cell>
          <cell r="M767">
            <v>10</v>
          </cell>
          <cell r="N767">
            <v>11</v>
          </cell>
          <cell r="O767">
            <v>10</v>
          </cell>
          <cell r="P767">
            <v>10</v>
          </cell>
        </row>
        <row r="768">
          <cell r="B768"/>
          <cell r="C768"/>
          <cell r="D768">
            <v>47</v>
          </cell>
          <cell r="E768">
            <v>46</v>
          </cell>
          <cell r="F768">
            <v>45</v>
          </cell>
          <cell r="G768">
            <v>63</v>
          </cell>
          <cell r="H768">
            <v>44</v>
          </cell>
          <cell r="I768">
            <v>55</v>
          </cell>
          <cell r="J768">
            <v>55</v>
          </cell>
          <cell r="K768">
            <v>41</v>
          </cell>
          <cell r="L768">
            <v>40</v>
          </cell>
          <cell r="M768">
            <v>46</v>
          </cell>
          <cell r="N768">
            <v>44</v>
          </cell>
          <cell r="O768">
            <v>41</v>
          </cell>
          <cell r="P768">
            <v>63</v>
          </cell>
        </row>
        <row r="769">
          <cell r="C769"/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</row>
        <row r="770">
          <cell r="B770" t="str">
            <v>Astoria</v>
          </cell>
          <cell r="C770"/>
          <cell r="D770" t="str">
            <v>E</v>
          </cell>
          <cell r="E770" t="str">
            <v>E</v>
          </cell>
          <cell r="F770" t="str">
            <v>E</v>
          </cell>
          <cell r="G770" t="str">
            <v>E</v>
          </cell>
          <cell r="H770" t="str">
            <v>ESE</v>
          </cell>
          <cell r="I770" t="str">
            <v>ESE</v>
          </cell>
          <cell r="J770" t="str">
            <v>ESE</v>
          </cell>
          <cell r="K770" t="str">
            <v>ESE</v>
          </cell>
          <cell r="L770" t="str">
            <v>WNW</v>
          </cell>
          <cell r="M770" t="str">
            <v>WNW</v>
          </cell>
          <cell r="N770" t="str">
            <v>NW</v>
          </cell>
          <cell r="O770" t="str">
            <v>NW</v>
          </cell>
          <cell r="P770" t="str">
            <v>ESE</v>
          </cell>
        </row>
        <row r="771">
          <cell r="B771"/>
          <cell r="C771"/>
          <cell r="D771">
            <v>9</v>
          </cell>
          <cell r="E771">
            <v>9</v>
          </cell>
          <cell r="F771">
            <v>9</v>
          </cell>
          <cell r="G771">
            <v>9</v>
          </cell>
          <cell r="H771">
            <v>8</v>
          </cell>
          <cell r="I771">
            <v>9</v>
          </cell>
          <cell r="J771">
            <v>9</v>
          </cell>
          <cell r="K771">
            <v>8</v>
          </cell>
          <cell r="L771">
            <v>7</v>
          </cell>
          <cell r="M771">
            <v>7</v>
          </cell>
          <cell r="N771">
            <v>9</v>
          </cell>
          <cell r="O771">
            <v>9</v>
          </cell>
          <cell r="P771">
            <v>8</v>
          </cell>
        </row>
        <row r="772">
          <cell r="B772"/>
          <cell r="C772"/>
          <cell r="D772">
            <v>50</v>
          </cell>
          <cell r="E772">
            <v>54</v>
          </cell>
          <cell r="F772">
            <v>58</v>
          </cell>
          <cell r="G772">
            <v>61</v>
          </cell>
          <cell r="H772">
            <v>44</v>
          </cell>
          <cell r="I772">
            <v>45</v>
          </cell>
          <cell r="J772">
            <v>30</v>
          </cell>
          <cell r="K772">
            <v>28</v>
          </cell>
          <cell r="L772">
            <v>29</v>
          </cell>
          <cell r="M772">
            <v>67</v>
          </cell>
          <cell r="N772">
            <v>56</v>
          </cell>
          <cell r="O772">
            <v>67</v>
          </cell>
          <cell r="P772">
            <v>67</v>
          </cell>
        </row>
        <row r="773">
          <cell r="B773" t="str">
            <v>Burns</v>
          </cell>
          <cell r="C773"/>
          <cell r="D773" t="str">
            <v>E</v>
          </cell>
          <cell r="E773" t="str">
            <v>E</v>
          </cell>
          <cell r="F773" t="str">
            <v>E</v>
          </cell>
          <cell r="G773" t="str">
            <v>E</v>
          </cell>
          <cell r="H773" t="str">
            <v>NW</v>
          </cell>
          <cell r="I773" t="str">
            <v>NW</v>
          </cell>
          <cell r="J773" t="str">
            <v>NW</v>
          </cell>
          <cell r="K773" t="str">
            <v>NW</v>
          </cell>
          <cell r="L773" t="str">
            <v>NW</v>
          </cell>
          <cell r="M773" t="str">
            <v>NW</v>
          </cell>
          <cell r="N773" t="str">
            <v>WNW</v>
          </cell>
          <cell r="O773" t="str">
            <v>WNW</v>
          </cell>
          <cell r="P773" t="str">
            <v>NW</v>
          </cell>
        </row>
        <row r="774">
          <cell r="B774"/>
          <cell r="C774"/>
          <cell r="D774">
            <v>6</v>
          </cell>
          <cell r="E774" t="str">
            <v>N/A</v>
          </cell>
          <cell r="F774">
            <v>8</v>
          </cell>
          <cell r="G774" t="str">
            <v>N/A</v>
          </cell>
          <cell r="H774">
            <v>9</v>
          </cell>
          <cell r="I774">
            <v>7</v>
          </cell>
          <cell r="J774" t="str">
            <v>N/A</v>
          </cell>
          <cell r="K774">
            <v>7</v>
          </cell>
          <cell r="L774">
            <v>6</v>
          </cell>
          <cell r="M774">
            <v>6</v>
          </cell>
          <cell r="N774">
            <v>6</v>
          </cell>
          <cell r="O774">
            <v>6</v>
          </cell>
          <cell r="P774" t="str">
            <v>N/A</v>
          </cell>
        </row>
        <row r="775">
          <cell r="B775"/>
          <cell r="C775"/>
          <cell r="D775">
            <v>46</v>
          </cell>
          <cell r="E775">
            <v>50</v>
          </cell>
          <cell r="F775">
            <v>62</v>
          </cell>
          <cell r="G775">
            <v>47</v>
          </cell>
          <cell r="H775">
            <v>52</v>
          </cell>
          <cell r="I775">
            <v>47</v>
          </cell>
          <cell r="J775">
            <v>45</v>
          </cell>
          <cell r="K775">
            <v>58</v>
          </cell>
          <cell r="L775">
            <v>44</v>
          </cell>
          <cell r="M775">
            <v>48</v>
          </cell>
          <cell r="N775">
            <v>71</v>
          </cell>
          <cell r="O775">
            <v>74</v>
          </cell>
          <cell r="P775">
            <v>74</v>
          </cell>
        </row>
        <row r="776">
          <cell r="B776" t="str">
            <v>Eugene</v>
          </cell>
          <cell r="C776"/>
          <cell r="D776" t="str">
            <v>S</v>
          </cell>
          <cell r="E776" t="str">
            <v>S</v>
          </cell>
          <cell r="F776" t="str">
            <v>S</v>
          </cell>
          <cell r="G776" t="str">
            <v>S</v>
          </cell>
          <cell r="H776" t="str">
            <v>S</v>
          </cell>
          <cell r="I776" t="str">
            <v>S</v>
          </cell>
          <cell r="J776" t="str">
            <v>S</v>
          </cell>
          <cell r="K776" t="str">
            <v>S</v>
          </cell>
          <cell r="L776" t="str">
            <v>N</v>
          </cell>
          <cell r="M776" t="str">
            <v>N</v>
          </cell>
          <cell r="N776" t="str">
            <v>N</v>
          </cell>
          <cell r="O776" t="str">
            <v>N</v>
          </cell>
          <cell r="P776" t="str">
            <v>S</v>
          </cell>
        </row>
        <row r="777">
          <cell r="B777"/>
          <cell r="C777"/>
          <cell r="D777">
            <v>8</v>
          </cell>
          <cell r="E777">
            <v>8</v>
          </cell>
          <cell r="F777">
            <v>8</v>
          </cell>
          <cell r="G777">
            <v>8</v>
          </cell>
          <cell r="H777">
            <v>8</v>
          </cell>
          <cell r="I777">
            <v>8</v>
          </cell>
          <cell r="J777">
            <v>8</v>
          </cell>
          <cell r="K777">
            <v>8</v>
          </cell>
          <cell r="L777">
            <v>8</v>
          </cell>
          <cell r="M777">
            <v>7</v>
          </cell>
          <cell r="N777">
            <v>8</v>
          </cell>
          <cell r="O777">
            <v>8</v>
          </cell>
          <cell r="P777">
            <v>8</v>
          </cell>
        </row>
        <row r="778">
          <cell r="B778"/>
          <cell r="C778"/>
          <cell r="D778">
            <v>58</v>
          </cell>
          <cell r="E778">
            <v>48</v>
          </cell>
          <cell r="F778">
            <v>45</v>
          </cell>
          <cell r="G778">
            <v>44</v>
          </cell>
          <cell r="H778">
            <v>45</v>
          </cell>
          <cell r="I778">
            <v>41</v>
          </cell>
          <cell r="J778">
            <v>51</v>
          </cell>
          <cell r="K778">
            <v>39</v>
          </cell>
          <cell r="L778">
            <v>36</v>
          </cell>
          <cell r="M778">
            <v>52</v>
          </cell>
          <cell r="N778">
            <v>51</v>
          </cell>
          <cell r="O778">
            <v>56</v>
          </cell>
          <cell r="P778">
            <v>58</v>
          </cell>
        </row>
        <row r="779">
          <cell r="B779" t="str">
            <v>Klamath Falls</v>
          </cell>
          <cell r="C779"/>
          <cell r="D779" t="str">
            <v>SSE</v>
          </cell>
          <cell r="E779" t="str">
            <v>SSE</v>
          </cell>
          <cell r="F779" t="str">
            <v>SSE</v>
          </cell>
          <cell r="G779" t="str">
            <v>WSW</v>
          </cell>
          <cell r="H779" t="str">
            <v>WNW</v>
          </cell>
          <cell r="I779" t="str">
            <v>NNW</v>
          </cell>
          <cell r="J779" t="str">
            <v>NNW</v>
          </cell>
          <cell r="K779" t="str">
            <v>NNW</v>
          </cell>
          <cell r="L779" t="str">
            <v>NNW</v>
          </cell>
          <cell r="M779" t="str">
            <v>NNW</v>
          </cell>
          <cell r="N779" t="str">
            <v>SSE</v>
          </cell>
          <cell r="O779" t="str">
            <v>SSE</v>
          </cell>
          <cell r="P779" t="str">
            <v>NNW</v>
          </cell>
        </row>
        <row r="780">
          <cell r="B780"/>
          <cell r="C780"/>
          <cell r="D780">
            <v>6</v>
          </cell>
          <cell r="E780">
            <v>7</v>
          </cell>
          <cell r="F780">
            <v>8</v>
          </cell>
          <cell r="G780">
            <v>8</v>
          </cell>
          <cell r="H780">
            <v>8</v>
          </cell>
          <cell r="I780">
            <v>7</v>
          </cell>
          <cell r="J780">
            <v>7</v>
          </cell>
          <cell r="K780">
            <v>6</v>
          </cell>
          <cell r="L780">
            <v>6</v>
          </cell>
          <cell r="M780">
            <v>5</v>
          </cell>
          <cell r="N780">
            <v>6</v>
          </cell>
          <cell r="O780">
            <v>6</v>
          </cell>
          <cell r="P780">
            <v>7</v>
          </cell>
        </row>
        <row r="781">
          <cell r="B781"/>
          <cell r="C781"/>
          <cell r="D781">
            <v>54</v>
          </cell>
          <cell r="E781">
            <v>60</v>
          </cell>
          <cell r="F781">
            <v>60</v>
          </cell>
          <cell r="G781">
            <v>54</v>
          </cell>
          <cell r="H781">
            <v>60</v>
          </cell>
          <cell r="I781">
            <v>43</v>
          </cell>
          <cell r="J781">
            <v>41</v>
          </cell>
          <cell r="K781">
            <v>52</v>
          </cell>
          <cell r="L781">
            <v>41</v>
          </cell>
          <cell r="M781">
            <v>66</v>
          </cell>
          <cell r="N781">
            <v>56</v>
          </cell>
          <cell r="O781">
            <v>61</v>
          </cell>
          <cell r="P781">
            <v>66</v>
          </cell>
        </row>
        <row r="782">
          <cell r="B782" t="str">
            <v>Medford</v>
          </cell>
          <cell r="C782"/>
          <cell r="D782" t="str">
            <v>N</v>
          </cell>
          <cell r="E782" t="str">
            <v>N</v>
          </cell>
          <cell r="F782" t="str">
            <v>NW</v>
          </cell>
          <cell r="G782" t="str">
            <v>WNW</v>
          </cell>
          <cell r="H782" t="str">
            <v>WNW</v>
          </cell>
          <cell r="I782" t="str">
            <v>WNW</v>
          </cell>
          <cell r="J782" t="str">
            <v>WNW</v>
          </cell>
          <cell r="K782" t="str">
            <v>WNW</v>
          </cell>
          <cell r="L782" t="str">
            <v>WNW</v>
          </cell>
          <cell r="M782" t="str">
            <v>N</v>
          </cell>
          <cell r="N782" t="str">
            <v>N</v>
          </cell>
          <cell r="O782" t="str">
            <v>N</v>
          </cell>
          <cell r="P782" t="str">
            <v>WNW</v>
          </cell>
        </row>
        <row r="783">
          <cell r="B783"/>
          <cell r="C783"/>
          <cell r="D783">
            <v>4</v>
          </cell>
          <cell r="E783">
            <v>5</v>
          </cell>
          <cell r="F783">
            <v>5</v>
          </cell>
          <cell r="G783">
            <v>6</v>
          </cell>
          <cell r="H783">
            <v>6</v>
          </cell>
          <cell r="I783">
            <v>6</v>
          </cell>
          <cell r="J783">
            <v>6</v>
          </cell>
          <cell r="K783">
            <v>5</v>
          </cell>
          <cell r="L783">
            <v>5</v>
          </cell>
          <cell r="M783">
            <v>4</v>
          </cell>
          <cell r="N783">
            <v>4</v>
          </cell>
          <cell r="O783">
            <v>4</v>
          </cell>
          <cell r="P783">
            <v>5</v>
          </cell>
        </row>
        <row r="784">
          <cell r="B784"/>
          <cell r="C784"/>
          <cell r="D784">
            <v>47</v>
          </cell>
          <cell r="E784">
            <v>45</v>
          </cell>
          <cell r="F784">
            <v>53</v>
          </cell>
          <cell r="G784">
            <v>48</v>
          </cell>
          <cell r="H784">
            <v>39</v>
          </cell>
          <cell r="I784">
            <v>53</v>
          </cell>
          <cell r="J784">
            <v>46</v>
          </cell>
          <cell r="K784">
            <v>36</v>
          </cell>
          <cell r="L784">
            <v>36</v>
          </cell>
          <cell r="M784">
            <v>35</v>
          </cell>
          <cell r="N784">
            <v>52</v>
          </cell>
          <cell r="O784">
            <v>56</v>
          </cell>
          <cell r="P784">
            <v>56</v>
          </cell>
        </row>
        <row r="785">
          <cell r="B785" t="str">
            <v>Pendleton</v>
          </cell>
          <cell r="C785"/>
          <cell r="D785" t="str">
            <v>SSE</v>
          </cell>
          <cell r="E785" t="str">
            <v>SSE</v>
          </cell>
          <cell r="F785" t="str">
            <v>SSE</v>
          </cell>
          <cell r="G785" t="str">
            <v>SSE</v>
          </cell>
          <cell r="H785" t="str">
            <v>W</v>
          </cell>
          <cell r="I785" t="str">
            <v>W</v>
          </cell>
          <cell r="J785" t="str">
            <v>W</v>
          </cell>
          <cell r="K785" t="str">
            <v>W</v>
          </cell>
          <cell r="L785" t="str">
            <v>W</v>
          </cell>
          <cell r="M785" t="str">
            <v>W</v>
          </cell>
          <cell r="N785" t="str">
            <v>W</v>
          </cell>
          <cell r="O785" t="str">
            <v>W</v>
          </cell>
          <cell r="P785" t="str">
            <v>W</v>
          </cell>
        </row>
        <row r="786">
          <cell r="B786"/>
          <cell r="C786"/>
          <cell r="D786">
            <v>7</v>
          </cell>
          <cell r="E786">
            <v>8</v>
          </cell>
          <cell r="F786">
            <v>9</v>
          </cell>
          <cell r="G786">
            <v>10</v>
          </cell>
          <cell r="H786">
            <v>9</v>
          </cell>
          <cell r="I786">
            <v>9</v>
          </cell>
          <cell r="J786">
            <v>9</v>
          </cell>
          <cell r="K786">
            <v>8</v>
          </cell>
          <cell r="L786">
            <v>8</v>
          </cell>
          <cell r="M786">
            <v>7</v>
          </cell>
          <cell r="N786">
            <v>8</v>
          </cell>
          <cell r="O786">
            <v>7</v>
          </cell>
          <cell r="P786">
            <v>8</v>
          </cell>
        </row>
        <row r="787">
          <cell r="B787"/>
          <cell r="C787"/>
          <cell r="D787">
            <v>76</v>
          </cell>
          <cell r="E787">
            <v>53</v>
          </cell>
          <cell r="F787">
            <v>74</v>
          </cell>
          <cell r="G787">
            <v>61</v>
          </cell>
          <cell r="H787">
            <v>60</v>
          </cell>
          <cell r="I787">
            <v>59</v>
          </cell>
          <cell r="J787">
            <v>62</v>
          </cell>
          <cell r="K787">
            <v>55</v>
          </cell>
          <cell r="L787">
            <v>56</v>
          </cell>
          <cell r="M787">
            <v>56</v>
          </cell>
          <cell r="N787">
            <v>58</v>
          </cell>
          <cell r="O787">
            <v>62</v>
          </cell>
          <cell r="P787">
            <v>76</v>
          </cell>
        </row>
        <row r="788">
          <cell r="B788"/>
        </row>
        <row r="789">
          <cell r="B789" t="str">
            <v>Portland</v>
          </cell>
          <cell r="C789"/>
          <cell r="D789" t="str">
            <v>ESE</v>
          </cell>
          <cell r="E789" t="str">
            <v>ESE</v>
          </cell>
          <cell r="F789" t="str">
            <v>ESE</v>
          </cell>
          <cell r="G789" t="str">
            <v>ESE</v>
          </cell>
          <cell r="H789" t="str">
            <v>ESE</v>
          </cell>
          <cell r="I789" t="str">
            <v>ESE</v>
          </cell>
          <cell r="J789" t="str">
            <v>ESE</v>
          </cell>
          <cell r="K789" t="str">
            <v>ESE</v>
          </cell>
          <cell r="L789" t="str">
            <v>ESE</v>
          </cell>
          <cell r="M789" t="str">
            <v>ESE</v>
          </cell>
          <cell r="N789" t="str">
            <v>ESE</v>
          </cell>
          <cell r="O789" t="str">
            <v>ESE</v>
          </cell>
          <cell r="P789" t="str">
            <v>ESE</v>
          </cell>
        </row>
        <row r="790">
          <cell r="B790"/>
          <cell r="C790"/>
          <cell r="D790">
            <v>10</v>
          </cell>
          <cell r="E790">
            <v>9</v>
          </cell>
          <cell r="F790">
            <v>8</v>
          </cell>
          <cell r="G790">
            <v>8</v>
          </cell>
          <cell r="H790">
            <v>7</v>
          </cell>
          <cell r="I790">
            <v>7</v>
          </cell>
          <cell r="J790">
            <v>8</v>
          </cell>
          <cell r="K790">
            <v>7</v>
          </cell>
          <cell r="L790">
            <v>7</v>
          </cell>
          <cell r="M790">
            <v>7</v>
          </cell>
          <cell r="N790">
            <v>9</v>
          </cell>
          <cell r="O790">
            <v>10</v>
          </cell>
          <cell r="P790">
            <v>8</v>
          </cell>
        </row>
        <row r="791">
          <cell r="B791"/>
          <cell r="C791"/>
          <cell r="D791">
            <v>63</v>
          </cell>
          <cell r="E791">
            <v>61</v>
          </cell>
          <cell r="F791">
            <v>59</v>
          </cell>
          <cell r="G791">
            <v>51</v>
          </cell>
          <cell r="H791">
            <v>46</v>
          </cell>
          <cell r="I791">
            <v>40</v>
          </cell>
          <cell r="J791">
            <v>32</v>
          </cell>
          <cell r="K791">
            <v>31</v>
          </cell>
          <cell r="L791">
            <v>44</v>
          </cell>
          <cell r="M791">
            <v>52</v>
          </cell>
          <cell r="N791">
            <v>52</v>
          </cell>
          <cell r="O791">
            <v>71</v>
          </cell>
          <cell r="P791">
            <v>71</v>
          </cell>
        </row>
        <row r="792">
          <cell r="B792" t="str">
            <v>Salem</v>
          </cell>
          <cell r="C792"/>
          <cell r="D792" t="str">
            <v>S</v>
          </cell>
          <cell r="E792" t="str">
            <v>S</v>
          </cell>
          <cell r="F792" t="str">
            <v>S</v>
          </cell>
          <cell r="G792" t="str">
            <v>S</v>
          </cell>
          <cell r="H792" t="str">
            <v>S</v>
          </cell>
          <cell r="I792" t="str">
            <v>N</v>
          </cell>
          <cell r="J792" t="str">
            <v>N</v>
          </cell>
          <cell r="K792" t="str">
            <v>N</v>
          </cell>
          <cell r="L792" t="str">
            <v>N</v>
          </cell>
          <cell r="M792" t="str">
            <v>S</v>
          </cell>
          <cell r="N792" t="str">
            <v>S</v>
          </cell>
          <cell r="O792" t="str">
            <v>S</v>
          </cell>
          <cell r="P792" t="str">
            <v>S</v>
          </cell>
        </row>
        <row r="793">
          <cell r="B793"/>
          <cell r="C793"/>
          <cell r="D793">
            <v>8</v>
          </cell>
          <cell r="E793">
            <v>8</v>
          </cell>
          <cell r="F793">
            <v>8</v>
          </cell>
          <cell r="G793">
            <v>7</v>
          </cell>
          <cell r="H793">
            <v>7</v>
          </cell>
          <cell r="I793">
            <v>7</v>
          </cell>
          <cell r="J793">
            <v>7</v>
          </cell>
          <cell r="K793">
            <v>6</v>
          </cell>
          <cell r="L793">
            <v>6</v>
          </cell>
          <cell r="M793">
            <v>6</v>
          </cell>
          <cell r="N793">
            <v>8</v>
          </cell>
          <cell r="O793">
            <v>8</v>
          </cell>
          <cell r="P793">
            <v>7</v>
          </cell>
        </row>
        <row r="794">
          <cell r="B794"/>
          <cell r="C794"/>
          <cell r="D794">
            <v>61</v>
          </cell>
          <cell r="E794">
            <v>49</v>
          </cell>
          <cell r="F794">
            <v>52</v>
          </cell>
          <cell r="G794">
            <v>41</v>
          </cell>
          <cell r="H794">
            <v>45</v>
          </cell>
          <cell r="I794">
            <v>36</v>
          </cell>
          <cell r="J794">
            <v>36</v>
          </cell>
          <cell r="K794">
            <v>32</v>
          </cell>
          <cell r="L794">
            <v>39</v>
          </cell>
          <cell r="M794">
            <v>47</v>
          </cell>
          <cell r="N794">
            <v>58</v>
          </cell>
          <cell r="O794">
            <v>68</v>
          </cell>
          <cell r="P794">
            <v>68</v>
          </cell>
        </row>
        <row r="795">
          <cell r="C795"/>
          <cell r="D795"/>
          <cell r="E795"/>
          <cell r="F795"/>
          <cell r="G795"/>
          <cell r="H795"/>
          <cell r="I795"/>
          <cell r="J795"/>
          <cell r="K795"/>
          <cell r="L795"/>
          <cell r="M795"/>
          <cell r="N795"/>
          <cell r="O795"/>
          <cell r="P795"/>
        </row>
        <row r="796">
          <cell r="B796" t="str">
            <v>Allentown</v>
          </cell>
          <cell r="C796"/>
          <cell r="D796" t="str">
            <v>W</v>
          </cell>
          <cell r="E796" t="str">
            <v>W</v>
          </cell>
          <cell r="F796" t="str">
            <v>WNW</v>
          </cell>
          <cell r="G796" t="str">
            <v>WSW</v>
          </cell>
          <cell r="H796" t="str">
            <v>SW</v>
          </cell>
          <cell r="I796" t="str">
            <v>WSW</v>
          </cell>
          <cell r="J796" t="str">
            <v>SW</v>
          </cell>
          <cell r="K796" t="str">
            <v>WSW</v>
          </cell>
          <cell r="L796" t="str">
            <v>SW</v>
          </cell>
          <cell r="M796" t="str">
            <v>WSW</v>
          </cell>
          <cell r="N796" t="str">
            <v>WSW</v>
          </cell>
          <cell r="O796" t="str">
            <v>W</v>
          </cell>
          <cell r="P796" t="str">
            <v>WSW</v>
          </cell>
        </row>
        <row r="797">
          <cell r="B797"/>
          <cell r="C797"/>
          <cell r="D797">
            <v>10</v>
          </cell>
          <cell r="E797">
            <v>11</v>
          </cell>
          <cell r="F797">
            <v>11</v>
          </cell>
          <cell r="G797">
            <v>11</v>
          </cell>
          <cell r="H797">
            <v>9</v>
          </cell>
          <cell r="I797">
            <v>8</v>
          </cell>
          <cell r="J797">
            <v>7</v>
          </cell>
          <cell r="K797">
            <v>7</v>
          </cell>
          <cell r="L797">
            <v>7</v>
          </cell>
          <cell r="M797">
            <v>8</v>
          </cell>
          <cell r="N797">
            <v>9</v>
          </cell>
          <cell r="O797">
            <v>10</v>
          </cell>
          <cell r="P797">
            <v>9</v>
          </cell>
        </row>
        <row r="798">
          <cell r="B798"/>
          <cell r="C798"/>
          <cell r="D798">
            <v>54</v>
          </cell>
          <cell r="E798">
            <v>60</v>
          </cell>
          <cell r="F798">
            <v>55</v>
          </cell>
          <cell r="G798">
            <v>68</v>
          </cell>
          <cell r="H798">
            <v>51</v>
          </cell>
          <cell r="I798">
            <v>58</v>
          </cell>
          <cell r="J798">
            <v>66</v>
          </cell>
          <cell r="K798">
            <v>48</v>
          </cell>
          <cell r="L798">
            <v>60</v>
          </cell>
          <cell r="M798">
            <v>63</v>
          </cell>
          <cell r="N798">
            <v>78</v>
          </cell>
          <cell r="O798">
            <v>62</v>
          </cell>
          <cell r="P798">
            <v>78</v>
          </cell>
        </row>
        <row r="799">
          <cell r="B799" t="str">
            <v>Scranton</v>
          </cell>
          <cell r="C799"/>
          <cell r="D799" t="str">
            <v>SW</v>
          </cell>
          <cell r="E799" t="str">
            <v>SW</v>
          </cell>
          <cell r="F799" t="str">
            <v>NW</v>
          </cell>
          <cell r="G799" t="str">
            <v>SW</v>
          </cell>
          <cell r="H799" t="str">
            <v>SW</v>
          </cell>
          <cell r="I799" t="str">
            <v>SW</v>
          </cell>
          <cell r="J799" t="str">
            <v>WSW</v>
          </cell>
          <cell r="K799" t="str">
            <v>SW</v>
          </cell>
          <cell r="L799" t="str">
            <v>SW</v>
          </cell>
          <cell r="M799" t="str">
            <v>SW</v>
          </cell>
          <cell r="N799" t="str">
            <v>SW</v>
          </cell>
          <cell r="O799" t="str">
            <v>SW</v>
          </cell>
          <cell r="P799" t="str">
            <v>SW</v>
          </cell>
        </row>
        <row r="800">
          <cell r="B800"/>
          <cell r="C800"/>
          <cell r="D800">
            <v>9</v>
          </cell>
          <cell r="E800">
            <v>9</v>
          </cell>
          <cell r="F800">
            <v>10</v>
          </cell>
          <cell r="G800">
            <v>9</v>
          </cell>
          <cell r="H800">
            <v>8</v>
          </cell>
          <cell r="I800">
            <v>8</v>
          </cell>
          <cell r="J800">
            <v>7</v>
          </cell>
          <cell r="K800">
            <v>7</v>
          </cell>
          <cell r="L800">
            <v>7</v>
          </cell>
          <cell r="M800">
            <v>8</v>
          </cell>
          <cell r="N800">
            <v>8</v>
          </cell>
          <cell r="O800">
            <v>9</v>
          </cell>
          <cell r="P800">
            <v>8</v>
          </cell>
        </row>
        <row r="801">
          <cell r="B801"/>
          <cell r="C801"/>
          <cell r="D801">
            <v>74</v>
          </cell>
          <cell r="E801">
            <v>53</v>
          </cell>
          <cell r="F801">
            <v>61</v>
          </cell>
          <cell r="G801">
            <v>64</v>
          </cell>
          <cell r="H801">
            <v>64</v>
          </cell>
          <cell r="I801">
            <v>58</v>
          </cell>
          <cell r="J801">
            <v>58</v>
          </cell>
          <cell r="K801">
            <v>51</v>
          </cell>
          <cell r="L801">
            <v>54</v>
          </cell>
          <cell r="M801">
            <v>52</v>
          </cell>
          <cell r="N801">
            <v>61</v>
          </cell>
          <cell r="O801">
            <v>64</v>
          </cell>
          <cell r="P801">
            <v>74</v>
          </cell>
        </row>
        <row r="802">
          <cell r="B802" t="str">
            <v>Erie</v>
          </cell>
          <cell r="C802"/>
          <cell r="D802" t="str">
            <v>S</v>
          </cell>
          <cell r="E802" t="str">
            <v>S</v>
          </cell>
          <cell r="F802" t="str">
            <v>S</v>
          </cell>
          <cell r="G802" t="str">
            <v>S</v>
          </cell>
          <cell r="H802" t="str">
            <v>S</v>
          </cell>
          <cell r="I802" t="str">
            <v>S</v>
          </cell>
          <cell r="J802" t="str">
            <v>S</v>
          </cell>
          <cell r="K802" t="str">
            <v>S</v>
          </cell>
          <cell r="L802" t="str">
            <v>S</v>
          </cell>
          <cell r="M802" t="str">
            <v>S</v>
          </cell>
          <cell r="N802" t="str">
            <v>S</v>
          </cell>
          <cell r="O802" t="str">
            <v>S</v>
          </cell>
          <cell r="P802" t="str">
            <v>S</v>
          </cell>
        </row>
        <row r="803">
          <cell r="B803"/>
          <cell r="C803"/>
          <cell r="D803">
            <v>13</v>
          </cell>
          <cell r="E803">
            <v>12</v>
          </cell>
          <cell r="F803">
            <v>12</v>
          </cell>
          <cell r="G803">
            <v>11</v>
          </cell>
          <cell r="H803">
            <v>10</v>
          </cell>
          <cell r="I803">
            <v>9</v>
          </cell>
          <cell r="J803">
            <v>9</v>
          </cell>
          <cell r="K803">
            <v>9</v>
          </cell>
          <cell r="L803">
            <v>10</v>
          </cell>
          <cell r="M803">
            <v>11</v>
          </cell>
          <cell r="N803">
            <v>13</v>
          </cell>
          <cell r="O803">
            <v>13</v>
          </cell>
          <cell r="P803">
            <v>11</v>
          </cell>
        </row>
        <row r="804">
          <cell r="B804"/>
          <cell r="C804"/>
          <cell r="D804">
            <v>55</v>
          </cell>
          <cell r="E804">
            <v>62</v>
          </cell>
          <cell r="F804">
            <v>64</v>
          </cell>
          <cell r="G804">
            <v>55</v>
          </cell>
          <cell r="H804">
            <v>54</v>
          </cell>
          <cell r="I804">
            <v>52</v>
          </cell>
          <cell r="J804">
            <v>69</v>
          </cell>
          <cell r="K804">
            <v>53</v>
          </cell>
          <cell r="L804">
            <v>61</v>
          </cell>
          <cell r="M804">
            <v>61</v>
          </cell>
          <cell r="N804">
            <v>69</v>
          </cell>
          <cell r="O804">
            <v>60</v>
          </cell>
          <cell r="P804">
            <v>69</v>
          </cell>
        </row>
        <row r="805">
          <cell r="B805" t="str">
            <v>Middletown</v>
          </cell>
          <cell r="C805"/>
          <cell r="D805" t="str">
            <v>NW</v>
          </cell>
          <cell r="E805" t="str">
            <v>NW</v>
          </cell>
          <cell r="F805" t="str">
            <v>NW</v>
          </cell>
          <cell r="G805" t="str">
            <v>NW</v>
          </cell>
          <cell r="H805" t="str">
            <v>NW</v>
          </cell>
          <cell r="I805" t="str">
            <v>NW</v>
          </cell>
          <cell r="J805" t="str">
            <v>NW</v>
          </cell>
          <cell r="K805" t="str">
            <v>WNW</v>
          </cell>
          <cell r="L805" t="str">
            <v>NW</v>
          </cell>
          <cell r="M805" t="str">
            <v>NW</v>
          </cell>
          <cell r="N805" t="str">
            <v>NW</v>
          </cell>
          <cell r="O805" t="str">
            <v>NNW</v>
          </cell>
          <cell r="P805" t="str">
            <v>NW</v>
          </cell>
        </row>
        <row r="806">
          <cell r="B806"/>
          <cell r="C806"/>
          <cell r="D806">
            <v>8</v>
          </cell>
          <cell r="E806">
            <v>8</v>
          </cell>
          <cell r="F806">
            <v>9</v>
          </cell>
          <cell r="G806">
            <v>8</v>
          </cell>
          <cell r="H806">
            <v>7</v>
          </cell>
          <cell r="I806">
            <v>6</v>
          </cell>
          <cell r="J806">
            <v>5</v>
          </cell>
          <cell r="K806">
            <v>5</v>
          </cell>
          <cell r="L806">
            <v>5</v>
          </cell>
          <cell r="M806">
            <v>5</v>
          </cell>
          <cell r="N806">
            <v>7</v>
          </cell>
          <cell r="O806">
            <v>7</v>
          </cell>
          <cell r="P806">
            <v>7</v>
          </cell>
        </row>
        <row r="807">
          <cell r="B807"/>
          <cell r="C807"/>
          <cell r="D807">
            <v>44</v>
          </cell>
          <cell r="E807">
            <v>31</v>
          </cell>
          <cell r="F807">
            <v>37</v>
          </cell>
          <cell r="G807">
            <v>35</v>
          </cell>
          <cell r="H807">
            <v>47</v>
          </cell>
          <cell r="I807">
            <v>58</v>
          </cell>
          <cell r="J807">
            <v>25</v>
          </cell>
          <cell r="K807">
            <v>46</v>
          </cell>
          <cell r="L807">
            <v>27</v>
          </cell>
          <cell r="M807">
            <v>30</v>
          </cell>
          <cell r="N807">
            <v>29</v>
          </cell>
          <cell r="O807">
            <v>46</v>
          </cell>
          <cell r="P807">
            <v>58</v>
          </cell>
        </row>
        <row r="808">
          <cell r="B808" t="str">
            <v>Philadelphia</v>
          </cell>
          <cell r="C808"/>
          <cell r="D808" t="str">
            <v>WNW</v>
          </cell>
          <cell r="E808" t="str">
            <v>WNW</v>
          </cell>
          <cell r="F808" t="str">
            <v>WNW</v>
          </cell>
          <cell r="G808" t="str">
            <v>WNW</v>
          </cell>
          <cell r="H808" t="str">
            <v>WNW</v>
          </cell>
          <cell r="I808" t="str">
            <v>WNW</v>
          </cell>
          <cell r="J808" t="str">
            <v>SW</v>
          </cell>
          <cell r="K808" t="str">
            <v>SW</v>
          </cell>
          <cell r="L808" t="str">
            <v>SW</v>
          </cell>
          <cell r="M808" t="str">
            <v>SW</v>
          </cell>
          <cell r="N808" t="str">
            <v>SW</v>
          </cell>
          <cell r="O808" t="str">
            <v>SW</v>
          </cell>
          <cell r="P808" t="str">
            <v>SW</v>
          </cell>
        </row>
        <row r="809">
          <cell r="B809"/>
          <cell r="C809"/>
          <cell r="D809">
            <v>10</v>
          </cell>
          <cell r="E809">
            <v>11</v>
          </cell>
          <cell r="F809">
            <v>11</v>
          </cell>
          <cell r="G809">
            <v>11</v>
          </cell>
          <cell r="H809">
            <v>10</v>
          </cell>
          <cell r="I809">
            <v>9</v>
          </cell>
          <cell r="J809">
            <v>8</v>
          </cell>
          <cell r="K809">
            <v>8</v>
          </cell>
          <cell r="L809">
            <v>8</v>
          </cell>
          <cell r="M809">
            <v>9</v>
          </cell>
          <cell r="N809">
            <v>10</v>
          </cell>
          <cell r="O809">
            <v>10</v>
          </cell>
          <cell r="P809">
            <v>10</v>
          </cell>
        </row>
        <row r="810">
          <cell r="B810"/>
          <cell r="C810"/>
          <cell r="D810">
            <v>59</v>
          </cell>
          <cell r="E810">
            <v>51</v>
          </cell>
          <cell r="F810">
            <v>69</v>
          </cell>
          <cell r="G810">
            <v>49</v>
          </cell>
          <cell r="H810">
            <v>67</v>
          </cell>
          <cell r="I810">
            <v>54</v>
          </cell>
          <cell r="J810">
            <v>60</v>
          </cell>
          <cell r="K810">
            <v>47</v>
          </cell>
          <cell r="L810">
            <v>53</v>
          </cell>
          <cell r="M810">
            <v>63</v>
          </cell>
          <cell r="N810">
            <v>61</v>
          </cell>
          <cell r="O810">
            <v>63</v>
          </cell>
          <cell r="P810">
            <v>69</v>
          </cell>
        </row>
        <row r="811">
          <cell r="B811" t="str">
            <v>Pittsburgh</v>
          </cell>
          <cell r="C811"/>
          <cell r="D811" t="str">
            <v>W</v>
          </cell>
          <cell r="E811" t="str">
            <v>W</v>
          </cell>
          <cell r="F811" t="str">
            <v>W</v>
          </cell>
          <cell r="G811" t="str">
            <v>W</v>
          </cell>
          <cell r="H811" t="str">
            <v>W</v>
          </cell>
          <cell r="I811" t="str">
            <v>W</v>
          </cell>
          <cell r="J811" t="str">
            <v>WSW</v>
          </cell>
          <cell r="K811" t="str">
            <v>WSW</v>
          </cell>
          <cell r="L811" t="str">
            <v>WSW</v>
          </cell>
          <cell r="M811" t="str">
            <v>WSW</v>
          </cell>
          <cell r="N811" t="str">
            <v>SW</v>
          </cell>
          <cell r="O811" t="str">
            <v>SW</v>
          </cell>
          <cell r="P811" t="str">
            <v>W</v>
          </cell>
        </row>
        <row r="812">
          <cell r="B812"/>
          <cell r="C812"/>
          <cell r="D812">
            <v>11</v>
          </cell>
          <cell r="E812">
            <v>11</v>
          </cell>
          <cell r="F812">
            <v>11</v>
          </cell>
          <cell r="G812">
            <v>11</v>
          </cell>
          <cell r="H812">
            <v>9</v>
          </cell>
          <cell r="I812">
            <v>8</v>
          </cell>
          <cell r="J812">
            <v>7</v>
          </cell>
          <cell r="K812">
            <v>7</v>
          </cell>
          <cell r="L812">
            <v>8</v>
          </cell>
          <cell r="M812">
            <v>8</v>
          </cell>
          <cell r="N812">
            <v>10</v>
          </cell>
          <cell r="O812">
            <v>10</v>
          </cell>
          <cell r="P812">
            <v>9</v>
          </cell>
        </row>
        <row r="813">
          <cell r="B813"/>
          <cell r="C813"/>
          <cell r="D813">
            <v>54</v>
          </cell>
          <cell r="E813">
            <v>59</v>
          </cell>
          <cell r="F813">
            <v>60</v>
          </cell>
          <cell r="G813">
            <v>60</v>
          </cell>
          <cell r="H813">
            <v>61</v>
          </cell>
          <cell r="I813">
            <v>63</v>
          </cell>
          <cell r="J813">
            <v>83</v>
          </cell>
          <cell r="K813">
            <v>56</v>
          </cell>
          <cell r="L813">
            <v>48</v>
          </cell>
          <cell r="M813">
            <v>49</v>
          </cell>
          <cell r="N813">
            <v>62</v>
          </cell>
          <cell r="O813">
            <v>55</v>
          </cell>
          <cell r="P813">
            <v>83</v>
          </cell>
        </row>
        <row r="814">
          <cell r="B814" t="str">
            <v>Williamsport</v>
          </cell>
          <cell r="C814"/>
          <cell r="D814" t="str">
            <v>W</v>
          </cell>
          <cell r="E814" t="str">
            <v>W</v>
          </cell>
          <cell r="F814" t="str">
            <v>W</v>
          </cell>
          <cell r="G814" t="str">
            <v>W</v>
          </cell>
          <cell r="H814" t="str">
            <v>WNW</v>
          </cell>
          <cell r="I814" t="str">
            <v>WNW</v>
          </cell>
          <cell r="J814" t="str">
            <v>W</v>
          </cell>
          <cell r="K814" t="str">
            <v>W</v>
          </cell>
          <cell r="L814" t="str">
            <v>W</v>
          </cell>
          <cell r="M814" t="str">
            <v>W</v>
          </cell>
          <cell r="N814" t="str">
            <v>W</v>
          </cell>
          <cell r="O814" t="str">
            <v>W</v>
          </cell>
          <cell r="P814" t="str">
            <v>W</v>
          </cell>
        </row>
        <row r="815">
          <cell r="B815"/>
          <cell r="C815"/>
          <cell r="D815">
            <v>9</v>
          </cell>
          <cell r="E815">
            <v>9</v>
          </cell>
          <cell r="F815">
            <v>9</v>
          </cell>
          <cell r="G815">
            <v>9</v>
          </cell>
          <cell r="H815">
            <v>8</v>
          </cell>
          <cell r="I815">
            <v>7</v>
          </cell>
          <cell r="J815">
            <v>7</v>
          </cell>
          <cell r="K815">
            <v>6</v>
          </cell>
          <cell r="L815">
            <v>6</v>
          </cell>
          <cell r="M815">
            <v>7</v>
          </cell>
          <cell r="N815">
            <v>8</v>
          </cell>
          <cell r="O815">
            <v>8</v>
          </cell>
          <cell r="P815">
            <v>8</v>
          </cell>
        </row>
        <row r="816">
          <cell r="B816"/>
          <cell r="C816"/>
          <cell r="D816">
            <v>54</v>
          </cell>
          <cell r="E816">
            <v>49</v>
          </cell>
          <cell r="F816">
            <v>60</v>
          </cell>
          <cell r="G816">
            <v>60</v>
          </cell>
          <cell r="H816">
            <v>51</v>
          </cell>
          <cell r="I816">
            <v>56</v>
          </cell>
          <cell r="J816">
            <v>58</v>
          </cell>
          <cell r="K816">
            <v>61</v>
          </cell>
          <cell r="L816">
            <v>54</v>
          </cell>
          <cell r="M816">
            <v>45</v>
          </cell>
          <cell r="N816">
            <v>63</v>
          </cell>
          <cell r="O816">
            <v>64</v>
          </cell>
          <cell r="P816">
            <v>64</v>
          </cell>
        </row>
        <row r="817">
          <cell r="C817"/>
          <cell r="D817"/>
          <cell r="E817"/>
          <cell r="F817"/>
          <cell r="G817"/>
          <cell r="H817"/>
          <cell r="I817"/>
          <cell r="J817"/>
          <cell r="K817"/>
          <cell r="L817"/>
          <cell r="M817"/>
          <cell r="N817"/>
          <cell r="O817"/>
          <cell r="P817"/>
        </row>
        <row r="818">
          <cell r="B818" t="str">
            <v>Providence</v>
          </cell>
          <cell r="C818"/>
          <cell r="D818" t="str">
            <v>WNW</v>
          </cell>
          <cell r="E818" t="str">
            <v>WNW</v>
          </cell>
          <cell r="F818" t="str">
            <v>WNW</v>
          </cell>
          <cell r="G818" t="str">
            <v>WNW</v>
          </cell>
          <cell r="H818" t="str">
            <v>WNW</v>
          </cell>
          <cell r="I818" t="str">
            <v>WNW</v>
          </cell>
          <cell r="J818" t="str">
            <v>WNW</v>
          </cell>
          <cell r="K818" t="str">
            <v>WNW</v>
          </cell>
          <cell r="L818" t="str">
            <v>WNW</v>
          </cell>
          <cell r="M818" t="str">
            <v>WNW</v>
          </cell>
          <cell r="N818" t="str">
            <v>WNW</v>
          </cell>
          <cell r="O818" t="str">
            <v>WNW</v>
          </cell>
          <cell r="P818" t="str">
            <v>WNW</v>
          </cell>
        </row>
        <row r="819">
          <cell r="B819"/>
          <cell r="C819"/>
          <cell r="D819">
            <v>11</v>
          </cell>
          <cell r="E819">
            <v>11</v>
          </cell>
          <cell r="F819">
            <v>12</v>
          </cell>
          <cell r="G819">
            <v>12</v>
          </cell>
          <cell r="H819">
            <v>11</v>
          </cell>
          <cell r="I819">
            <v>10</v>
          </cell>
          <cell r="J819">
            <v>9</v>
          </cell>
          <cell r="K819">
            <v>9</v>
          </cell>
          <cell r="L819">
            <v>9</v>
          </cell>
          <cell r="M819">
            <v>9</v>
          </cell>
          <cell r="N819">
            <v>10</v>
          </cell>
          <cell r="O819">
            <v>11</v>
          </cell>
          <cell r="P819">
            <v>10</v>
          </cell>
        </row>
        <row r="820">
          <cell r="B820"/>
          <cell r="C820"/>
          <cell r="D820">
            <v>60</v>
          </cell>
          <cell r="E820">
            <v>61</v>
          </cell>
          <cell r="F820">
            <v>60</v>
          </cell>
          <cell r="G820">
            <v>58</v>
          </cell>
          <cell r="H820">
            <v>49</v>
          </cell>
          <cell r="I820">
            <v>54</v>
          </cell>
          <cell r="J820">
            <v>51</v>
          </cell>
          <cell r="K820">
            <v>63</v>
          </cell>
          <cell r="L820">
            <v>81</v>
          </cell>
          <cell r="M820">
            <v>58</v>
          </cell>
          <cell r="N820">
            <v>61</v>
          </cell>
          <cell r="O820">
            <v>64</v>
          </cell>
          <cell r="P820">
            <v>81</v>
          </cell>
        </row>
        <row r="821">
          <cell r="B821" t="str">
            <v>Quonset Pt NAS</v>
          </cell>
          <cell r="C821"/>
          <cell r="D821" t="str">
            <v>WNW</v>
          </cell>
          <cell r="E821" t="str">
            <v>WNW</v>
          </cell>
          <cell r="F821" t="str">
            <v>WNW</v>
          </cell>
          <cell r="G821" t="str">
            <v>S</v>
          </cell>
          <cell r="H821" t="str">
            <v>S</v>
          </cell>
          <cell r="I821" t="str">
            <v>S</v>
          </cell>
          <cell r="J821" t="str">
            <v>SW</v>
          </cell>
          <cell r="K821" t="str">
            <v>SW</v>
          </cell>
          <cell r="L821" t="str">
            <v>SW</v>
          </cell>
          <cell r="M821" t="str">
            <v>SW</v>
          </cell>
          <cell r="N821" t="str">
            <v>WNW</v>
          </cell>
          <cell r="O821" t="str">
            <v>WNW</v>
          </cell>
          <cell r="P821" t="str">
            <v>SW</v>
          </cell>
        </row>
        <row r="822">
          <cell r="B822"/>
          <cell r="C822"/>
          <cell r="D822">
            <v>10</v>
          </cell>
          <cell r="E822">
            <v>10</v>
          </cell>
          <cell r="F822">
            <v>12</v>
          </cell>
          <cell r="G822">
            <v>12</v>
          </cell>
          <cell r="H822">
            <v>10</v>
          </cell>
          <cell r="I822">
            <v>9</v>
          </cell>
          <cell r="J822">
            <v>8</v>
          </cell>
          <cell r="K822">
            <v>8</v>
          </cell>
          <cell r="L822">
            <v>8</v>
          </cell>
          <cell r="M822">
            <v>9</v>
          </cell>
          <cell r="N822">
            <v>9</v>
          </cell>
          <cell r="O822">
            <v>10</v>
          </cell>
          <cell r="P822">
            <v>9</v>
          </cell>
        </row>
        <row r="823">
          <cell r="B823"/>
          <cell r="C823"/>
          <cell r="D823">
            <v>75</v>
          </cell>
          <cell r="E823">
            <v>68</v>
          </cell>
          <cell r="F823">
            <v>84</v>
          </cell>
          <cell r="G823">
            <v>72</v>
          </cell>
          <cell r="H823">
            <v>67</v>
          </cell>
          <cell r="I823">
            <v>56</v>
          </cell>
          <cell r="J823">
            <v>56</v>
          </cell>
          <cell r="K823">
            <v>98</v>
          </cell>
          <cell r="L823">
            <v>107</v>
          </cell>
          <cell r="M823">
            <v>61</v>
          </cell>
          <cell r="N823">
            <v>85</v>
          </cell>
          <cell r="O823">
            <v>75</v>
          </cell>
          <cell r="P823">
            <v>107</v>
          </cell>
        </row>
        <row r="825">
          <cell r="B825" t="str">
            <v>Beaufort</v>
          </cell>
          <cell r="D825" t="str">
            <v>W</v>
          </cell>
          <cell r="E825" t="str">
            <v>W</v>
          </cell>
          <cell r="F825" t="str">
            <v>S</v>
          </cell>
          <cell r="G825" t="str">
            <v>S</v>
          </cell>
          <cell r="H825" t="str">
            <v>S</v>
          </cell>
          <cell r="I825" t="str">
            <v>S</v>
          </cell>
          <cell r="J825" t="str">
            <v>S</v>
          </cell>
          <cell r="K825" t="str">
            <v>S</v>
          </cell>
          <cell r="L825" t="str">
            <v>N</v>
          </cell>
          <cell r="M825" t="str">
            <v>N</v>
          </cell>
          <cell r="N825" t="str">
            <v>N</v>
          </cell>
          <cell r="O825" t="str">
            <v>W</v>
          </cell>
          <cell r="P825" t="str">
            <v>S</v>
          </cell>
        </row>
        <row r="826">
          <cell r="B826"/>
          <cell r="C826"/>
          <cell r="D826">
            <v>6</v>
          </cell>
          <cell r="E826">
            <v>6</v>
          </cell>
          <cell r="F826">
            <v>7</v>
          </cell>
          <cell r="G826">
            <v>6</v>
          </cell>
          <cell r="H826">
            <v>5</v>
          </cell>
          <cell r="I826">
            <v>5</v>
          </cell>
          <cell r="J826">
            <v>5</v>
          </cell>
          <cell r="K826">
            <v>5</v>
          </cell>
          <cell r="L826">
            <v>5</v>
          </cell>
          <cell r="M826">
            <v>5</v>
          </cell>
          <cell r="N826">
            <v>5</v>
          </cell>
          <cell r="O826">
            <v>6</v>
          </cell>
          <cell r="P826">
            <v>6</v>
          </cell>
        </row>
        <row r="827">
          <cell r="B827"/>
          <cell r="C827"/>
          <cell r="D827">
            <v>52</v>
          </cell>
          <cell r="E827">
            <v>69</v>
          </cell>
          <cell r="F827">
            <v>53</v>
          </cell>
          <cell r="G827">
            <v>67</v>
          </cell>
          <cell r="H827">
            <v>63</v>
          </cell>
          <cell r="I827">
            <v>61</v>
          </cell>
          <cell r="J827">
            <v>53</v>
          </cell>
          <cell r="K827">
            <v>63</v>
          </cell>
          <cell r="L827">
            <v>137</v>
          </cell>
          <cell r="M827">
            <v>47</v>
          </cell>
          <cell r="N827">
            <v>53</v>
          </cell>
          <cell r="O827">
            <v>49</v>
          </cell>
          <cell r="P827">
            <v>137</v>
          </cell>
        </row>
        <row r="828">
          <cell r="B828" t="str">
            <v>Charleston AP</v>
          </cell>
          <cell r="C828"/>
          <cell r="D828" t="str">
            <v>NNE</v>
          </cell>
          <cell r="E828" t="str">
            <v>NE</v>
          </cell>
          <cell r="F828" t="str">
            <v>SSW</v>
          </cell>
          <cell r="G828" t="str">
            <v>S</v>
          </cell>
          <cell r="H828" t="str">
            <v>S</v>
          </cell>
          <cell r="I828" t="str">
            <v>S</v>
          </cell>
          <cell r="J828" t="str">
            <v>S</v>
          </cell>
          <cell r="K828" t="str">
            <v>S</v>
          </cell>
          <cell r="L828" t="str">
            <v>NNE</v>
          </cell>
          <cell r="M828" t="str">
            <v>NNE</v>
          </cell>
          <cell r="N828" t="str">
            <v>NNE</v>
          </cell>
          <cell r="O828" t="str">
            <v>NNE</v>
          </cell>
          <cell r="P828" t="str">
            <v>SSW</v>
          </cell>
        </row>
        <row r="829">
          <cell r="B829"/>
          <cell r="C829"/>
          <cell r="D829">
            <v>9</v>
          </cell>
          <cell r="E829">
            <v>10</v>
          </cell>
          <cell r="F829">
            <v>10</v>
          </cell>
          <cell r="G829">
            <v>10</v>
          </cell>
          <cell r="H829">
            <v>8</v>
          </cell>
          <cell r="I829">
            <v>8</v>
          </cell>
          <cell r="J829">
            <v>8</v>
          </cell>
          <cell r="K829">
            <v>7</v>
          </cell>
          <cell r="L829">
            <v>8</v>
          </cell>
          <cell r="M829">
            <v>8</v>
          </cell>
          <cell r="N829">
            <v>8</v>
          </cell>
          <cell r="O829">
            <v>8</v>
          </cell>
          <cell r="P829">
            <v>9</v>
          </cell>
        </row>
        <row r="830">
          <cell r="B830"/>
          <cell r="C830"/>
          <cell r="D830">
            <v>53</v>
          </cell>
          <cell r="E830">
            <v>48</v>
          </cell>
          <cell r="F830">
            <v>69</v>
          </cell>
          <cell r="G830">
            <v>48</v>
          </cell>
          <cell r="H830">
            <v>49</v>
          </cell>
          <cell r="I830">
            <v>55</v>
          </cell>
          <cell r="J830">
            <v>59</v>
          </cell>
          <cell r="K830">
            <v>64</v>
          </cell>
          <cell r="L830">
            <v>98</v>
          </cell>
          <cell r="M830">
            <v>47</v>
          </cell>
          <cell r="N830">
            <v>59</v>
          </cell>
          <cell r="O830">
            <v>44</v>
          </cell>
          <cell r="P830">
            <v>98</v>
          </cell>
        </row>
        <row r="831">
          <cell r="B831" t="str">
            <v>Charleston</v>
          </cell>
          <cell r="C831"/>
          <cell r="D831" t="str">
            <v>W</v>
          </cell>
          <cell r="E831" t="str">
            <v>N</v>
          </cell>
          <cell r="F831" t="str">
            <v>W</v>
          </cell>
          <cell r="G831" t="str">
            <v>W</v>
          </cell>
          <cell r="H831" t="str">
            <v>S</v>
          </cell>
          <cell r="I831" t="str">
            <v>S</v>
          </cell>
          <cell r="J831" t="str">
            <v>SSW</v>
          </cell>
          <cell r="K831" t="str">
            <v>S</v>
          </cell>
          <cell r="L831" t="str">
            <v>N</v>
          </cell>
          <cell r="M831" t="str">
            <v>N</v>
          </cell>
          <cell r="N831" t="str">
            <v>N</v>
          </cell>
          <cell r="O831" t="str">
            <v>W</v>
          </cell>
          <cell r="P831" t="str">
            <v>W</v>
          </cell>
        </row>
        <row r="832">
          <cell r="B832"/>
          <cell r="C832"/>
          <cell r="D832">
            <v>8</v>
          </cell>
          <cell r="E832">
            <v>8</v>
          </cell>
          <cell r="F832">
            <v>8</v>
          </cell>
          <cell r="G832">
            <v>8</v>
          </cell>
          <cell r="H832">
            <v>8</v>
          </cell>
          <cell r="I832">
            <v>7</v>
          </cell>
          <cell r="J832">
            <v>7</v>
          </cell>
          <cell r="K832">
            <v>6</v>
          </cell>
          <cell r="L832">
            <v>7</v>
          </cell>
          <cell r="M832">
            <v>7</v>
          </cell>
          <cell r="N832">
            <v>7</v>
          </cell>
          <cell r="O832">
            <v>7</v>
          </cell>
          <cell r="P832">
            <v>7</v>
          </cell>
        </row>
        <row r="833">
          <cell r="B833"/>
          <cell r="C833"/>
          <cell r="D833">
            <v>44</v>
          </cell>
          <cell r="E833">
            <v>54</v>
          </cell>
          <cell r="F833">
            <v>44</v>
          </cell>
          <cell r="G833">
            <v>44</v>
          </cell>
          <cell r="H833">
            <v>55</v>
          </cell>
          <cell r="I833">
            <v>81</v>
          </cell>
          <cell r="J833">
            <v>67</v>
          </cell>
          <cell r="K833">
            <v>38</v>
          </cell>
          <cell r="L833">
            <v>43</v>
          </cell>
          <cell r="M833">
            <v>40</v>
          </cell>
          <cell r="N833">
            <v>38</v>
          </cell>
          <cell r="O833">
            <v>47</v>
          </cell>
          <cell r="P833">
            <v>81</v>
          </cell>
        </row>
        <row r="834">
          <cell r="B834" t="str">
            <v>Columbia</v>
          </cell>
          <cell r="C834"/>
          <cell r="D834" t="str">
            <v>WSW</v>
          </cell>
          <cell r="E834" t="str">
            <v>WSW</v>
          </cell>
          <cell r="F834" t="str">
            <v>SW</v>
          </cell>
          <cell r="G834" t="str">
            <v>SW</v>
          </cell>
          <cell r="H834" t="str">
            <v>WSW</v>
          </cell>
          <cell r="I834" t="str">
            <v>SW</v>
          </cell>
          <cell r="J834" t="str">
            <v>SW</v>
          </cell>
          <cell r="K834" t="str">
            <v>SW</v>
          </cell>
          <cell r="L834" t="str">
            <v>NE</v>
          </cell>
          <cell r="M834" t="str">
            <v>NE</v>
          </cell>
          <cell r="N834" t="str">
            <v>WSW</v>
          </cell>
          <cell r="O834" t="str">
            <v>WSW</v>
          </cell>
          <cell r="P834" t="str">
            <v>WSW</v>
          </cell>
        </row>
        <row r="835">
          <cell r="D835">
            <v>7</v>
          </cell>
          <cell r="E835">
            <v>8</v>
          </cell>
          <cell r="F835">
            <v>8</v>
          </cell>
          <cell r="G835">
            <v>8</v>
          </cell>
          <cell r="H835">
            <v>7</v>
          </cell>
          <cell r="I835">
            <v>7</v>
          </cell>
          <cell r="J835">
            <v>6</v>
          </cell>
          <cell r="K835">
            <v>6</v>
          </cell>
          <cell r="L835">
            <v>6</v>
          </cell>
          <cell r="M835">
            <v>6</v>
          </cell>
          <cell r="N835">
            <v>6</v>
          </cell>
          <cell r="O835">
            <v>7</v>
          </cell>
          <cell r="P835">
            <v>7</v>
          </cell>
        </row>
        <row r="836">
          <cell r="D836">
            <v>54</v>
          </cell>
          <cell r="E836">
            <v>69</v>
          </cell>
          <cell r="F836">
            <v>69</v>
          </cell>
          <cell r="G836">
            <v>61</v>
          </cell>
          <cell r="H836">
            <v>59</v>
          </cell>
          <cell r="I836">
            <v>78</v>
          </cell>
          <cell r="J836">
            <v>64</v>
          </cell>
          <cell r="K836">
            <v>56</v>
          </cell>
          <cell r="L836">
            <v>70</v>
          </cell>
          <cell r="M836">
            <v>54</v>
          </cell>
          <cell r="N836">
            <v>51</v>
          </cell>
          <cell r="O836">
            <v>49</v>
          </cell>
          <cell r="P836">
            <v>78</v>
          </cell>
        </row>
        <row r="837">
          <cell r="B837" t="str">
            <v>Greenville</v>
          </cell>
          <cell r="C837"/>
          <cell r="D837" t="str">
            <v>SW</v>
          </cell>
          <cell r="E837" t="str">
            <v>SW</v>
          </cell>
          <cell r="F837" t="str">
            <v>SW</v>
          </cell>
          <cell r="G837" t="str">
            <v>SW</v>
          </cell>
          <cell r="H837" t="str">
            <v>NE</v>
          </cell>
          <cell r="I837" t="str">
            <v>NE</v>
          </cell>
          <cell r="J837" t="str">
            <v>NE</v>
          </cell>
          <cell r="K837" t="str">
            <v>NE</v>
          </cell>
          <cell r="L837" t="str">
            <v>NE</v>
          </cell>
          <cell r="M837" t="str">
            <v>NE</v>
          </cell>
          <cell r="N837" t="str">
            <v>NE</v>
          </cell>
          <cell r="O837" t="str">
            <v>NE</v>
          </cell>
          <cell r="P837" t="str">
            <v>SW</v>
          </cell>
        </row>
        <row r="838">
          <cell r="B838"/>
          <cell r="C838"/>
          <cell r="D838">
            <v>8</v>
          </cell>
          <cell r="E838">
            <v>9</v>
          </cell>
          <cell r="F838">
            <v>9</v>
          </cell>
          <cell r="G838">
            <v>9</v>
          </cell>
          <cell r="H838">
            <v>8</v>
          </cell>
          <cell r="I838">
            <v>7</v>
          </cell>
          <cell r="J838">
            <v>7</v>
          </cell>
          <cell r="K838">
            <v>6</v>
          </cell>
          <cell r="L838">
            <v>7</v>
          </cell>
          <cell r="M838">
            <v>7</v>
          </cell>
          <cell r="N838">
            <v>8</v>
          </cell>
          <cell r="O838">
            <v>8</v>
          </cell>
          <cell r="P838">
            <v>8</v>
          </cell>
        </row>
        <row r="839">
          <cell r="B839"/>
          <cell r="C839"/>
          <cell r="D839">
            <v>49</v>
          </cell>
          <cell r="E839">
            <v>47</v>
          </cell>
          <cell r="F839">
            <v>59</v>
          </cell>
          <cell r="G839">
            <v>71</v>
          </cell>
          <cell r="H839">
            <v>53</v>
          </cell>
          <cell r="I839">
            <v>60</v>
          </cell>
          <cell r="J839">
            <v>66</v>
          </cell>
          <cell r="K839">
            <v>58</v>
          </cell>
          <cell r="L839">
            <v>45</v>
          </cell>
          <cell r="M839">
            <v>48</v>
          </cell>
          <cell r="N839">
            <v>53</v>
          </cell>
          <cell r="O839">
            <v>41</v>
          </cell>
          <cell r="P839">
            <v>71</v>
          </cell>
        </row>
        <row r="840">
          <cell r="B840" t="str">
            <v>Myrtle Beach</v>
          </cell>
          <cell r="C840"/>
          <cell r="D840" t="str">
            <v>N</v>
          </cell>
          <cell r="E840" t="str">
            <v>N</v>
          </cell>
          <cell r="F840" t="str">
            <v>N</v>
          </cell>
          <cell r="G840" t="str">
            <v>S</v>
          </cell>
          <cell r="H840" t="str">
            <v>S</v>
          </cell>
          <cell r="I840" t="str">
            <v>S</v>
          </cell>
          <cell r="J840" t="str">
            <v>SSW</v>
          </cell>
          <cell r="K840" t="str">
            <v>S</v>
          </cell>
          <cell r="L840" t="str">
            <v>NNE</v>
          </cell>
          <cell r="M840" t="str">
            <v>N</v>
          </cell>
          <cell r="N840" t="str">
            <v>N</v>
          </cell>
          <cell r="O840" t="str">
            <v>N</v>
          </cell>
          <cell r="P840" t="str">
            <v>N</v>
          </cell>
        </row>
        <row r="841">
          <cell r="C841"/>
          <cell r="D841">
            <v>5</v>
          </cell>
          <cell r="E841">
            <v>6</v>
          </cell>
          <cell r="F841">
            <v>7</v>
          </cell>
          <cell r="G841">
            <v>6</v>
          </cell>
          <cell r="H841">
            <v>6</v>
          </cell>
          <cell r="I841">
            <v>6</v>
          </cell>
          <cell r="J841">
            <v>5</v>
          </cell>
          <cell r="K841">
            <v>3</v>
          </cell>
          <cell r="L841">
            <v>5</v>
          </cell>
          <cell r="M841">
            <v>5</v>
          </cell>
          <cell r="N841">
            <v>5</v>
          </cell>
          <cell r="O841">
            <v>5</v>
          </cell>
          <cell r="P841">
            <v>6</v>
          </cell>
        </row>
        <row r="842">
          <cell r="B842"/>
          <cell r="C842"/>
          <cell r="D842">
            <v>54</v>
          </cell>
          <cell r="E842">
            <v>104</v>
          </cell>
          <cell r="F842">
            <v>60</v>
          </cell>
          <cell r="G842">
            <v>47</v>
          </cell>
          <cell r="H842">
            <v>59</v>
          </cell>
          <cell r="I842">
            <v>58</v>
          </cell>
          <cell r="J842">
            <v>60</v>
          </cell>
          <cell r="K842">
            <v>47</v>
          </cell>
          <cell r="L842">
            <v>76</v>
          </cell>
          <cell r="M842">
            <v>43</v>
          </cell>
          <cell r="N842">
            <v>48</v>
          </cell>
          <cell r="O842">
            <v>54</v>
          </cell>
          <cell r="P842">
            <v>104</v>
          </cell>
        </row>
        <row r="844">
          <cell r="B844" t="str">
            <v>Aberdeen</v>
          </cell>
          <cell r="D844" t="str">
            <v>S</v>
          </cell>
          <cell r="E844" t="str">
            <v>S</v>
          </cell>
          <cell r="F844" t="str">
            <v>S</v>
          </cell>
          <cell r="G844" t="str">
            <v>S</v>
          </cell>
          <cell r="H844" t="str">
            <v>S</v>
          </cell>
          <cell r="I844" t="str">
            <v>S</v>
          </cell>
          <cell r="J844" t="str">
            <v>S</v>
          </cell>
          <cell r="K844" t="str">
            <v>S</v>
          </cell>
          <cell r="L844" t="str">
            <v>N</v>
          </cell>
          <cell r="M844" t="str">
            <v>N</v>
          </cell>
          <cell r="N844" t="str">
            <v>N</v>
          </cell>
          <cell r="O844" t="str">
            <v>N</v>
          </cell>
          <cell r="P844" t="str">
            <v>N</v>
          </cell>
        </row>
        <row r="845">
          <cell r="B845"/>
          <cell r="C845"/>
          <cell r="D845">
            <v>13</v>
          </cell>
          <cell r="E845">
            <v>13</v>
          </cell>
          <cell r="F845">
            <v>14</v>
          </cell>
          <cell r="G845">
            <v>15</v>
          </cell>
          <cell r="H845">
            <v>13</v>
          </cell>
          <cell r="I845">
            <v>12</v>
          </cell>
          <cell r="J845">
            <v>11</v>
          </cell>
          <cell r="K845">
            <v>11</v>
          </cell>
          <cell r="L845">
            <v>11</v>
          </cell>
          <cell r="M845">
            <v>12</v>
          </cell>
          <cell r="N845">
            <v>12</v>
          </cell>
          <cell r="O845">
            <v>12</v>
          </cell>
          <cell r="P845">
            <v>12</v>
          </cell>
        </row>
        <row r="846">
          <cell r="B846"/>
          <cell r="C846"/>
          <cell r="D846">
            <v>61</v>
          </cell>
          <cell r="E846">
            <v>66</v>
          </cell>
          <cell r="F846">
            <v>55</v>
          </cell>
          <cell r="G846">
            <v>53</v>
          </cell>
          <cell r="H846">
            <v>56</v>
          </cell>
          <cell r="I846">
            <v>43</v>
          </cell>
          <cell r="J846">
            <v>56</v>
          </cell>
          <cell r="K846">
            <v>44</v>
          </cell>
          <cell r="L846">
            <v>44</v>
          </cell>
          <cell r="M846">
            <v>60</v>
          </cell>
          <cell r="N846">
            <v>45</v>
          </cell>
          <cell r="O846">
            <v>55</v>
          </cell>
          <cell r="P846">
            <v>66</v>
          </cell>
        </row>
        <row r="847">
          <cell r="B847" t="str">
            <v>Huron</v>
          </cell>
          <cell r="C847"/>
          <cell r="D847" t="str">
            <v>NW</v>
          </cell>
          <cell r="E847" t="str">
            <v>NW</v>
          </cell>
          <cell r="F847" t="str">
            <v>NNW</v>
          </cell>
          <cell r="G847" t="str">
            <v>NNW</v>
          </cell>
          <cell r="H847" t="str">
            <v>NW</v>
          </cell>
          <cell r="I847" t="str">
            <v>NW</v>
          </cell>
          <cell r="J847" t="str">
            <v>N</v>
          </cell>
          <cell r="K847" t="str">
            <v>N</v>
          </cell>
          <cell r="L847" t="str">
            <v>SSE</v>
          </cell>
          <cell r="M847" t="str">
            <v>SSE</v>
          </cell>
          <cell r="N847" t="str">
            <v>SSE</v>
          </cell>
          <cell r="O847" t="str">
            <v>SSE</v>
          </cell>
          <cell r="P847" t="str">
            <v>SSE</v>
          </cell>
        </row>
        <row r="848">
          <cell r="C848"/>
          <cell r="D848">
            <v>12</v>
          </cell>
          <cell r="E848">
            <v>11</v>
          </cell>
          <cell r="F848">
            <v>13</v>
          </cell>
          <cell r="G848">
            <v>13</v>
          </cell>
          <cell r="H848">
            <v>13</v>
          </cell>
          <cell r="I848">
            <v>11</v>
          </cell>
          <cell r="J848">
            <v>11</v>
          </cell>
          <cell r="K848">
            <v>11</v>
          </cell>
          <cell r="L848">
            <v>11</v>
          </cell>
          <cell r="M848">
            <v>11</v>
          </cell>
          <cell r="N848">
            <v>12</v>
          </cell>
          <cell r="O848">
            <v>11</v>
          </cell>
          <cell r="P848">
            <v>12</v>
          </cell>
        </row>
        <row r="849">
          <cell r="C849"/>
          <cell r="D849">
            <v>56</v>
          </cell>
          <cell r="E849">
            <v>62</v>
          </cell>
          <cell r="F849">
            <v>55</v>
          </cell>
          <cell r="G849">
            <v>64</v>
          </cell>
          <cell r="H849">
            <v>60</v>
          </cell>
          <cell r="I849">
            <v>63</v>
          </cell>
          <cell r="J849">
            <v>82</v>
          </cell>
          <cell r="K849">
            <v>76</v>
          </cell>
          <cell r="L849">
            <v>54</v>
          </cell>
          <cell r="M849">
            <v>52</v>
          </cell>
          <cell r="N849">
            <v>58</v>
          </cell>
          <cell r="O849">
            <v>60</v>
          </cell>
          <cell r="P849">
            <v>82</v>
          </cell>
        </row>
        <row r="850">
          <cell r="B850" t="str">
            <v>Rapid City</v>
          </cell>
          <cell r="C850"/>
          <cell r="D850" t="str">
            <v>NNW</v>
          </cell>
          <cell r="E850" t="str">
            <v>NNW</v>
          </cell>
          <cell r="F850" t="str">
            <v>NNW</v>
          </cell>
          <cell r="G850" t="str">
            <v>NNW</v>
          </cell>
          <cell r="H850" t="str">
            <v>NNW</v>
          </cell>
          <cell r="I850" t="str">
            <v>NNW</v>
          </cell>
          <cell r="J850" t="str">
            <v>NNW</v>
          </cell>
          <cell r="K850" t="str">
            <v>NNW</v>
          </cell>
          <cell r="L850" t="str">
            <v>NNW</v>
          </cell>
          <cell r="M850" t="str">
            <v>NNW</v>
          </cell>
          <cell r="N850" t="str">
            <v>NNW</v>
          </cell>
          <cell r="O850" t="str">
            <v>NNW</v>
          </cell>
          <cell r="P850" t="str">
            <v>NNW</v>
          </cell>
        </row>
        <row r="851">
          <cell r="C851"/>
          <cell r="D851">
            <v>11</v>
          </cell>
          <cell r="E851">
            <v>11</v>
          </cell>
          <cell r="F851">
            <v>13</v>
          </cell>
          <cell r="G851">
            <v>13</v>
          </cell>
          <cell r="H851">
            <v>12</v>
          </cell>
          <cell r="I851">
            <v>11</v>
          </cell>
          <cell r="J851">
            <v>10</v>
          </cell>
          <cell r="K851">
            <v>10</v>
          </cell>
          <cell r="L851">
            <v>11</v>
          </cell>
          <cell r="M851">
            <v>11</v>
          </cell>
          <cell r="N851">
            <v>11</v>
          </cell>
          <cell r="O851">
            <v>11</v>
          </cell>
          <cell r="P851">
            <v>11</v>
          </cell>
        </row>
        <row r="852">
          <cell r="B852"/>
          <cell r="C852"/>
          <cell r="D852">
            <v>68</v>
          </cell>
          <cell r="E852">
            <v>70</v>
          </cell>
          <cell r="F852">
            <v>66</v>
          </cell>
          <cell r="G852">
            <v>67</v>
          </cell>
          <cell r="H852">
            <v>61</v>
          </cell>
          <cell r="I852">
            <v>67</v>
          </cell>
          <cell r="J852">
            <v>72</v>
          </cell>
          <cell r="K852">
            <v>69</v>
          </cell>
          <cell r="L852">
            <v>70</v>
          </cell>
          <cell r="M852">
            <v>73</v>
          </cell>
          <cell r="N852">
            <v>63</v>
          </cell>
          <cell r="O852">
            <v>71</v>
          </cell>
          <cell r="P852">
            <v>73</v>
          </cell>
        </row>
        <row r="853">
          <cell r="B853" t="str">
            <v>Sioux Falls</v>
          </cell>
          <cell r="C853"/>
          <cell r="D853" t="str">
            <v>NW</v>
          </cell>
          <cell r="E853" t="str">
            <v>NW</v>
          </cell>
          <cell r="F853" t="str">
            <v>WNW</v>
          </cell>
          <cell r="G853" t="str">
            <v>WNW</v>
          </cell>
          <cell r="H853" t="str">
            <v>NNW</v>
          </cell>
          <cell r="I853" t="str">
            <v>NNW</v>
          </cell>
          <cell r="J853" t="str">
            <v>N</v>
          </cell>
          <cell r="K853" t="str">
            <v>N</v>
          </cell>
          <cell r="L853" t="str">
            <v>S</v>
          </cell>
          <cell r="M853" t="str">
            <v>S</v>
          </cell>
          <cell r="N853" t="str">
            <v>S</v>
          </cell>
          <cell r="O853" t="str">
            <v>S</v>
          </cell>
          <cell r="P853" t="str">
            <v>S</v>
          </cell>
        </row>
        <row r="854">
          <cell r="B854"/>
          <cell r="C854"/>
          <cell r="D854">
            <v>11</v>
          </cell>
          <cell r="E854">
            <v>11</v>
          </cell>
          <cell r="F854">
            <v>12</v>
          </cell>
          <cell r="G854">
            <v>13</v>
          </cell>
          <cell r="H854">
            <v>12</v>
          </cell>
          <cell r="I854">
            <v>11</v>
          </cell>
          <cell r="J854">
            <v>10</v>
          </cell>
          <cell r="K854">
            <v>10</v>
          </cell>
          <cell r="L854">
            <v>10</v>
          </cell>
          <cell r="M854">
            <v>11</v>
          </cell>
          <cell r="N854">
            <v>12</v>
          </cell>
          <cell r="O854">
            <v>11</v>
          </cell>
          <cell r="P854">
            <v>11</v>
          </cell>
        </row>
        <row r="855">
          <cell r="B855"/>
          <cell r="C855"/>
          <cell r="D855">
            <v>67</v>
          </cell>
          <cell r="E855">
            <v>58</v>
          </cell>
          <cell r="F855">
            <v>56</v>
          </cell>
          <cell r="G855">
            <v>64</v>
          </cell>
          <cell r="H855">
            <v>53</v>
          </cell>
          <cell r="I855">
            <v>71</v>
          </cell>
          <cell r="J855">
            <v>66</v>
          </cell>
          <cell r="K855">
            <v>47</v>
          </cell>
          <cell r="L855">
            <v>53</v>
          </cell>
          <cell r="M855">
            <v>61</v>
          </cell>
          <cell r="N855">
            <v>58</v>
          </cell>
          <cell r="O855">
            <v>53</v>
          </cell>
          <cell r="P855">
            <v>71</v>
          </cell>
        </row>
        <row r="857">
          <cell r="B857" t="str">
            <v>Bristol</v>
          </cell>
          <cell r="C857"/>
          <cell r="D857" t="str">
            <v>WSW</v>
          </cell>
          <cell r="E857" t="str">
            <v>W</v>
          </cell>
          <cell r="F857" t="str">
            <v>WSW</v>
          </cell>
          <cell r="G857" t="str">
            <v>WSW</v>
          </cell>
          <cell r="H857" t="str">
            <v>WSW</v>
          </cell>
          <cell r="I857" t="str">
            <v>WSW</v>
          </cell>
          <cell r="J857" t="str">
            <v>WSW</v>
          </cell>
          <cell r="K857" t="str">
            <v>ENE</v>
          </cell>
          <cell r="L857" t="str">
            <v>ENE</v>
          </cell>
          <cell r="M857" t="str">
            <v>ENE</v>
          </cell>
          <cell r="N857" t="str">
            <v>WSW</v>
          </cell>
          <cell r="O857" t="str">
            <v>WSW</v>
          </cell>
          <cell r="P857" t="str">
            <v>WSW</v>
          </cell>
        </row>
        <row r="858">
          <cell r="C858"/>
          <cell r="D858">
            <v>6</v>
          </cell>
          <cell r="E858">
            <v>7</v>
          </cell>
          <cell r="F858">
            <v>7</v>
          </cell>
          <cell r="G858">
            <v>7</v>
          </cell>
          <cell r="H858">
            <v>5</v>
          </cell>
          <cell r="I858">
            <v>5</v>
          </cell>
          <cell r="J858">
            <v>4</v>
          </cell>
          <cell r="K858">
            <v>4</v>
          </cell>
          <cell r="L858">
            <v>4</v>
          </cell>
          <cell r="M858">
            <v>5</v>
          </cell>
          <cell r="N858">
            <v>6</v>
          </cell>
          <cell r="O858">
            <v>6</v>
          </cell>
          <cell r="P858">
            <v>6</v>
          </cell>
        </row>
        <row r="859">
          <cell r="C859"/>
          <cell r="D859">
            <v>55</v>
          </cell>
          <cell r="E859">
            <v>49</v>
          </cell>
          <cell r="F859">
            <v>52</v>
          </cell>
          <cell r="G859">
            <v>63</v>
          </cell>
          <cell r="H859">
            <v>46</v>
          </cell>
          <cell r="I859">
            <v>59</v>
          </cell>
          <cell r="J859">
            <v>54</v>
          </cell>
          <cell r="K859">
            <v>48</v>
          </cell>
          <cell r="L859">
            <v>54</v>
          </cell>
          <cell r="M859">
            <v>49</v>
          </cell>
          <cell r="N859">
            <v>53</v>
          </cell>
          <cell r="O859">
            <v>48</v>
          </cell>
          <cell r="P859">
            <v>63</v>
          </cell>
        </row>
        <row r="860">
          <cell r="B860" t="str">
            <v>Chattanooga</v>
          </cell>
          <cell r="C860"/>
          <cell r="D860" t="str">
            <v>N</v>
          </cell>
          <cell r="E860" t="str">
            <v>N</v>
          </cell>
          <cell r="F860" t="str">
            <v>S</v>
          </cell>
          <cell r="G860" t="str">
            <v>S</v>
          </cell>
          <cell r="H860" t="str">
            <v>S</v>
          </cell>
          <cell r="I860" t="str">
            <v>S</v>
          </cell>
          <cell r="J860" t="str">
            <v>S</v>
          </cell>
          <cell r="K860" t="str">
            <v>S</v>
          </cell>
          <cell r="L860" t="str">
            <v>S</v>
          </cell>
          <cell r="M860" t="str">
            <v>N</v>
          </cell>
          <cell r="N860" t="str">
            <v>S</v>
          </cell>
          <cell r="O860" t="str">
            <v>S</v>
          </cell>
          <cell r="P860" t="str">
            <v>S</v>
          </cell>
        </row>
        <row r="861">
          <cell r="C861"/>
          <cell r="D861">
            <v>7</v>
          </cell>
          <cell r="E861">
            <v>7</v>
          </cell>
          <cell r="F861">
            <v>8</v>
          </cell>
          <cell r="G861">
            <v>7</v>
          </cell>
          <cell r="H861">
            <v>6</v>
          </cell>
          <cell r="I861">
            <v>5</v>
          </cell>
          <cell r="J861">
            <v>5</v>
          </cell>
          <cell r="K861">
            <v>4</v>
          </cell>
          <cell r="L861">
            <v>5</v>
          </cell>
          <cell r="M861">
            <v>5</v>
          </cell>
          <cell r="N861">
            <v>6</v>
          </cell>
          <cell r="O861">
            <v>6</v>
          </cell>
          <cell r="P861">
            <v>6</v>
          </cell>
        </row>
        <row r="862">
          <cell r="C862"/>
          <cell r="D862">
            <v>41</v>
          </cell>
          <cell r="E862">
            <v>48</v>
          </cell>
          <cell r="F862">
            <v>45</v>
          </cell>
          <cell r="G862">
            <v>53</v>
          </cell>
          <cell r="H862">
            <v>54</v>
          </cell>
          <cell r="I862">
            <v>56</v>
          </cell>
          <cell r="J862">
            <v>46</v>
          </cell>
          <cell r="K862">
            <v>51</v>
          </cell>
          <cell r="L862">
            <v>51</v>
          </cell>
          <cell r="M862">
            <v>43</v>
          </cell>
          <cell r="N862">
            <v>54</v>
          </cell>
          <cell r="O862">
            <v>41</v>
          </cell>
          <cell r="P862">
            <v>56</v>
          </cell>
        </row>
        <row r="863">
          <cell r="B863" t="str">
            <v>Knoxville</v>
          </cell>
          <cell r="C863"/>
          <cell r="D863" t="str">
            <v>WSW</v>
          </cell>
          <cell r="E863" t="str">
            <v>WSW</v>
          </cell>
          <cell r="F863" t="str">
            <v>WSW</v>
          </cell>
          <cell r="G863" t="str">
            <v>SW</v>
          </cell>
          <cell r="H863" t="str">
            <v>WSW</v>
          </cell>
          <cell r="I863" t="str">
            <v>SW</v>
          </cell>
          <cell r="J863" t="str">
            <v>WSW</v>
          </cell>
          <cell r="K863" t="str">
            <v>WSW</v>
          </cell>
          <cell r="L863" t="str">
            <v>NE</v>
          </cell>
          <cell r="M863" t="str">
            <v>NE</v>
          </cell>
          <cell r="N863" t="str">
            <v>NE</v>
          </cell>
          <cell r="O863" t="str">
            <v>WSW</v>
          </cell>
          <cell r="P863" t="str">
            <v>WSW</v>
          </cell>
        </row>
        <row r="864">
          <cell r="C864"/>
          <cell r="D864">
            <v>8</v>
          </cell>
          <cell r="E864">
            <v>8</v>
          </cell>
          <cell r="F864">
            <v>9</v>
          </cell>
          <cell r="G864">
            <v>9</v>
          </cell>
          <cell r="H864">
            <v>7</v>
          </cell>
          <cell r="I864">
            <v>6</v>
          </cell>
          <cell r="J864">
            <v>6</v>
          </cell>
          <cell r="K864">
            <v>6</v>
          </cell>
          <cell r="L864">
            <v>6</v>
          </cell>
          <cell r="M864">
            <v>6</v>
          </cell>
          <cell r="N864">
            <v>7</v>
          </cell>
          <cell r="O864">
            <v>7</v>
          </cell>
          <cell r="P864">
            <v>7</v>
          </cell>
        </row>
        <row r="865">
          <cell r="C865"/>
          <cell r="D865">
            <v>53</v>
          </cell>
          <cell r="E865">
            <v>53</v>
          </cell>
          <cell r="F865">
            <v>53</v>
          </cell>
          <cell r="G865">
            <v>76</v>
          </cell>
          <cell r="H865">
            <v>48</v>
          </cell>
          <cell r="I865">
            <v>58</v>
          </cell>
          <cell r="J865">
            <v>52</v>
          </cell>
          <cell r="K865">
            <v>86</v>
          </cell>
          <cell r="L865">
            <v>39</v>
          </cell>
          <cell r="M865">
            <v>59</v>
          </cell>
          <cell r="N865">
            <v>64</v>
          </cell>
          <cell r="O865">
            <v>58</v>
          </cell>
          <cell r="P865">
            <v>86</v>
          </cell>
        </row>
        <row r="866">
          <cell r="B866" t="str">
            <v>Memphis</v>
          </cell>
          <cell r="C866"/>
          <cell r="D866" t="str">
            <v>N</v>
          </cell>
          <cell r="E866" t="str">
            <v>N</v>
          </cell>
          <cell r="F866" t="str">
            <v>S</v>
          </cell>
          <cell r="G866" t="str">
            <v>SSW</v>
          </cell>
          <cell r="H866" t="str">
            <v>S</v>
          </cell>
          <cell r="I866" t="str">
            <v>SSW</v>
          </cell>
          <cell r="J866" t="str">
            <v>SW</v>
          </cell>
          <cell r="K866" t="str">
            <v>SSW</v>
          </cell>
          <cell r="L866" t="str">
            <v>N</v>
          </cell>
          <cell r="M866" t="str">
            <v>SSE</v>
          </cell>
          <cell r="N866" t="str">
            <v>S</v>
          </cell>
          <cell r="O866" t="str">
            <v>S</v>
          </cell>
          <cell r="P866" t="str">
            <v>S</v>
          </cell>
        </row>
        <row r="867">
          <cell r="C867"/>
          <cell r="D867">
            <v>10</v>
          </cell>
          <cell r="E867">
            <v>10</v>
          </cell>
          <cell r="F867">
            <v>11</v>
          </cell>
          <cell r="G867">
            <v>10</v>
          </cell>
          <cell r="H867">
            <v>9</v>
          </cell>
          <cell r="I867">
            <v>8</v>
          </cell>
          <cell r="J867">
            <v>8</v>
          </cell>
          <cell r="K867">
            <v>7</v>
          </cell>
          <cell r="L867">
            <v>8</v>
          </cell>
          <cell r="M867">
            <v>8</v>
          </cell>
          <cell r="N867">
            <v>9</v>
          </cell>
          <cell r="O867">
            <v>10</v>
          </cell>
          <cell r="P867">
            <v>9</v>
          </cell>
        </row>
        <row r="868">
          <cell r="C868"/>
          <cell r="D868">
            <v>40</v>
          </cell>
          <cell r="E868">
            <v>49</v>
          </cell>
          <cell r="F868">
            <v>49</v>
          </cell>
          <cell r="G868">
            <v>69</v>
          </cell>
          <cell r="H868">
            <v>48</v>
          </cell>
          <cell r="I868">
            <v>71</v>
          </cell>
          <cell r="J868">
            <v>45</v>
          </cell>
          <cell r="K868">
            <v>69</v>
          </cell>
          <cell r="L868">
            <v>43</v>
          </cell>
          <cell r="M868">
            <v>59</v>
          </cell>
          <cell r="N868">
            <v>51</v>
          </cell>
          <cell r="O868">
            <v>49</v>
          </cell>
          <cell r="P868">
            <v>71</v>
          </cell>
        </row>
        <row r="869">
          <cell r="B869" t="str">
            <v>Nashville</v>
          </cell>
          <cell r="C869"/>
          <cell r="D869" t="str">
            <v>S</v>
          </cell>
          <cell r="E869" t="str">
            <v>S</v>
          </cell>
          <cell r="F869" t="str">
            <v>S</v>
          </cell>
          <cell r="G869" t="str">
            <v>S</v>
          </cell>
          <cell r="H869" t="str">
            <v>S</v>
          </cell>
          <cell r="I869" t="str">
            <v>S</v>
          </cell>
          <cell r="J869" t="str">
            <v>S</v>
          </cell>
          <cell r="K869" t="str">
            <v>S</v>
          </cell>
          <cell r="L869" t="str">
            <v>S</v>
          </cell>
          <cell r="M869" t="str">
            <v>S</v>
          </cell>
          <cell r="N869" t="str">
            <v>S</v>
          </cell>
          <cell r="O869" t="str">
            <v>S</v>
          </cell>
          <cell r="P869" t="str">
            <v>S</v>
          </cell>
        </row>
        <row r="870">
          <cell r="C870"/>
          <cell r="D870">
            <v>9</v>
          </cell>
          <cell r="E870">
            <v>9</v>
          </cell>
          <cell r="F870">
            <v>10</v>
          </cell>
          <cell r="G870">
            <v>9</v>
          </cell>
          <cell r="H870">
            <v>8</v>
          </cell>
          <cell r="I870">
            <v>7</v>
          </cell>
          <cell r="J870">
            <v>7</v>
          </cell>
          <cell r="K870">
            <v>6</v>
          </cell>
          <cell r="L870">
            <v>6</v>
          </cell>
          <cell r="M870">
            <v>7</v>
          </cell>
          <cell r="N870">
            <v>8</v>
          </cell>
          <cell r="O870">
            <v>9</v>
          </cell>
          <cell r="P870">
            <v>8</v>
          </cell>
        </row>
        <row r="871">
          <cell r="B871"/>
          <cell r="C871"/>
          <cell r="D871">
            <v>48</v>
          </cell>
          <cell r="E871">
            <v>47</v>
          </cell>
          <cell r="F871">
            <v>56</v>
          </cell>
          <cell r="G871">
            <v>67</v>
          </cell>
          <cell r="H871">
            <v>55</v>
          </cell>
          <cell r="I871">
            <v>52</v>
          </cell>
          <cell r="J871">
            <v>58</v>
          </cell>
          <cell r="K871">
            <v>70</v>
          </cell>
          <cell r="L871">
            <v>47</v>
          </cell>
          <cell r="M871">
            <v>48</v>
          </cell>
          <cell r="N871">
            <v>60</v>
          </cell>
          <cell r="O871">
            <v>54</v>
          </cell>
          <cell r="P871">
            <v>70</v>
          </cell>
        </row>
        <row r="872">
          <cell r="B872" t="str">
            <v>Oak Ridge</v>
          </cell>
          <cell r="C872"/>
          <cell r="D872" t="str">
            <v>SW</v>
          </cell>
          <cell r="E872" t="str">
            <v>ENE</v>
          </cell>
          <cell r="F872" t="str">
            <v>SW</v>
          </cell>
          <cell r="G872" t="str">
            <v>SW</v>
          </cell>
          <cell r="H872" t="str">
            <v>SW</v>
          </cell>
          <cell r="I872" t="str">
            <v>SW</v>
          </cell>
          <cell r="J872" t="str">
            <v>SW</v>
          </cell>
          <cell r="K872" t="str">
            <v>E</v>
          </cell>
          <cell r="L872" t="str">
            <v>E</v>
          </cell>
          <cell r="M872" t="str">
            <v>E</v>
          </cell>
          <cell r="N872" t="str">
            <v>E</v>
          </cell>
          <cell r="O872" t="str">
            <v>SW</v>
          </cell>
          <cell r="P872" t="str">
            <v>SW</v>
          </cell>
        </row>
        <row r="873">
          <cell r="B873"/>
          <cell r="C873"/>
          <cell r="D873">
            <v>5</v>
          </cell>
          <cell r="E873">
            <v>5</v>
          </cell>
          <cell r="F873">
            <v>5</v>
          </cell>
          <cell r="G873">
            <v>6</v>
          </cell>
          <cell r="H873">
            <v>4</v>
          </cell>
          <cell r="I873">
            <v>4</v>
          </cell>
          <cell r="J873">
            <v>4</v>
          </cell>
          <cell r="K873">
            <v>4</v>
          </cell>
          <cell r="L873">
            <v>4</v>
          </cell>
          <cell r="M873">
            <v>3</v>
          </cell>
          <cell r="N873">
            <v>4</v>
          </cell>
          <cell r="O873">
            <v>4</v>
          </cell>
          <cell r="P873">
            <v>4</v>
          </cell>
        </row>
        <row r="874">
          <cell r="B874"/>
          <cell r="C874"/>
          <cell r="D874">
            <v>42</v>
          </cell>
          <cell r="E874">
            <v>31</v>
          </cell>
          <cell r="F874">
            <v>34</v>
          </cell>
          <cell r="G874">
            <v>50</v>
          </cell>
          <cell r="H874">
            <v>29</v>
          </cell>
          <cell r="I874">
            <v>31</v>
          </cell>
          <cell r="J874">
            <v>26</v>
          </cell>
          <cell r="K874">
            <v>35</v>
          </cell>
          <cell r="L874">
            <v>39</v>
          </cell>
          <cell r="M874">
            <v>41</v>
          </cell>
          <cell r="N874">
            <v>51</v>
          </cell>
          <cell r="O874">
            <v>39</v>
          </cell>
          <cell r="P874">
            <v>51</v>
          </cell>
        </row>
        <row r="875">
          <cell r="C875"/>
          <cell r="D875"/>
          <cell r="E875"/>
          <cell r="F875"/>
          <cell r="G875"/>
          <cell r="H875"/>
          <cell r="I875"/>
          <cell r="J875"/>
          <cell r="K875"/>
          <cell r="L875"/>
          <cell r="M875"/>
          <cell r="N875"/>
          <cell r="O875"/>
          <cell r="P875"/>
        </row>
        <row r="876">
          <cell r="B876" t="str">
            <v>Abilene</v>
          </cell>
          <cell r="C876"/>
          <cell r="D876" t="str">
            <v>N</v>
          </cell>
          <cell r="E876" t="str">
            <v>N</v>
          </cell>
          <cell r="F876" t="str">
            <v>S</v>
          </cell>
          <cell r="G876" t="str">
            <v>S</v>
          </cell>
          <cell r="H876" t="str">
            <v>SSE</v>
          </cell>
          <cell r="I876" t="str">
            <v>S</v>
          </cell>
          <cell r="J876" t="str">
            <v>S</v>
          </cell>
          <cell r="K876" t="str">
            <v>S</v>
          </cell>
          <cell r="L876" t="str">
            <v>S</v>
          </cell>
          <cell r="M876" t="str">
            <v>S</v>
          </cell>
          <cell r="N876" t="str">
            <v>S</v>
          </cell>
          <cell r="O876" t="str">
            <v>S</v>
          </cell>
          <cell r="P876" t="str">
            <v>S</v>
          </cell>
        </row>
        <row r="877">
          <cell r="C877"/>
          <cell r="D877">
            <v>12</v>
          </cell>
          <cell r="E877">
            <v>13</v>
          </cell>
          <cell r="F877">
            <v>14</v>
          </cell>
          <cell r="G877">
            <v>14</v>
          </cell>
          <cell r="H877">
            <v>13</v>
          </cell>
          <cell r="I877">
            <v>13</v>
          </cell>
          <cell r="J877">
            <v>11</v>
          </cell>
          <cell r="K877">
            <v>10</v>
          </cell>
          <cell r="L877">
            <v>11</v>
          </cell>
          <cell r="M877">
            <v>11</v>
          </cell>
          <cell r="N877">
            <v>12</v>
          </cell>
          <cell r="O877">
            <v>12</v>
          </cell>
          <cell r="P877">
            <v>12</v>
          </cell>
        </row>
        <row r="878">
          <cell r="B878"/>
          <cell r="C878"/>
          <cell r="D878">
            <v>51</v>
          </cell>
          <cell r="E878">
            <v>52</v>
          </cell>
          <cell r="F878">
            <v>61</v>
          </cell>
          <cell r="G878">
            <v>56</v>
          </cell>
          <cell r="H878">
            <v>76</v>
          </cell>
          <cell r="I878">
            <v>64</v>
          </cell>
          <cell r="J878">
            <v>63</v>
          </cell>
          <cell r="K878">
            <v>52</v>
          </cell>
          <cell r="L878">
            <v>68</v>
          </cell>
          <cell r="M878">
            <v>58</v>
          </cell>
          <cell r="N878">
            <v>49</v>
          </cell>
          <cell r="O878">
            <v>59</v>
          </cell>
          <cell r="P878">
            <v>76</v>
          </cell>
        </row>
        <row r="879">
          <cell r="B879" t="str">
            <v>Amarillo</v>
          </cell>
          <cell r="C879"/>
          <cell r="D879" t="str">
            <v>SW</v>
          </cell>
          <cell r="E879" t="str">
            <v>SW</v>
          </cell>
          <cell r="F879" t="str">
            <v>SW</v>
          </cell>
          <cell r="G879" t="str">
            <v>N</v>
          </cell>
          <cell r="H879" t="str">
            <v>N</v>
          </cell>
          <cell r="I879" t="str">
            <v>N</v>
          </cell>
          <cell r="J879" t="str">
            <v>SSW</v>
          </cell>
          <cell r="K879" t="str">
            <v>SSW</v>
          </cell>
          <cell r="L879" t="str">
            <v>SSW</v>
          </cell>
          <cell r="M879" t="str">
            <v>S</v>
          </cell>
          <cell r="N879" t="str">
            <v>S</v>
          </cell>
          <cell r="O879" t="str">
            <v>S</v>
          </cell>
          <cell r="P879" t="str">
            <v>SW</v>
          </cell>
        </row>
        <row r="880">
          <cell r="B880"/>
          <cell r="C880"/>
          <cell r="D880">
            <v>13</v>
          </cell>
          <cell r="E880">
            <v>14</v>
          </cell>
          <cell r="F880">
            <v>15</v>
          </cell>
          <cell r="G880">
            <v>15</v>
          </cell>
          <cell r="H880">
            <v>14</v>
          </cell>
          <cell r="I880">
            <v>14</v>
          </cell>
          <cell r="J880">
            <v>12</v>
          </cell>
          <cell r="K880">
            <v>11</v>
          </cell>
          <cell r="L880">
            <v>12</v>
          </cell>
          <cell r="M880">
            <v>13</v>
          </cell>
          <cell r="N880">
            <v>13</v>
          </cell>
          <cell r="O880">
            <v>13</v>
          </cell>
          <cell r="P880">
            <v>13</v>
          </cell>
        </row>
        <row r="881">
          <cell r="B881"/>
          <cell r="C881"/>
          <cell r="D881">
            <v>54</v>
          </cell>
          <cell r="E881">
            <v>55</v>
          </cell>
          <cell r="F881">
            <v>51</v>
          </cell>
          <cell r="G881">
            <v>62</v>
          </cell>
          <cell r="H881">
            <v>49</v>
          </cell>
          <cell r="I881">
            <v>68</v>
          </cell>
          <cell r="J881">
            <v>53</v>
          </cell>
          <cell r="K881">
            <v>53</v>
          </cell>
          <cell r="L881">
            <v>52</v>
          </cell>
          <cell r="M881">
            <v>61</v>
          </cell>
          <cell r="N881">
            <v>52</v>
          </cell>
          <cell r="O881">
            <v>57</v>
          </cell>
          <cell r="P881">
            <v>68</v>
          </cell>
        </row>
        <row r="882">
          <cell r="B882" t="str">
            <v>Austin</v>
          </cell>
          <cell r="C882"/>
          <cell r="D882" t="str">
            <v>S</v>
          </cell>
          <cell r="E882" t="str">
            <v>S</v>
          </cell>
          <cell r="F882" t="str">
            <v>S</v>
          </cell>
          <cell r="G882" t="str">
            <v>S</v>
          </cell>
          <cell r="H882" t="str">
            <v>S</v>
          </cell>
          <cell r="I882" t="str">
            <v>S</v>
          </cell>
          <cell r="J882" t="str">
            <v>S</v>
          </cell>
          <cell r="K882" t="str">
            <v>S</v>
          </cell>
          <cell r="L882" t="str">
            <v>S</v>
          </cell>
          <cell r="M882" t="str">
            <v>S</v>
          </cell>
          <cell r="N882" t="str">
            <v>S</v>
          </cell>
          <cell r="O882" t="str">
            <v>S</v>
          </cell>
          <cell r="P882" t="str">
            <v>S</v>
          </cell>
        </row>
        <row r="883">
          <cell r="B883"/>
          <cell r="C883"/>
          <cell r="D883">
            <v>10</v>
          </cell>
          <cell r="E883">
            <v>10</v>
          </cell>
          <cell r="F883">
            <v>11</v>
          </cell>
          <cell r="G883">
            <v>10</v>
          </cell>
          <cell r="H883">
            <v>9</v>
          </cell>
          <cell r="I883">
            <v>9</v>
          </cell>
          <cell r="J883">
            <v>8</v>
          </cell>
          <cell r="K883">
            <v>8</v>
          </cell>
          <cell r="L883">
            <v>8</v>
          </cell>
          <cell r="M883">
            <v>8</v>
          </cell>
          <cell r="N883">
            <v>9</v>
          </cell>
          <cell r="O883">
            <v>9</v>
          </cell>
          <cell r="P883">
            <v>9</v>
          </cell>
        </row>
        <row r="884">
          <cell r="B884"/>
          <cell r="C884"/>
          <cell r="D884">
            <v>52</v>
          </cell>
          <cell r="E884">
            <v>55</v>
          </cell>
          <cell r="F884">
            <v>56</v>
          </cell>
          <cell r="G884">
            <v>51</v>
          </cell>
          <cell r="H884">
            <v>63</v>
          </cell>
          <cell r="I884">
            <v>54</v>
          </cell>
          <cell r="J884">
            <v>44</v>
          </cell>
          <cell r="K884">
            <v>47</v>
          </cell>
          <cell r="L884">
            <v>81</v>
          </cell>
          <cell r="M884">
            <v>46</v>
          </cell>
          <cell r="N884">
            <v>49</v>
          </cell>
          <cell r="O884">
            <v>63</v>
          </cell>
          <cell r="P884">
            <v>81</v>
          </cell>
        </row>
        <row r="885">
          <cell r="B885" t="str">
            <v>Brownsville</v>
          </cell>
          <cell r="C885"/>
          <cell r="D885" t="str">
            <v>NNW</v>
          </cell>
          <cell r="E885" t="str">
            <v>NNW</v>
          </cell>
          <cell r="F885" t="str">
            <v>NNW</v>
          </cell>
          <cell r="G885" t="str">
            <v>NNW</v>
          </cell>
          <cell r="H885" t="str">
            <v>NNW</v>
          </cell>
          <cell r="I885" t="str">
            <v>NNW</v>
          </cell>
          <cell r="J885" t="str">
            <v>NNW</v>
          </cell>
          <cell r="K885" t="str">
            <v>NNW</v>
          </cell>
          <cell r="L885" t="str">
            <v>SSE</v>
          </cell>
          <cell r="M885" t="str">
            <v>SSE</v>
          </cell>
          <cell r="N885" t="str">
            <v>SSE</v>
          </cell>
          <cell r="O885" t="str">
            <v>SSE</v>
          </cell>
          <cell r="P885" t="str">
            <v>NNW</v>
          </cell>
        </row>
        <row r="886">
          <cell r="B886"/>
          <cell r="C886"/>
          <cell r="D886">
            <v>11</v>
          </cell>
          <cell r="E886">
            <v>12</v>
          </cell>
          <cell r="F886">
            <v>13</v>
          </cell>
          <cell r="G886">
            <v>14</v>
          </cell>
          <cell r="H886">
            <v>13</v>
          </cell>
          <cell r="I886">
            <v>12</v>
          </cell>
          <cell r="J886">
            <v>12</v>
          </cell>
          <cell r="K886">
            <v>10</v>
          </cell>
          <cell r="L886">
            <v>9</v>
          </cell>
          <cell r="M886">
            <v>10</v>
          </cell>
          <cell r="N886">
            <v>11</v>
          </cell>
          <cell r="O886">
            <v>11</v>
          </cell>
          <cell r="P886">
            <v>11</v>
          </cell>
        </row>
        <row r="887">
          <cell r="B887"/>
          <cell r="C887"/>
          <cell r="D887">
            <v>47</v>
          </cell>
          <cell r="E887">
            <v>38</v>
          </cell>
          <cell r="F887">
            <v>44</v>
          </cell>
          <cell r="G887">
            <v>43</v>
          </cell>
          <cell r="H887">
            <v>45</v>
          </cell>
          <cell r="I887">
            <v>36</v>
          </cell>
          <cell r="J887">
            <v>37</v>
          </cell>
          <cell r="K887">
            <v>36</v>
          </cell>
          <cell r="L887">
            <v>55</v>
          </cell>
          <cell r="M887">
            <v>40</v>
          </cell>
          <cell r="N887">
            <v>44</v>
          </cell>
          <cell r="O887">
            <v>39</v>
          </cell>
          <cell r="P887">
            <v>55</v>
          </cell>
        </row>
        <row r="888">
          <cell r="B888" t="str">
            <v>Corpus Christi</v>
          </cell>
          <cell r="C888"/>
          <cell r="D888" t="str">
            <v>N</v>
          </cell>
          <cell r="E888" t="str">
            <v>SE</v>
          </cell>
          <cell r="F888" t="str">
            <v>SE</v>
          </cell>
          <cell r="G888" t="str">
            <v>SE</v>
          </cell>
          <cell r="H888" t="str">
            <v>SE</v>
          </cell>
          <cell r="I888" t="str">
            <v>SE</v>
          </cell>
          <cell r="J888" t="str">
            <v>SE</v>
          </cell>
          <cell r="K888" t="str">
            <v>SE</v>
          </cell>
          <cell r="L888" t="str">
            <v>SE</v>
          </cell>
          <cell r="M888" t="str">
            <v>SE</v>
          </cell>
          <cell r="N888" t="str">
            <v>SE</v>
          </cell>
          <cell r="O888" t="str">
            <v>N</v>
          </cell>
          <cell r="P888" t="str">
            <v>SE</v>
          </cell>
        </row>
        <row r="889">
          <cell r="B889"/>
          <cell r="C889"/>
          <cell r="D889">
            <v>12</v>
          </cell>
          <cell r="E889">
            <v>13</v>
          </cell>
          <cell r="F889">
            <v>14</v>
          </cell>
          <cell r="G889">
            <v>14</v>
          </cell>
          <cell r="H889">
            <v>13</v>
          </cell>
          <cell r="I889">
            <v>12</v>
          </cell>
          <cell r="J889">
            <v>12</v>
          </cell>
          <cell r="K889">
            <v>11</v>
          </cell>
          <cell r="L889">
            <v>10</v>
          </cell>
          <cell r="M889">
            <v>11</v>
          </cell>
          <cell r="N889">
            <v>12</v>
          </cell>
          <cell r="O889">
            <v>12</v>
          </cell>
          <cell r="P889">
            <v>12</v>
          </cell>
        </row>
        <row r="890">
          <cell r="B890"/>
          <cell r="C890"/>
          <cell r="D890">
            <v>52</v>
          </cell>
          <cell r="E890">
            <v>60</v>
          </cell>
          <cell r="F890">
            <v>54</v>
          </cell>
          <cell r="G890">
            <v>67</v>
          </cell>
          <cell r="H890">
            <v>60</v>
          </cell>
          <cell r="I890">
            <v>61</v>
          </cell>
          <cell r="J890">
            <v>49</v>
          </cell>
          <cell r="K890">
            <v>48</v>
          </cell>
          <cell r="L890">
            <v>61</v>
          </cell>
          <cell r="M890">
            <v>53</v>
          </cell>
          <cell r="N890">
            <v>60</v>
          </cell>
          <cell r="O890">
            <v>54</v>
          </cell>
          <cell r="P890">
            <v>67</v>
          </cell>
        </row>
        <row r="891">
          <cell r="B891" t="str">
            <v>Dallas</v>
          </cell>
          <cell r="C891"/>
          <cell r="D891" t="str">
            <v>S</v>
          </cell>
          <cell r="E891" t="str">
            <v>S</v>
          </cell>
          <cell r="F891" t="str">
            <v>S</v>
          </cell>
          <cell r="G891" t="str">
            <v>S</v>
          </cell>
          <cell r="H891" t="str">
            <v>S</v>
          </cell>
          <cell r="I891" t="str">
            <v>S</v>
          </cell>
          <cell r="J891" t="str">
            <v>S</v>
          </cell>
          <cell r="K891" t="str">
            <v>S</v>
          </cell>
          <cell r="L891" t="str">
            <v>S</v>
          </cell>
          <cell r="M891" t="str">
            <v>S</v>
          </cell>
          <cell r="N891" t="str">
            <v>S</v>
          </cell>
          <cell r="O891" t="str">
            <v>S</v>
          </cell>
          <cell r="P891" t="str">
            <v>S</v>
          </cell>
        </row>
        <row r="892">
          <cell r="B892"/>
          <cell r="C892"/>
          <cell r="D892">
            <v>11</v>
          </cell>
          <cell r="E892">
            <v>12</v>
          </cell>
          <cell r="F892">
            <v>13</v>
          </cell>
          <cell r="G892">
            <v>12</v>
          </cell>
          <cell r="H892">
            <v>11</v>
          </cell>
          <cell r="I892">
            <v>11</v>
          </cell>
          <cell r="J892">
            <v>10</v>
          </cell>
          <cell r="K892">
            <v>9</v>
          </cell>
          <cell r="L892">
            <v>10</v>
          </cell>
          <cell r="M892">
            <v>10</v>
          </cell>
          <cell r="N892">
            <v>11</v>
          </cell>
          <cell r="O892">
            <v>11</v>
          </cell>
          <cell r="P892">
            <v>11</v>
          </cell>
        </row>
        <row r="893">
          <cell r="B893"/>
          <cell r="C893"/>
          <cell r="D893">
            <v>66</v>
          </cell>
          <cell r="E893">
            <v>54</v>
          </cell>
          <cell r="F893">
            <v>53</v>
          </cell>
          <cell r="G893">
            <v>66</v>
          </cell>
          <cell r="H893">
            <v>71</v>
          </cell>
          <cell r="I893">
            <v>58</v>
          </cell>
          <cell r="J893">
            <v>54</v>
          </cell>
          <cell r="K893">
            <v>81</v>
          </cell>
          <cell r="L893">
            <v>51</v>
          </cell>
          <cell r="M893">
            <v>63</v>
          </cell>
          <cell r="N893">
            <v>68</v>
          </cell>
          <cell r="O893">
            <v>55</v>
          </cell>
          <cell r="P893">
            <v>81</v>
          </cell>
        </row>
        <row r="894">
          <cell r="B894" t="str">
            <v>El Paso</v>
          </cell>
          <cell r="C894"/>
          <cell r="D894" t="str">
            <v>NNE</v>
          </cell>
          <cell r="E894" t="str">
            <v>W</v>
          </cell>
          <cell r="F894" t="str">
            <v>W</v>
          </cell>
          <cell r="G894" t="str">
            <v>W</v>
          </cell>
          <cell r="H894" t="str">
            <v>W</v>
          </cell>
          <cell r="I894" t="str">
            <v>SE</v>
          </cell>
          <cell r="J894" t="str">
            <v>ESE</v>
          </cell>
          <cell r="K894" t="str">
            <v>N</v>
          </cell>
          <cell r="L894" t="str">
            <v>S</v>
          </cell>
          <cell r="M894" t="str">
            <v>N</v>
          </cell>
          <cell r="N894" t="str">
            <v>NNE</v>
          </cell>
          <cell r="O894" t="str">
            <v>N</v>
          </cell>
          <cell r="P894" t="str">
            <v>N</v>
          </cell>
        </row>
        <row r="895">
          <cell r="B895"/>
          <cell r="C895"/>
          <cell r="D895">
            <v>8</v>
          </cell>
          <cell r="E895">
            <v>9</v>
          </cell>
          <cell r="F895">
            <v>11</v>
          </cell>
          <cell r="G895">
            <v>11</v>
          </cell>
          <cell r="H895">
            <v>10</v>
          </cell>
          <cell r="I895">
            <v>9</v>
          </cell>
          <cell r="J895">
            <v>8</v>
          </cell>
          <cell r="K895">
            <v>8</v>
          </cell>
          <cell r="L895">
            <v>8</v>
          </cell>
          <cell r="M895">
            <v>8</v>
          </cell>
          <cell r="N895">
            <v>8</v>
          </cell>
          <cell r="O895">
            <v>8</v>
          </cell>
          <cell r="P895">
            <v>9</v>
          </cell>
        </row>
        <row r="896">
          <cell r="B896"/>
          <cell r="C896"/>
          <cell r="D896">
            <v>86</v>
          </cell>
          <cell r="E896">
            <v>60</v>
          </cell>
          <cell r="F896">
            <v>69</v>
          </cell>
          <cell r="G896">
            <v>66</v>
          </cell>
          <cell r="H896">
            <v>55</v>
          </cell>
          <cell r="I896">
            <v>69</v>
          </cell>
          <cell r="J896">
            <v>63</v>
          </cell>
          <cell r="K896">
            <v>48</v>
          </cell>
          <cell r="L896">
            <v>62</v>
          </cell>
          <cell r="M896">
            <v>53</v>
          </cell>
          <cell r="N896">
            <v>54</v>
          </cell>
          <cell r="O896">
            <v>61</v>
          </cell>
          <cell r="P896">
            <v>86</v>
          </cell>
        </row>
        <row r="897">
          <cell r="B897" t="str">
            <v>Houston</v>
          </cell>
          <cell r="C897"/>
          <cell r="D897" t="str">
            <v>N</v>
          </cell>
          <cell r="E897" t="str">
            <v>N</v>
          </cell>
          <cell r="F897" t="str">
            <v>N</v>
          </cell>
          <cell r="G897" t="str">
            <v>N</v>
          </cell>
          <cell r="H897" t="str">
            <v>SE</v>
          </cell>
          <cell r="I897" t="str">
            <v>SE</v>
          </cell>
          <cell r="J897" t="str">
            <v>SE</v>
          </cell>
          <cell r="K897" t="str">
            <v>SE</v>
          </cell>
          <cell r="L897" t="str">
            <v>SE</v>
          </cell>
          <cell r="M897" t="str">
            <v>SE</v>
          </cell>
          <cell r="N897" t="str">
            <v>SE</v>
          </cell>
          <cell r="O897" t="str">
            <v>SE</v>
          </cell>
          <cell r="P897" t="str">
            <v>SE</v>
          </cell>
        </row>
        <row r="898">
          <cell r="B898"/>
          <cell r="C898"/>
          <cell r="D898">
            <v>8</v>
          </cell>
          <cell r="E898">
            <v>9</v>
          </cell>
          <cell r="F898">
            <v>9</v>
          </cell>
          <cell r="G898">
            <v>9</v>
          </cell>
          <cell r="H898">
            <v>8</v>
          </cell>
          <cell r="I898">
            <v>8</v>
          </cell>
          <cell r="J898">
            <v>7</v>
          </cell>
          <cell r="K898">
            <v>6</v>
          </cell>
          <cell r="L898">
            <v>7</v>
          </cell>
          <cell r="M898">
            <v>7</v>
          </cell>
          <cell r="N898">
            <v>8</v>
          </cell>
          <cell r="O898">
            <v>8</v>
          </cell>
          <cell r="P898">
            <v>8</v>
          </cell>
        </row>
        <row r="899">
          <cell r="B899"/>
          <cell r="C899"/>
          <cell r="D899">
            <v>44</v>
          </cell>
          <cell r="E899">
            <v>61</v>
          </cell>
          <cell r="F899">
            <v>51</v>
          </cell>
          <cell r="G899">
            <v>56</v>
          </cell>
          <cell r="H899">
            <v>52</v>
          </cell>
          <cell r="I899">
            <v>68</v>
          </cell>
          <cell r="J899">
            <v>52</v>
          </cell>
          <cell r="K899">
            <v>78</v>
          </cell>
          <cell r="L899">
            <v>44</v>
          </cell>
          <cell r="M899">
            <v>58</v>
          </cell>
          <cell r="N899">
            <v>46</v>
          </cell>
          <cell r="O899">
            <v>56</v>
          </cell>
          <cell r="P899">
            <v>78</v>
          </cell>
        </row>
        <row r="900">
          <cell r="B900" t="str">
            <v>Laredo</v>
          </cell>
          <cell r="C900"/>
          <cell r="D900" t="str">
            <v>SE</v>
          </cell>
          <cell r="E900" t="str">
            <v>SE</v>
          </cell>
          <cell r="F900" t="str">
            <v>SE</v>
          </cell>
          <cell r="G900" t="str">
            <v>SE</v>
          </cell>
          <cell r="H900" t="str">
            <v>SE</v>
          </cell>
          <cell r="I900" t="str">
            <v>SE</v>
          </cell>
          <cell r="J900" t="str">
            <v>SE</v>
          </cell>
          <cell r="K900" t="str">
            <v>SE</v>
          </cell>
          <cell r="L900" t="str">
            <v>SE</v>
          </cell>
          <cell r="M900" t="str">
            <v>SE</v>
          </cell>
          <cell r="N900" t="str">
            <v>SE</v>
          </cell>
          <cell r="O900" t="str">
            <v>SE</v>
          </cell>
          <cell r="P900" t="str">
            <v>SE</v>
          </cell>
        </row>
        <row r="901">
          <cell r="B901"/>
          <cell r="C901"/>
          <cell r="D901">
            <v>9</v>
          </cell>
          <cell r="E901">
            <v>10</v>
          </cell>
          <cell r="F901">
            <v>12</v>
          </cell>
          <cell r="G901">
            <v>13</v>
          </cell>
          <cell r="H901">
            <v>14</v>
          </cell>
          <cell r="I901">
            <v>14</v>
          </cell>
          <cell r="J901">
            <v>14</v>
          </cell>
          <cell r="K901">
            <v>13</v>
          </cell>
          <cell r="L901">
            <v>10</v>
          </cell>
          <cell r="M901">
            <v>10</v>
          </cell>
          <cell r="N901">
            <v>9</v>
          </cell>
          <cell r="O901">
            <v>9</v>
          </cell>
          <cell r="P901">
            <v>12</v>
          </cell>
        </row>
        <row r="902">
          <cell r="B902"/>
          <cell r="C902"/>
          <cell r="D902">
            <v>46</v>
          </cell>
          <cell r="E902">
            <v>46</v>
          </cell>
          <cell r="F902">
            <v>46</v>
          </cell>
          <cell r="G902">
            <v>54</v>
          </cell>
          <cell r="H902">
            <v>46</v>
          </cell>
          <cell r="I902">
            <v>46</v>
          </cell>
          <cell r="J902">
            <v>46</v>
          </cell>
          <cell r="K902">
            <v>46</v>
          </cell>
          <cell r="L902">
            <v>46</v>
          </cell>
          <cell r="M902">
            <v>38</v>
          </cell>
          <cell r="N902">
            <v>46</v>
          </cell>
          <cell r="O902">
            <v>38</v>
          </cell>
          <cell r="P902">
            <v>54</v>
          </cell>
        </row>
        <row r="903">
          <cell r="B903" t="str">
            <v>Lubbock</v>
          </cell>
          <cell r="C903"/>
          <cell r="D903" t="str">
            <v>SW</v>
          </cell>
          <cell r="E903" t="str">
            <v>WSW</v>
          </cell>
          <cell r="F903" t="str">
            <v>S</v>
          </cell>
          <cell r="G903" t="str">
            <v>S</v>
          </cell>
          <cell r="H903" t="str">
            <v>S</v>
          </cell>
          <cell r="I903" t="str">
            <v>S</v>
          </cell>
          <cell r="J903" t="str">
            <v>S</v>
          </cell>
          <cell r="K903" t="str">
            <v>S</v>
          </cell>
          <cell r="L903" t="str">
            <v>S</v>
          </cell>
          <cell r="M903" t="str">
            <v>S</v>
          </cell>
          <cell r="N903" t="str">
            <v>S</v>
          </cell>
          <cell r="O903" t="str">
            <v>WSW</v>
          </cell>
          <cell r="P903" t="str">
            <v>S</v>
          </cell>
        </row>
        <row r="904">
          <cell r="B904"/>
          <cell r="C904"/>
          <cell r="D904">
            <v>13</v>
          </cell>
          <cell r="E904">
            <v>14</v>
          </cell>
          <cell r="F904">
            <v>15</v>
          </cell>
          <cell r="G904">
            <v>15</v>
          </cell>
          <cell r="H904">
            <v>15</v>
          </cell>
          <cell r="I904">
            <v>14</v>
          </cell>
          <cell r="J904">
            <v>12</v>
          </cell>
          <cell r="K904">
            <v>10</v>
          </cell>
          <cell r="L904">
            <v>11</v>
          </cell>
          <cell r="M904">
            <v>12</v>
          </cell>
          <cell r="N904">
            <v>13</v>
          </cell>
          <cell r="O904">
            <v>13</v>
          </cell>
          <cell r="P904">
            <v>13</v>
          </cell>
        </row>
        <row r="905">
          <cell r="B905"/>
          <cell r="C905"/>
          <cell r="D905">
            <v>59</v>
          </cell>
          <cell r="E905">
            <v>64</v>
          </cell>
          <cell r="F905">
            <v>77</v>
          </cell>
          <cell r="G905">
            <v>71</v>
          </cell>
          <cell r="H905">
            <v>74</v>
          </cell>
          <cell r="I905">
            <v>85</v>
          </cell>
          <cell r="J905">
            <v>72</v>
          </cell>
          <cell r="K905">
            <v>59</v>
          </cell>
          <cell r="L905">
            <v>58</v>
          </cell>
          <cell r="M905">
            <v>52</v>
          </cell>
          <cell r="N905">
            <v>63</v>
          </cell>
          <cell r="O905">
            <v>64</v>
          </cell>
          <cell r="P905">
            <v>85</v>
          </cell>
        </row>
        <row r="906">
          <cell r="B906" t="str">
            <v>Midland</v>
          </cell>
          <cell r="C906"/>
          <cell r="D906" t="str">
            <v>S</v>
          </cell>
          <cell r="E906" t="str">
            <v>S</v>
          </cell>
          <cell r="F906" t="str">
            <v>S</v>
          </cell>
          <cell r="G906" t="str">
            <v>S</v>
          </cell>
          <cell r="H906" t="str">
            <v>S</v>
          </cell>
          <cell r="I906" t="str">
            <v>SSE</v>
          </cell>
          <cell r="J906" t="str">
            <v>SSE</v>
          </cell>
          <cell r="K906" t="str">
            <v>SSE</v>
          </cell>
          <cell r="L906" t="str">
            <v>SSE</v>
          </cell>
          <cell r="M906" t="str">
            <v>S</v>
          </cell>
          <cell r="N906" t="str">
            <v>S</v>
          </cell>
          <cell r="O906" t="str">
            <v>S</v>
          </cell>
          <cell r="P906" t="str">
            <v>S</v>
          </cell>
        </row>
        <row r="907">
          <cell r="B907"/>
          <cell r="C907"/>
          <cell r="D907">
            <v>10</v>
          </cell>
          <cell r="E907">
            <v>11</v>
          </cell>
          <cell r="F907">
            <v>13</v>
          </cell>
          <cell r="G907">
            <v>13</v>
          </cell>
          <cell r="H907">
            <v>13</v>
          </cell>
          <cell r="I907">
            <v>12</v>
          </cell>
          <cell r="J907">
            <v>11</v>
          </cell>
          <cell r="K907">
            <v>10</v>
          </cell>
          <cell r="L907">
            <v>10</v>
          </cell>
          <cell r="M907">
            <v>10</v>
          </cell>
          <cell r="N907">
            <v>10</v>
          </cell>
          <cell r="O907">
            <v>10</v>
          </cell>
          <cell r="P907">
            <v>11</v>
          </cell>
        </row>
        <row r="908">
          <cell r="B908"/>
          <cell r="C908"/>
          <cell r="D908">
            <v>59</v>
          </cell>
          <cell r="E908">
            <v>55</v>
          </cell>
          <cell r="F908">
            <v>74</v>
          </cell>
          <cell r="G908">
            <v>67</v>
          </cell>
          <cell r="H908">
            <v>74</v>
          </cell>
          <cell r="I908">
            <v>71</v>
          </cell>
          <cell r="J908">
            <v>82</v>
          </cell>
          <cell r="K908">
            <v>63</v>
          </cell>
          <cell r="L908">
            <v>82</v>
          </cell>
          <cell r="M908">
            <v>69</v>
          </cell>
          <cell r="N908">
            <v>59</v>
          </cell>
          <cell r="O908">
            <v>47</v>
          </cell>
          <cell r="P908">
            <v>82</v>
          </cell>
        </row>
        <row r="909">
          <cell r="B909" t="str">
            <v>Port Arthur</v>
          </cell>
          <cell r="C909"/>
          <cell r="D909" t="str">
            <v>N</v>
          </cell>
          <cell r="E909" t="str">
            <v>N</v>
          </cell>
          <cell r="F909" t="str">
            <v>N</v>
          </cell>
          <cell r="G909" t="str">
            <v>N</v>
          </cell>
          <cell r="H909" t="str">
            <v>N</v>
          </cell>
          <cell r="I909" t="str">
            <v>N</v>
          </cell>
          <cell r="J909" t="str">
            <v>N</v>
          </cell>
          <cell r="K909" t="str">
            <v>N</v>
          </cell>
          <cell r="L909" t="str">
            <v>S</v>
          </cell>
          <cell r="M909" t="str">
            <v>S</v>
          </cell>
          <cell r="N909" t="str">
            <v>S</v>
          </cell>
          <cell r="O909" t="str">
            <v>S</v>
          </cell>
          <cell r="P909" t="str">
            <v>N</v>
          </cell>
        </row>
        <row r="910">
          <cell r="B910"/>
          <cell r="C910"/>
          <cell r="D910">
            <v>11</v>
          </cell>
          <cell r="E910">
            <v>11</v>
          </cell>
          <cell r="F910">
            <v>11</v>
          </cell>
          <cell r="G910">
            <v>12</v>
          </cell>
          <cell r="H910">
            <v>10</v>
          </cell>
          <cell r="I910">
            <v>9</v>
          </cell>
          <cell r="J910">
            <v>7</v>
          </cell>
          <cell r="K910">
            <v>7</v>
          </cell>
          <cell r="L910">
            <v>8</v>
          </cell>
          <cell r="M910">
            <v>9</v>
          </cell>
          <cell r="N910">
            <v>10</v>
          </cell>
          <cell r="O910">
            <v>10</v>
          </cell>
          <cell r="P910">
            <v>10</v>
          </cell>
        </row>
        <row r="911">
          <cell r="B911"/>
          <cell r="C911"/>
          <cell r="D911">
            <v>56</v>
          </cell>
          <cell r="E911">
            <v>54</v>
          </cell>
          <cell r="F911">
            <v>53</v>
          </cell>
          <cell r="G911">
            <v>59</v>
          </cell>
          <cell r="H911">
            <v>62</v>
          </cell>
          <cell r="I911">
            <v>76</v>
          </cell>
          <cell r="J911">
            <v>69</v>
          </cell>
          <cell r="K911">
            <v>55</v>
          </cell>
          <cell r="L911">
            <v>58</v>
          </cell>
          <cell r="M911">
            <v>47</v>
          </cell>
          <cell r="N911">
            <v>54</v>
          </cell>
          <cell r="O911">
            <v>51</v>
          </cell>
          <cell r="P911">
            <v>76</v>
          </cell>
        </row>
        <row r="912">
          <cell r="B912" t="str">
            <v>San Angelo</v>
          </cell>
          <cell r="C912"/>
          <cell r="D912" t="str">
            <v>SSW</v>
          </cell>
          <cell r="E912" t="str">
            <v>SSW</v>
          </cell>
          <cell r="F912" t="str">
            <v>S</v>
          </cell>
          <cell r="G912" t="str">
            <v>S</v>
          </cell>
          <cell r="H912" t="str">
            <v>S</v>
          </cell>
          <cell r="I912" t="str">
            <v>S</v>
          </cell>
          <cell r="J912" t="str">
            <v>S</v>
          </cell>
          <cell r="K912" t="str">
            <v>S</v>
          </cell>
          <cell r="L912" t="str">
            <v>S</v>
          </cell>
          <cell r="M912" t="str">
            <v>S</v>
          </cell>
          <cell r="N912" t="str">
            <v>S</v>
          </cell>
          <cell r="O912" t="str">
            <v>SSW</v>
          </cell>
          <cell r="P912" t="str">
            <v>S</v>
          </cell>
        </row>
        <row r="913">
          <cell r="B913"/>
          <cell r="C913"/>
          <cell r="D913">
            <v>10</v>
          </cell>
          <cell r="E913">
            <v>11</v>
          </cell>
          <cell r="F913">
            <v>12</v>
          </cell>
          <cell r="G913">
            <v>12</v>
          </cell>
          <cell r="H913">
            <v>12</v>
          </cell>
          <cell r="I913">
            <v>11</v>
          </cell>
          <cell r="J913">
            <v>10</v>
          </cell>
          <cell r="K913">
            <v>9</v>
          </cell>
          <cell r="L913">
            <v>9</v>
          </cell>
          <cell r="M913">
            <v>9</v>
          </cell>
          <cell r="N913">
            <v>10</v>
          </cell>
          <cell r="O913">
            <v>10</v>
          </cell>
          <cell r="P913">
            <v>10</v>
          </cell>
        </row>
        <row r="914">
          <cell r="B914"/>
          <cell r="C914"/>
          <cell r="D914">
            <v>55</v>
          </cell>
          <cell r="E914">
            <v>59</v>
          </cell>
          <cell r="F914">
            <v>61</v>
          </cell>
          <cell r="G914">
            <v>67</v>
          </cell>
          <cell r="H914">
            <v>76</v>
          </cell>
          <cell r="I914">
            <v>71</v>
          </cell>
          <cell r="J914">
            <v>56</v>
          </cell>
          <cell r="K914">
            <v>67</v>
          </cell>
          <cell r="L914">
            <v>52</v>
          </cell>
          <cell r="M914">
            <v>68</v>
          </cell>
          <cell r="N914">
            <v>74</v>
          </cell>
          <cell r="O914">
            <v>53</v>
          </cell>
          <cell r="P914">
            <v>76</v>
          </cell>
        </row>
        <row r="915">
          <cell r="B915" t="str">
            <v>San Antonio</v>
          </cell>
          <cell r="C915"/>
          <cell r="D915" t="str">
            <v>N</v>
          </cell>
          <cell r="E915" t="str">
            <v>N</v>
          </cell>
          <cell r="F915" t="str">
            <v>SE</v>
          </cell>
          <cell r="G915" t="str">
            <v>SE</v>
          </cell>
          <cell r="H915" t="str">
            <v>SE</v>
          </cell>
          <cell r="I915" t="str">
            <v>SE</v>
          </cell>
          <cell r="J915" t="str">
            <v>SSE</v>
          </cell>
          <cell r="K915" t="str">
            <v>SSE</v>
          </cell>
          <cell r="L915" t="str">
            <v>SE</v>
          </cell>
          <cell r="M915" t="str">
            <v>SSE</v>
          </cell>
          <cell r="N915" t="str">
            <v>N</v>
          </cell>
          <cell r="O915" t="str">
            <v>N</v>
          </cell>
          <cell r="P915" t="str">
            <v>SSE</v>
          </cell>
        </row>
        <row r="916">
          <cell r="B916"/>
          <cell r="C916"/>
          <cell r="D916">
            <v>9</v>
          </cell>
          <cell r="E916">
            <v>9</v>
          </cell>
          <cell r="F916">
            <v>10</v>
          </cell>
          <cell r="G916">
            <v>10</v>
          </cell>
          <cell r="H916">
            <v>10</v>
          </cell>
          <cell r="I916">
            <v>10</v>
          </cell>
          <cell r="J916">
            <v>9</v>
          </cell>
          <cell r="K916">
            <v>8</v>
          </cell>
          <cell r="L916">
            <v>8</v>
          </cell>
          <cell r="M916">
            <v>8</v>
          </cell>
          <cell r="N916">
            <v>8</v>
          </cell>
          <cell r="O916">
            <v>8</v>
          </cell>
          <cell r="P916">
            <v>9</v>
          </cell>
        </row>
        <row r="917">
          <cell r="B917"/>
          <cell r="C917"/>
          <cell r="D917">
            <v>51</v>
          </cell>
          <cell r="E917">
            <v>56</v>
          </cell>
          <cell r="F917">
            <v>64</v>
          </cell>
          <cell r="G917">
            <v>47</v>
          </cell>
          <cell r="H917">
            <v>55</v>
          </cell>
          <cell r="I917">
            <v>51</v>
          </cell>
          <cell r="J917">
            <v>54</v>
          </cell>
          <cell r="K917">
            <v>49</v>
          </cell>
          <cell r="L917">
            <v>71</v>
          </cell>
          <cell r="M917">
            <v>44</v>
          </cell>
          <cell r="N917">
            <v>52</v>
          </cell>
          <cell r="O917">
            <v>48</v>
          </cell>
          <cell r="P917">
            <v>71</v>
          </cell>
        </row>
        <row r="918">
          <cell r="B918" t="str">
            <v>Sherman</v>
          </cell>
          <cell r="C918"/>
          <cell r="D918" t="str">
            <v>S</v>
          </cell>
          <cell r="E918" t="str">
            <v>S</v>
          </cell>
          <cell r="F918" t="str">
            <v>SSE</v>
          </cell>
          <cell r="G918" t="str">
            <v>SSE</v>
          </cell>
          <cell r="H918" t="str">
            <v>SSE</v>
          </cell>
          <cell r="I918" t="str">
            <v>SSE</v>
          </cell>
          <cell r="J918" t="str">
            <v>S</v>
          </cell>
          <cell r="K918" t="str">
            <v>SSE</v>
          </cell>
          <cell r="L918" t="str">
            <v>SSE</v>
          </cell>
          <cell r="M918" t="str">
            <v>SSE</v>
          </cell>
          <cell r="N918" t="str">
            <v>S</v>
          </cell>
          <cell r="O918" t="str">
            <v>S</v>
          </cell>
          <cell r="P918" t="str">
            <v>SSE</v>
          </cell>
        </row>
        <row r="919">
          <cell r="B919"/>
          <cell r="C919"/>
          <cell r="D919">
            <v>12</v>
          </cell>
          <cell r="E919">
            <v>12</v>
          </cell>
          <cell r="F919">
            <v>13</v>
          </cell>
          <cell r="G919">
            <v>13</v>
          </cell>
          <cell r="H919">
            <v>12</v>
          </cell>
          <cell r="I919">
            <v>10</v>
          </cell>
          <cell r="J919">
            <v>9</v>
          </cell>
          <cell r="K919">
            <v>9</v>
          </cell>
          <cell r="L919">
            <v>9</v>
          </cell>
          <cell r="M919">
            <v>9</v>
          </cell>
          <cell r="N919">
            <v>10</v>
          </cell>
          <cell r="O919">
            <v>10</v>
          </cell>
          <cell r="P919">
            <v>10</v>
          </cell>
        </row>
        <row r="920">
          <cell r="B920"/>
          <cell r="C920"/>
          <cell r="D920">
            <v>84</v>
          </cell>
          <cell r="E920">
            <v>81</v>
          </cell>
          <cell r="F920">
            <v>71</v>
          </cell>
          <cell r="G920">
            <v>74</v>
          </cell>
          <cell r="H920">
            <v>62</v>
          </cell>
          <cell r="I920">
            <v>71</v>
          </cell>
          <cell r="J920">
            <v>71</v>
          </cell>
          <cell r="K920">
            <v>58</v>
          </cell>
          <cell r="L920">
            <v>60</v>
          </cell>
          <cell r="M920">
            <v>48</v>
          </cell>
          <cell r="N920">
            <v>83</v>
          </cell>
          <cell r="O920">
            <v>62</v>
          </cell>
          <cell r="P920">
            <v>84</v>
          </cell>
        </row>
        <row r="921">
          <cell r="B921" t="str">
            <v>Waco</v>
          </cell>
          <cell r="C921"/>
          <cell r="D921" t="str">
            <v>S</v>
          </cell>
          <cell r="E921" t="str">
            <v>S</v>
          </cell>
          <cell r="F921" t="str">
            <v>S</v>
          </cell>
          <cell r="G921" t="str">
            <v>S</v>
          </cell>
          <cell r="H921" t="str">
            <v>S</v>
          </cell>
          <cell r="I921" t="str">
            <v>S</v>
          </cell>
          <cell r="J921" t="str">
            <v>S</v>
          </cell>
          <cell r="K921" t="str">
            <v>S</v>
          </cell>
          <cell r="L921" t="str">
            <v>S</v>
          </cell>
          <cell r="M921" t="str">
            <v>S</v>
          </cell>
          <cell r="N921" t="str">
            <v>S</v>
          </cell>
          <cell r="O921" t="str">
            <v>S</v>
          </cell>
          <cell r="P921" t="str">
            <v>S</v>
          </cell>
        </row>
        <row r="922">
          <cell r="B922"/>
          <cell r="C922"/>
          <cell r="D922">
            <v>12</v>
          </cell>
          <cell r="E922">
            <v>12</v>
          </cell>
          <cell r="F922">
            <v>13</v>
          </cell>
          <cell r="G922">
            <v>13</v>
          </cell>
          <cell r="H922">
            <v>12</v>
          </cell>
          <cell r="I922">
            <v>11</v>
          </cell>
          <cell r="J922">
            <v>11</v>
          </cell>
          <cell r="K922">
            <v>10</v>
          </cell>
          <cell r="L922">
            <v>10</v>
          </cell>
          <cell r="M922">
            <v>10</v>
          </cell>
          <cell r="N922">
            <v>11</v>
          </cell>
          <cell r="O922">
            <v>11</v>
          </cell>
          <cell r="P922">
            <v>11</v>
          </cell>
        </row>
        <row r="923">
          <cell r="B923"/>
          <cell r="C923"/>
          <cell r="D923">
            <v>47</v>
          </cell>
          <cell r="E923">
            <v>39</v>
          </cell>
          <cell r="F923">
            <v>44</v>
          </cell>
          <cell r="G923">
            <v>43</v>
          </cell>
          <cell r="H923">
            <v>58</v>
          </cell>
          <cell r="I923">
            <v>53</v>
          </cell>
          <cell r="J923">
            <v>45</v>
          </cell>
          <cell r="K923">
            <v>45</v>
          </cell>
          <cell r="L923">
            <v>55</v>
          </cell>
          <cell r="M923">
            <v>44</v>
          </cell>
          <cell r="N923">
            <v>48</v>
          </cell>
          <cell r="O923">
            <v>40</v>
          </cell>
          <cell r="P923">
            <v>58</v>
          </cell>
        </row>
        <row r="924">
          <cell r="B924" t="str">
            <v>Wichita Falls</v>
          </cell>
          <cell r="C924"/>
          <cell r="D924" t="str">
            <v>N</v>
          </cell>
          <cell r="E924" t="str">
            <v>N</v>
          </cell>
          <cell r="F924" t="str">
            <v>N</v>
          </cell>
          <cell r="G924" t="str">
            <v>N</v>
          </cell>
          <cell r="H924" t="str">
            <v>S</v>
          </cell>
          <cell r="I924" t="str">
            <v>S</v>
          </cell>
          <cell r="J924" t="str">
            <v>S</v>
          </cell>
          <cell r="K924" t="str">
            <v>S</v>
          </cell>
          <cell r="L924" t="str">
            <v>SE</v>
          </cell>
          <cell r="M924" t="str">
            <v>SE</v>
          </cell>
          <cell r="N924" t="str">
            <v>S</v>
          </cell>
          <cell r="O924" t="str">
            <v>S</v>
          </cell>
          <cell r="P924" t="str">
            <v>S</v>
          </cell>
        </row>
        <row r="925">
          <cell r="B925"/>
          <cell r="C925"/>
          <cell r="D925">
            <v>11</v>
          </cell>
          <cell r="E925">
            <v>12</v>
          </cell>
          <cell r="F925">
            <v>13</v>
          </cell>
          <cell r="G925">
            <v>13</v>
          </cell>
          <cell r="H925">
            <v>12</v>
          </cell>
          <cell r="I925">
            <v>12</v>
          </cell>
          <cell r="J925">
            <v>11</v>
          </cell>
          <cell r="K925">
            <v>10</v>
          </cell>
          <cell r="L925">
            <v>10</v>
          </cell>
          <cell r="M925">
            <v>11</v>
          </cell>
          <cell r="N925">
            <v>11</v>
          </cell>
          <cell r="O925">
            <v>11</v>
          </cell>
          <cell r="P925">
            <v>11</v>
          </cell>
        </row>
        <row r="926">
          <cell r="B926"/>
          <cell r="C926"/>
          <cell r="D926">
            <v>51</v>
          </cell>
          <cell r="E926">
            <v>62</v>
          </cell>
          <cell r="F926">
            <v>52</v>
          </cell>
          <cell r="G926">
            <v>53</v>
          </cell>
          <cell r="H926">
            <v>56</v>
          </cell>
          <cell r="I926">
            <v>55</v>
          </cell>
          <cell r="J926">
            <v>74</v>
          </cell>
          <cell r="K926">
            <v>52</v>
          </cell>
          <cell r="L926">
            <v>64</v>
          </cell>
          <cell r="M926">
            <v>52</v>
          </cell>
          <cell r="N926">
            <v>63</v>
          </cell>
          <cell r="O926">
            <v>52</v>
          </cell>
          <cell r="P926">
            <v>74</v>
          </cell>
        </row>
        <row r="927">
          <cell r="C927"/>
          <cell r="D927"/>
          <cell r="E927"/>
          <cell r="F927"/>
          <cell r="G927"/>
          <cell r="H927"/>
          <cell r="I927"/>
          <cell r="J927"/>
          <cell r="K927"/>
          <cell r="L927"/>
          <cell r="M927"/>
          <cell r="N927"/>
          <cell r="O927"/>
          <cell r="P927"/>
        </row>
        <row r="928">
          <cell r="B928" t="str">
            <v>Salt Lake City</v>
          </cell>
          <cell r="C928"/>
          <cell r="D928" t="str">
            <v>SE</v>
          </cell>
          <cell r="E928" t="str">
            <v>SE</v>
          </cell>
          <cell r="F928" t="str">
            <v>SE</v>
          </cell>
          <cell r="G928" t="str">
            <v>SE</v>
          </cell>
          <cell r="H928" t="str">
            <v>SSE</v>
          </cell>
          <cell r="I928" t="str">
            <v>SSE</v>
          </cell>
          <cell r="J928" t="str">
            <v>SSE</v>
          </cell>
          <cell r="K928" t="str">
            <v>SSE</v>
          </cell>
          <cell r="L928" t="str">
            <v>SSE</v>
          </cell>
          <cell r="M928" t="str">
            <v>SSE</v>
          </cell>
          <cell r="N928" t="str">
            <v>SSE</v>
          </cell>
          <cell r="O928" t="str">
            <v>SSE</v>
          </cell>
          <cell r="P928" t="str">
            <v>SSE</v>
          </cell>
        </row>
        <row r="929">
          <cell r="B929"/>
          <cell r="C929"/>
          <cell r="D929">
            <v>8</v>
          </cell>
          <cell r="E929">
            <v>8</v>
          </cell>
          <cell r="F929">
            <v>10</v>
          </cell>
          <cell r="G929">
            <v>9</v>
          </cell>
          <cell r="H929">
            <v>9</v>
          </cell>
          <cell r="I929">
            <v>10</v>
          </cell>
          <cell r="J929">
            <v>10</v>
          </cell>
          <cell r="K929">
            <v>10</v>
          </cell>
          <cell r="L929">
            <v>9</v>
          </cell>
          <cell r="M929">
            <v>8</v>
          </cell>
          <cell r="N929">
            <v>8</v>
          </cell>
          <cell r="O929">
            <v>8</v>
          </cell>
          <cell r="P929">
            <v>9</v>
          </cell>
        </row>
        <row r="930">
          <cell r="B930"/>
          <cell r="C930"/>
          <cell r="D930">
            <v>59</v>
          </cell>
          <cell r="E930">
            <v>54</v>
          </cell>
          <cell r="F930">
            <v>59</v>
          </cell>
          <cell r="G930">
            <v>54</v>
          </cell>
          <cell r="H930">
            <v>69</v>
          </cell>
          <cell r="I930">
            <v>58</v>
          </cell>
          <cell r="J930">
            <v>63</v>
          </cell>
          <cell r="K930">
            <v>67</v>
          </cell>
          <cell r="L930">
            <v>61</v>
          </cell>
          <cell r="M930">
            <v>63</v>
          </cell>
          <cell r="N930">
            <v>54</v>
          </cell>
          <cell r="O930">
            <v>49</v>
          </cell>
          <cell r="P930">
            <v>69</v>
          </cell>
        </row>
        <row r="931">
          <cell r="B931" t="str">
            <v>Wendover</v>
          </cell>
          <cell r="C931"/>
          <cell r="D931" t="str">
            <v>ENE</v>
          </cell>
          <cell r="E931" t="str">
            <v>ENE</v>
          </cell>
          <cell r="F931" t="str">
            <v>WNW</v>
          </cell>
          <cell r="G931" t="str">
            <v>WNW</v>
          </cell>
          <cell r="H931" t="str">
            <v>WNW</v>
          </cell>
          <cell r="I931" t="str">
            <v>E</v>
          </cell>
          <cell r="J931" t="str">
            <v>ESE</v>
          </cell>
          <cell r="K931" t="str">
            <v>ESE</v>
          </cell>
          <cell r="L931" t="str">
            <v>ESE</v>
          </cell>
          <cell r="M931" t="str">
            <v>ESE</v>
          </cell>
          <cell r="N931" t="str">
            <v>W</v>
          </cell>
          <cell r="O931" t="str">
            <v>ENE</v>
          </cell>
          <cell r="P931" t="str">
            <v>E</v>
          </cell>
        </row>
        <row r="932">
          <cell r="B932"/>
          <cell r="C932"/>
          <cell r="D932">
            <v>5</v>
          </cell>
          <cell r="E932">
            <v>6</v>
          </cell>
          <cell r="F932">
            <v>7</v>
          </cell>
          <cell r="G932">
            <v>8</v>
          </cell>
          <cell r="H932">
            <v>8</v>
          </cell>
          <cell r="I932">
            <v>8</v>
          </cell>
          <cell r="J932">
            <v>7</v>
          </cell>
          <cell r="K932">
            <v>7</v>
          </cell>
          <cell r="L932">
            <v>6</v>
          </cell>
          <cell r="M932">
            <v>5</v>
          </cell>
          <cell r="N932">
            <v>5</v>
          </cell>
          <cell r="O932">
            <v>5</v>
          </cell>
          <cell r="P932">
            <v>6</v>
          </cell>
        </row>
        <row r="933">
          <cell r="B933"/>
          <cell r="C933"/>
          <cell r="D933">
            <v>49</v>
          </cell>
          <cell r="E933">
            <v>51</v>
          </cell>
          <cell r="F933">
            <v>59</v>
          </cell>
          <cell r="G933">
            <v>51</v>
          </cell>
          <cell r="H933">
            <v>67</v>
          </cell>
          <cell r="I933">
            <v>59</v>
          </cell>
          <cell r="J933">
            <v>51</v>
          </cell>
          <cell r="K933">
            <v>68</v>
          </cell>
          <cell r="L933">
            <v>49</v>
          </cell>
          <cell r="M933">
            <v>52</v>
          </cell>
          <cell r="N933">
            <v>59</v>
          </cell>
          <cell r="O933">
            <v>52</v>
          </cell>
          <cell r="P933">
            <v>68</v>
          </cell>
        </row>
        <row r="934">
          <cell r="C934"/>
          <cell r="D934"/>
          <cell r="E934"/>
          <cell r="F934"/>
          <cell r="G934"/>
          <cell r="H934"/>
          <cell r="I934"/>
          <cell r="J934"/>
          <cell r="K934"/>
          <cell r="L934"/>
          <cell r="M934"/>
          <cell r="N934"/>
          <cell r="O934"/>
          <cell r="P934"/>
        </row>
        <row r="935">
          <cell r="B935" t="str">
            <v>Burlington</v>
          </cell>
          <cell r="C935"/>
          <cell r="D935" t="str">
            <v>S</v>
          </cell>
          <cell r="E935" t="str">
            <v>S</v>
          </cell>
          <cell r="F935" t="str">
            <v>S</v>
          </cell>
          <cell r="G935" t="str">
            <v>S</v>
          </cell>
          <cell r="H935" t="str">
            <v>S</v>
          </cell>
          <cell r="I935" t="str">
            <v>S</v>
          </cell>
          <cell r="J935" t="str">
            <v>S</v>
          </cell>
          <cell r="K935" t="str">
            <v>S</v>
          </cell>
          <cell r="L935" t="str">
            <v>S</v>
          </cell>
          <cell r="M935" t="str">
            <v>S</v>
          </cell>
          <cell r="N935" t="str">
            <v>S</v>
          </cell>
          <cell r="O935" t="str">
            <v>S</v>
          </cell>
          <cell r="P935" t="str">
            <v>S</v>
          </cell>
        </row>
        <row r="936">
          <cell r="B936"/>
          <cell r="C936"/>
          <cell r="D936">
            <v>10</v>
          </cell>
          <cell r="E936">
            <v>10</v>
          </cell>
          <cell r="F936">
            <v>10</v>
          </cell>
          <cell r="G936">
            <v>10</v>
          </cell>
          <cell r="H936">
            <v>9</v>
          </cell>
          <cell r="I936">
            <v>9</v>
          </cell>
          <cell r="J936">
            <v>8</v>
          </cell>
          <cell r="K936">
            <v>8</v>
          </cell>
          <cell r="L936">
            <v>9</v>
          </cell>
          <cell r="M936">
            <v>9</v>
          </cell>
          <cell r="N936">
            <v>10</v>
          </cell>
          <cell r="O936">
            <v>10</v>
          </cell>
          <cell r="P936">
            <v>9</v>
          </cell>
        </row>
        <row r="937">
          <cell r="B937"/>
          <cell r="C937"/>
          <cell r="D937">
            <v>51</v>
          </cell>
          <cell r="E937">
            <v>54</v>
          </cell>
          <cell r="F937">
            <v>54</v>
          </cell>
          <cell r="G937">
            <v>44</v>
          </cell>
          <cell r="H937">
            <v>54</v>
          </cell>
          <cell r="I937">
            <v>45</v>
          </cell>
          <cell r="J937">
            <v>60</v>
          </cell>
          <cell r="K937">
            <v>41</v>
          </cell>
          <cell r="L937">
            <v>52</v>
          </cell>
          <cell r="M937">
            <v>51</v>
          </cell>
          <cell r="N937">
            <v>62</v>
          </cell>
          <cell r="O937">
            <v>51</v>
          </cell>
          <cell r="P937">
            <v>62</v>
          </cell>
        </row>
        <row r="938">
          <cell r="C938"/>
          <cell r="D938"/>
          <cell r="E938"/>
          <cell r="F938"/>
          <cell r="G938"/>
          <cell r="H938"/>
          <cell r="I938"/>
          <cell r="J938"/>
          <cell r="K938"/>
          <cell r="L938"/>
          <cell r="M938"/>
          <cell r="N938"/>
          <cell r="O938"/>
          <cell r="P938"/>
        </row>
        <row r="939">
          <cell r="B939" t="str">
            <v>Hampton</v>
          </cell>
          <cell r="C939"/>
          <cell r="D939" t="str">
            <v>N</v>
          </cell>
          <cell r="E939" t="str">
            <v>N</v>
          </cell>
          <cell r="F939" t="str">
            <v>N</v>
          </cell>
          <cell r="G939" t="str">
            <v>SSW</v>
          </cell>
          <cell r="H939" t="str">
            <v>SSW</v>
          </cell>
          <cell r="I939" t="str">
            <v>SSW</v>
          </cell>
          <cell r="J939" t="str">
            <v>SW</v>
          </cell>
          <cell r="K939" t="str">
            <v>SW</v>
          </cell>
          <cell r="L939" t="str">
            <v>N</v>
          </cell>
          <cell r="M939" t="str">
            <v>N</v>
          </cell>
          <cell r="N939" t="str">
            <v>SSW</v>
          </cell>
          <cell r="O939" t="str">
            <v>N</v>
          </cell>
          <cell r="P939" t="str">
            <v>SSW</v>
          </cell>
        </row>
        <row r="940">
          <cell r="B940"/>
          <cell r="C940"/>
          <cell r="D940">
            <v>9</v>
          </cell>
          <cell r="E940">
            <v>9</v>
          </cell>
          <cell r="F940">
            <v>10</v>
          </cell>
          <cell r="G940">
            <v>9</v>
          </cell>
          <cell r="H940">
            <v>8</v>
          </cell>
          <cell r="I940">
            <v>8</v>
          </cell>
          <cell r="J940">
            <v>7</v>
          </cell>
          <cell r="K940">
            <v>7</v>
          </cell>
          <cell r="L940">
            <v>8</v>
          </cell>
          <cell r="M940">
            <v>8</v>
          </cell>
          <cell r="N940">
            <v>8</v>
          </cell>
          <cell r="O940">
            <v>9</v>
          </cell>
          <cell r="P940">
            <v>8</v>
          </cell>
        </row>
        <row r="941">
          <cell r="B941"/>
          <cell r="C941"/>
          <cell r="D941">
            <v>70</v>
          </cell>
          <cell r="E941">
            <v>64</v>
          </cell>
          <cell r="F941">
            <v>76</v>
          </cell>
          <cell r="G941">
            <v>71</v>
          </cell>
          <cell r="H941">
            <v>79</v>
          </cell>
          <cell r="I941">
            <v>64</v>
          </cell>
          <cell r="J941">
            <v>56</v>
          </cell>
          <cell r="K941">
            <v>78</v>
          </cell>
          <cell r="L941">
            <v>70</v>
          </cell>
          <cell r="M941">
            <v>96</v>
          </cell>
          <cell r="N941">
            <v>63</v>
          </cell>
          <cell r="O941">
            <v>66</v>
          </cell>
          <cell r="P941">
            <v>96</v>
          </cell>
        </row>
        <row r="942">
          <cell r="B942" t="str">
            <v>Lynchburg</v>
          </cell>
          <cell r="C942"/>
          <cell r="D942" t="str">
            <v>SW</v>
          </cell>
          <cell r="E942" t="str">
            <v>W</v>
          </cell>
          <cell r="F942" t="str">
            <v>SW</v>
          </cell>
          <cell r="G942" t="str">
            <v>SW</v>
          </cell>
          <cell r="H942" t="str">
            <v>SW</v>
          </cell>
          <cell r="I942" t="str">
            <v>SW</v>
          </cell>
          <cell r="J942" t="str">
            <v>SW</v>
          </cell>
          <cell r="K942" t="str">
            <v>SW</v>
          </cell>
          <cell r="L942" t="str">
            <v>N</v>
          </cell>
          <cell r="M942" t="str">
            <v>NE</v>
          </cell>
          <cell r="N942" t="str">
            <v>SW</v>
          </cell>
          <cell r="O942" t="str">
            <v>SW</v>
          </cell>
          <cell r="P942" t="str">
            <v>SW</v>
          </cell>
        </row>
        <row r="943">
          <cell r="B943"/>
          <cell r="C943"/>
          <cell r="D943">
            <v>8</v>
          </cell>
          <cell r="E943">
            <v>8</v>
          </cell>
          <cell r="F943">
            <v>8</v>
          </cell>
          <cell r="G943">
            <v>9</v>
          </cell>
          <cell r="H943">
            <v>7</v>
          </cell>
          <cell r="I943">
            <v>7</v>
          </cell>
          <cell r="J943">
            <v>6</v>
          </cell>
          <cell r="K943">
            <v>6</v>
          </cell>
          <cell r="L943">
            <v>6</v>
          </cell>
          <cell r="M943">
            <v>7</v>
          </cell>
          <cell r="N943">
            <v>7</v>
          </cell>
          <cell r="O943">
            <v>7</v>
          </cell>
          <cell r="P943">
            <v>7</v>
          </cell>
        </row>
        <row r="944">
          <cell r="B944"/>
          <cell r="C944"/>
          <cell r="D944">
            <v>48</v>
          </cell>
          <cell r="E944">
            <v>46</v>
          </cell>
          <cell r="F944">
            <v>56</v>
          </cell>
          <cell r="G944">
            <v>53</v>
          </cell>
          <cell r="H944">
            <v>59</v>
          </cell>
          <cell r="I944">
            <v>74</v>
          </cell>
          <cell r="J944">
            <v>64</v>
          </cell>
          <cell r="K944">
            <v>46</v>
          </cell>
          <cell r="L944">
            <v>44</v>
          </cell>
          <cell r="M944">
            <v>48</v>
          </cell>
          <cell r="N944">
            <v>64</v>
          </cell>
          <cell r="O944">
            <v>47</v>
          </cell>
          <cell r="P944">
            <v>74</v>
          </cell>
        </row>
        <row r="945">
          <cell r="B945" t="str">
            <v>Norfolk</v>
          </cell>
          <cell r="C945"/>
          <cell r="D945" t="str">
            <v>N</v>
          </cell>
          <cell r="E945" t="str">
            <v>N</v>
          </cell>
          <cell r="F945" t="str">
            <v>NE</v>
          </cell>
          <cell r="G945" t="str">
            <v>S</v>
          </cell>
          <cell r="H945" t="str">
            <v>S</v>
          </cell>
          <cell r="I945" t="str">
            <v>SSW</v>
          </cell>
          <cell r="J945" t="str">
            <v>SW</v>
          </cell>
          <cell r="K945" t="str">
            <v>SW</v>
          </cell>
          <cell r="L945" t="str">
            <v>NE</v>
          </cell>
          <cell r="M945" t="str">
            <v>NE</v>
          </cell>
          <cell r="N945" t="str">
            <v>SW</v>
          </cell>
          <cell r="O945" t="str">
            <v>N</v>
          </cell>
          <cell r="P945" t="str">
            <v>SW</v>
          </cell>
        </row>
        <row r="946">
          <cell r="B946"/>
          <cell r="C946"/>
          <cell r="D946">
            <v>11</v>
          </cell>
          <cell r="E946">
            <v>12</v>
          </cell>
          <cell r="F946">
            <v>12</v>
          </cell>
          <cell r="G946">
            <v>12</v>
          </cell>
          <cell r="H946">
            <v>10</v>
          </cell>
          <cell r="I946">
            <v>10</v>
          </cell>
          <cell r="J946">
            <v>9</v>
          </cell>
          <cell r="K946">
            <v>9</v>
          </cell>
          <cell r="L946">
            <v>10</v>
          </cell>
          <cell r="M946">
            <v>10</v>
          </cell>
          <cell r="N946">
            <v>11</v>
          </cell>
          <cell r="O946">
            <v>11</v>
          </cell>
          <cell r="P946">
            <v>11</v>
          </cell>
        </row>
        <row r="947">
          <cell r="B947"/>
          <cell r="C947"/>
          <cell r="D947">
            <v>69</v>
          </cell>
          <cell r="E947">
            <v>56</v>
          </cell>
          <cell r="F947">
            <v>66</v>
          </cell>
          <cell r="G947">
            <v>56</v>
          </cell>
          <cell r="H947">
            <v>66</v>
          </cell>
          <cell r="I947">
            <v>69</v>
          </cell>
          <cell r="J947">
            <v>63</v>
          </cell>
          <cell r="K947">
            <v>63</v>
          </cell>
          <cell r="L947">
            <v>67</v>
          </cell>
          <cell r="M947">
            <v>69</v>
          </cell>
          <cell r="N947">
            <v>55</v>
          </cell>
          <cell r="O947">
            <v>53</v>
          </cell>
          <cell r="P947">
            <v>69</v>
          </cell>
        </row>
        <row r="948">
          <cell r="B948" t="str">
            <v>Quantico</v>
          </cell>
          <cell r="C948"/>
          <cell r="D948" t="str">
            <v>NW</v>
          </cell>
          <cell r="E948" t="str">
            <v>NW</v>
          </cell>
          <cell r="F948" t="str">
            <v>NW</v>
          </cell>
          <cell r="G948" t="str">
            <v>S</v>
          </cell>
          <cell r="H948" t="str">
            <v>S</v>
          </cell>
          <cell r="I948" t="str">
            <v>S</v>
          </cell>
          <cell r="J948" t="str">
            <v>S</v>
          </cell>
          <cell r="K948" t="str">
            <v>S</v>
          </cell>
          <cell r="L948" t="str">
            <v>NW</v>
          </cell>
          <cell r="M948" t="str">
            <v>NW</v>
          </cell>
          <cell r="N948" t="str">
            <v>NW</v>
          </cell>
          <cell r="O948" t="str">
            <v>NW</v>
          </cell>
          <cell r="P948" t="str">
            <v>NW</v>
          </cell>
        </row>
        <row r="949">
          <cell r="B949"/>
          <cell r="C949"/>
          <cell r="D949">
            <v>7</v>
          </cell>
          <cell r="E949">
            <v>7</v>
          </cell>
          <cell r="F949">
            <v>8</v>
          </cell>
          <cell r="G949">
            <v>8</v>
          </cell>
          <cell r="H949">
            <v>7</v>
          </cell>
          <cell r="I949">
            <v>6</v>
          </cell>
          <cell r="J949">
            <v>6</v>
          </cell>
          <cell r="K949">
            <v>6</v>
          </cell>
          <cell r="L949">
            <v>6</v>
          </cell>
          <cell r="M949">
            <v>6</v>
          </cell>
          <cell r="N949">
            <v>6</v>
          </cell>
          <cell r="O949">
            <v>6</v>
          </cell>
          <cell r="P949">
            <v>7</v>
          </cell>
        </row>
        <row r="950">
          <cell r="B950"/>
          <cell r="C950"/>
          <cell r="D950">
            <v>61</v>
          </cell>
          <cell r="E950">
            <v>62</v>
          </cell>
          <cell r="F950">
            <v>58</v>
          </cell>
          <cell r="G950">
            <v>45</v>
          </cell>
          <cell r="H950">
            <v>75</v>
          </cell>
          <cell r="I950">
            <v>60</v>
          </cell>
          <cell r="J950">
            <v>55</v>
          </cell>
          <cell r="K950">
            <v>58</v>
          </cell>
          <cell r="L950">
            <v>53</v>
          </cell>
          <cell r="M950">
            <v>71</v>
          </cell>
          <cell r="N950">
            <v>48</v>
          </cell>
          <cell r="O950">
            <v>55</v>
          </cell>
          <cell r="P950">
            <v>75</v>
          </cell>
        </row>
        <row r="951">
          <cell r="B951" t="str">
            <v>Richmond</v>
          </cell>
          <cell r="C951"/>
          <cell r="D951" t="str">
            <v>N</v>
          </cell>
          <cell r="E951" t="str">
            <v>N</v>
          </cell>
          <cell r="F951" t="str">
            <v>N</v>
          </cell>
          <cell r="G951" t="str">
            <v>S</v>
          </cell>
          <cell r="H951" t="str">
            <v>S</v>
          </cell>
          <cell r="I951" t="str">
            <v>S</v>
          </cell>
          <cell r="J951" t="str">
            <v>S</v>
          </cell>
          <cell r="K951" t="str">
            <v>S</v>
          </cell>
          <cell r="L951" t="str">
            <v>N</v>
          </cell>
          <cell r="M951" t="str">
            <v>N</v>
          </cell>
          <cell r="N951" t="str">
            <v>N</v>
          </cell>
          <cell r="O951" t="str">
            <v>N</v>
          </cell>
          <cell r="P951" t="str">
            <v>S</v>
          </cell>
        </row>
        <row r="952">
          <cell r="B952"/>
          <cell r="C952"/>
          <cell r="D952">
            <v>8</v>
          </cell>
          <cell r="E952">
            <v>9</v>
          </cell>
          <cell r="F952">
            <v>9</v>
          </cell>
          <cell r="G952">
            <v>9</v>
          </cell>
          <cell r="H952">
            <v>8</v>
          </cell>
          <cell r="I952">
            <v>8</v>
          </cell>
          <cell r="J952">
            <v>7</v>
          </cell>
          <cell r="K952">
            <v>7</v>
          </cell>
          <cell r="L952">
            <v>7</v>
          </cell>
          <cell r="M952">
            <v>7</v>
          </cell>
          <cell r="N952">
            <v>8</v>
          </cell>
          <cell r="O952">
            <v>8</v>
          </cell>
          <cell r="P952">
            <v>8</v>
          </cell>
        </row>
        <row r="953">
          <cell r="B953"/>
          <cell r="C953"/>
          <cell r="D953">
            <v>48</v>
          </cell>
          <cell r="E953">
            <v>48</v>
          </cell>
          <cell r="F953">
            <v>67</v>
          </cell>
          <cell r="G953">
            <v>49</v>
          </cell>
          <cell r="H953">
            <v>79</v>
          </cell>
          <cell r="I953">
            <v>53</v>
          </cell>
          <cell r="J953">
            <v>61</v>
          </cell>
          <cell r="K953">
            <v>48</v>
          </cell>
          <cell r="L953">
            <v>49</v>
          </cell>
          <cell r="M953">
            <v>49</v>
          </cell>
          <cell r="N953">
            <v>54</v>
          </cell>
          <cell r="O953">
            <v>49</v>
          </cell>
          <cell r="P953">
            <v>79</v>
          </cell>
        </row>
        <row r="954">
          <cell r="B954" t="str">
            <v>Roanoke</v>
          </cell>
          <cell r="C954"/>
          <cell r="D954" t="str">
            <v>WNW</v>
          </cell>
          <cell r="E954" t="str">
            <v>WNW</v>
          </cell>
          <cell r="F954" t="str">
            <v>WNW</v>
          </cell>
          <cell r="G954" t="str">
            <v>WNW</v>
          </cell>
          <cell r="H954" t="str">
            <v>WNW</v>
          </cell>
          <cell r="I954" t="str">
            <v>WNW</v>
          </cell>
          <cell r="J954" t="str">
            <v>WNW</v>
          </cell>
          <cell r="K954" t="str">
            <v>WNW</v>
          </cell>
          <cell r="L954" t="str">
            <v>WNW</v>
          </cell>
          <cell r="M954" t="str">
            <v>WNW</v>
          </cell>
          <cell r="N954" t="str">
            <v>WNW</v>
          </cell>
          <cell r="O954" t="str">
            <v>WNW</v>
          </cell>
          <cell r="P954" t="str">
            <v>WNW</v>
          </cell>
        </row>
        <row r="955">
          <cell r="B955"/>
          <cell r="C955"/>
          <cell r="D955">
            <v>9</v>
          </cell>
          <cell r="E955">
            <v>10</v>
          </cell>
          <cell r="F955">
            <v>10</v>
          </cell>
          <cell r="G955">
            <v>10</v>
          </cell>
          <cell r="H955">
            <v>8</v>
          </cell>
          <cell r="I955">
            <v>7</v>
          </cell>
          <cell r="J955">
            <v>7</v>
          </cell>
          <cell r="K955">
            <v>6</v>
          </cell>
          <cell r="L955">
            <v>6</v>
          </cell>
          <cell r="M955">
            <v>7</v>
          </cell>
          <cell r="N955">
            <v>8</v>
          </cell>
          <cell r="O955">
            <v>9</v>
          </cell>
          <cell r="P955">
            <v>8</v>
          </cell>
        </row>
        <row r="956">
          <cell r="B956"/>
          <cell r="C956"/>
          <cell r="D956">
            <v>56</v>
          </cell>
          <cell r="E956">
            <v>59</v>
          </cell>
          <cell r="F956">
            <v>52</v>
          </cell>
          <cell r="G956">
            <v>77</v>
          </cell>
          <cell r="H956">
            <v>59</v>
          </cell>
          <cell r="I956">
            <v>72</v>
          </cell>
          <cell r="J956">
            <v>45</v>
          </cell>
          <cell r="K956">
            <v>39</v>
          </cell>
          <cell r="L956">
            <v>54</v>
          </cell>
          <cell r="M956">
            <v>44</v>
          </cell>
          <cell r="N956">
            <v>55</v>
          </cell>
          <cell r="O956">
            <v>53</v>
          </cell>
          <cell r="P956">
            <v>77</v>
          </cell>
        </row>
        <row r="957">
          <cell r="C957"/>
          <cell r="D957"/>
          <cell r="E957"/>
          <cell r="F957"/>
          <cell r="G957"/>
          <cell r="H957"/>
          <cell r="I957"/>
          <cell r="J957"/>
          <cell r="K957"/>
          <cell r="L957"/>
          <cell r="M957"/>
          <cell r="N957"/>
          <cell r="O957"/>
          <cell r="P957"/>
        </row>
        <row r="958">
          <cell r="B958" t="str">
            <v>Everett</v>
          </cell>
          <cell r="C958"/>
          <cell r="D958" t="str">
            <v>SE</v>
          </cell>
          <cell r="E958" t="str">
            <v>SSE</v>
          </cell>
          <cell r="F958" t="str">
            <v>SSE</v>
          </cell>
          <cell r="G958" t="str">
            <v>SSE</v>
          </cell>
          <cell r="H958" t="str">
            <v>N</v>
          </cell>
          <cell r="I958" t="str">
            <v>N</v>
          </cell>
          <cell r="J958" t="str">
            <v>N</v>
          </cell>
          <cell r="K958" t="str">
            <v>N</v>
          </cell>
          <cell r="L958" t="str">
            <v>N</v>
          </cell>
          <cell r="M958" t="str">
            <v>SE</v>
          </cell>
          <cell r="N958" t="str">
            <v>SE</v>
          </cell>
          <cell r="O958" t="str">
            <v>SE</v>
          </cell>
          <cell r="P958" t="str">
            <v>SSE</v>
          </cell>
        </row>
        <row r="959">
          <cell r="B959"/>
          <cell r="C959"/>
          <cell r="D959">
            <v>8</v>
          </cell>
          <cell r="E959">
            <v>8</v>
          </cell>
          <cell r="F959">
            <v>8</v>
          </cell>
          <cell r="G959">
            <v>8</v>
          </cell>
          <cell r="H959">
            <v>7</v>
          </cell>
          <cell r="I959">
            <v>7</v>
          </cell>
          <cell r="J959">
            <v>7</v>
          </cell>
          <cell r="K959">
            <v>7</v>
          </cell>
          <cell r="L959">
            <v>7</v>
          </cell>
          <cell r="M959">
            <v>7</v>
          </cell>
          <cell r="N959">
            <v>7</v>
          </cell>
          <cell r="O959">
            <v>8</v>
          </cell>
          <cell r="P959">
            <v>7</v>
          </cell>
        </row>
        <row r="960">
          <cell r="B960"/>
          <cell r="C960"/>
          <cell r="D960">
            <v>51</v>
          </cell>
          <cell r="E960">
            <v>62</v>
          </cell>
          <cell r="F960">
            <v>46</v>
          </cell>
          <cell r="G960">
            <v>55</v>
          </cell>
          <cell r="H960">
            <v>46</v>
          </cell>
          <cell r="I960">
            <v>40</v>
          </cell>
          <cell r="J960">
            <v>35</v>
          </cell>
          <cell r="K960">
            <v>30</v>
          </cell>
          <cell r="L960">
            <v>39</v>
          </cell>
          <cell r="M960">
            <v>81</v>
          </cell>
          <cell r="N960">
            <v>51</v>
          </cell>
          <cell r="O960">
            <v>46</v>
          </cell>
          <cell r="P960">
            <v>81</v>
          </cell>
        </row>
        <row r="961">
          <cell r="B961" t="str">
            <v>Olympia</v>
          </cell>
          <cell r="C961"/>
          <cell r="D961" t="str">
            <v>SSW</v>
          </cell>
          <cell r="E961" t="str">
            <v>SSW</v>
          </cell>
          <cell r="F961" t="str">
            <v>SSW</v>
          </cell>
          <cell r="G961" t="str">
            <v>SSW</v>
          </cell>
          <cell r="H961" t="str">
            <v>SSW</v>
          </cell>
          <cell r="I961" t="str">
            <v>SSW</v>
          </cell>
          <cell r="J961" t="str">
            <v>SSW</v>
          </cell>
          <cell r="K961" t="str">
            <v>SSW</v>
          </cell>
          <cell r="L961" t="str">
            <v>SSW</v>
          </cell>
          <cell r="M961" t="str">
            <v>SSW</v>
          </cell>
          <cell r="N961" t="str">
            <v>SSW</v>
          </cell>
          <cell r="O961" t="str">
            <v>SSW</v>
          </cell>
          <cell r="P961" t="str">
            <v>SSW</v>
          </cell>
        </row>
        <row r="962">
          <cell r="B962"/>
          <cell r="C962"/>
          <cell r="D962">
            <v>7</v>
          </cell>
          <cell r="E962">
            <v>7</v>
          </cell>
          <cell r="F962">
            <v>7</v>
          </cell>
          <cell r="G962">
            <v>7</v>
          </cell>
          <cell r="H962">
            <v>7</v>
          </cell>
          <cell r="I962">
            <v>7</v>
          </cell>
          <cell r="J962">
            <v>6</v>
          </cell>
          <cell r="K962">
            <v>6</v>
          </cell>
          <cell r="L962">
            <v>6</v>
          </cell>
          <cell r="M962">
            <v>6</v>
          </cell>
          <cell r="N962">
            <v>7</v>
          </cell>
          <cell r="O962">
            <v>7</v>
          </cell>
          <cell r="P962">
            <v>7</v>
          </cell>
        </row>
        <row r="963">
          <cell r="B963"/>
          <cell r="C963"/>
          <cell r="D963">
            <v>58</v>
          </cell>
          <cell r="E963">
            <v>43</v>
          </cell>
          <cell r="F963">
            <v>51</v>
          </cell>
          <cell r="G963">
            <v>43</v>
          </cell>
          <cell r="H963">
            <v>38</v>
          </cell>
          <cell r="I963">
            <v>38</v>
          </cell>
          <cell r="J963">
            <v>32</v>
          </cell>
          <cell r="K963">
            <v>37</v>
          </cell>
          <cell r="L963">
            <v>38</v>
          </cell>
          <cell r="M963">
            <v>45</v>
          </cell>
          <cell r="N963">
            <v>47</v>
          </cell>
          <cell r="O963">
            <v>66</v>
          </cell>
          <cell r="P963">
            <v>66</v>
          </cell>
        </row>
        <row r="964">
          <cell r="B964" t="str">
            <v>Quillayute</v>
          </cell>
          <cell r="C964"/>
          <cell r="D964" t="str">
            <v>NE</v>
          </cell>
          <cell r="E964" t="str">
            <v>NE</v>
          </cell>
          <cell r="F964" t="str">
            <v>NE</v>
          </cell>
          <cell r="G964" t="str">
            <v>NE</v>
          </cell>
          <cell r="H964" t="str">
            <v>S</v>
          </cell>
          <cell r="I964" t="str">
            <v>S</v>
          </cell>
          <cell r="J964" t="str">
            <v>S</v>
          </cell>
          <cell r="K964" t="str">
            <v>S</v>
          </cell>
          <cell r="L964" t="str">
            <v>WNW</v>
          </cell>
          <cell r="M964" t="str">
            <v>WNW</v>
          </cell>
          <cell r="N964" t="str">
            <v>WNW</v>
          </cell>
          <cell r="O964" t="str">
            <v>WNW</v>
          </cell>
          <cell r="P964" t="str">
            <v>S</v>
          </cell>
        </row>
        <row r="965">
          <cell r="B965"/>
          <cell r="C965"/>
          <cell r="D965">
            <v>7</v>
          </cell>
          <cell r="E965">
            <v>7</v>
          </cell>
          <cell r="F965">
            <v>6</v>
          </cell>
          <cell r="G965">
            <v>6</v>
          </cell>
          <cell r="H965">
            <v>6</v>
          </cell>
          <cell r="I965">
            <v>6</v>
          </cell>
          <cell r="J965">
            <v>5</v>
          </cell>
          <cell r="K965">
            <v>5</v>
          </cell>
          <cell r="L965">
            <v>5</v>
          </cell>
          <cell r="M965">
            <v>5</v>
          </cell>
          <cell r="N965">
            <v>6</v>
          </cell>
          <cell r="O965">
            <v>6</v>
          </cell>
          <cell r="P965">
            <v>6</v>
          </cell>
        </row>
        <row r="966">
          <cell r="B966"/>
          <cell r="C966"/>
          <cell r="D966">
            <v>55</v>
          </cell>
          <cell r="E966">
            <v>56</v>
          </cell>
          <cell r="F966">
            <v>46</v>
          </cell>
          <cell r="G966">
            <v>40</v>
          </cell>
          <cell r="H966">
            <v>41</v>
          </cell>
          <cell r="I966">
            <v>44</v>
          </cell>
          <cell r="J966">
            <v>26</v>
          </cell>
          <cell r="K966">
            <v>48</v>
          </cell>
          <cell r="L966">
            <v>36</v>
          </cell>
          <cell r="M966">
            <v>44</v>
          </cell>
          <cell r="N966">
            <v>54</v>
          </cell>
          <cell r="O966">
            <v>58</v>
          </cell>
          <cell r="P966">
            <v>58</v>
          </cell>
        </row>
        <row r="967">
          <cell r="B967" t="str">
            <v>Seattle</v>
          </cell>
          <cell r="C967"/>
          <cell r="D967" t="str">
            <v>S</v>
          </cell>
          <cell r="E967" t="str">
            <v>S</v>
          </cell>
          <cell r="F967" t="str">
            <v>S</v>
          </cell>
          <cell r="G967" t="str">
            <v>SSW</v>
          </cell>
          <cell r="H967" t="str">
            <v>SSW</v>
          </cell>
          <cell r="I967" t="str">
            <v>SSW</v>
          </cell>
          <cell r="J967" t="str">
            <v>SSW</v>
          </cell>
          <cell r="K967" t="str">
            <v>SSW</v>
          </cell>
          <cell r="L967" t="str">
            <v>N</v>
          </cell>
          <cell r="M967" t="str">
            <v>S</v>
          </cell>
          <cell r="N967" t="str">
            <v>S</v>
          </cell>
          <cell r="O967" t="str">
            <v>S</v>
          </cell>
          <cell r="P967" t="str">
            <v>S</v>
          </cell>
        </row>
        <row r="968">
          <cell r="B968"/>
          <cell r="C968"/>
          <cell r="D968">
            <v>10</v>
          </cell>
          <cell r="E968">
            <v>10</v>
          </cell>
          <cell r="F968">
            <v>10</v>
          </cell>
          <cell r="G968">
            <v>10</v>
          </cell>
          <cell r="H968">
            <v>9</v>
          </cell>
          <cell r="I968">
            <v>9</v>
          </cell>
          <cell r="J968">
            <v>8</v>
          </cell>
          <cell r="K968">
            <v>8</v>
          </cell>
          <cell r="L968">
            <v>8</v>
          </cell>
          <cell r="M968">
            <v>9</v>
          </cell>
          <cell r="N968">
            <v>9</v>
          </cell>
          <cell r="O968">
            <v>10</v>
          </cell>
          <cell r="P968">
            <v>9</v>
          </cell>
        </row>
        <row r="969">
          <cell r="B969"/>
          <cell r="C969"/>
          <cell r="D969">
            <v>64</v>
          </cell>
          <cell r="E969">
            <v>46</v>
          </cell>
          <cell r="F969">
            <v>46</v>
          </cell>
          <cell r="G969">
            <v>44</v>
          </cell>
          <cell r="H969">
            <v>39</v>
          </cell>
          <cell r="I969">
            <v>33</v>
          </cell>
          <cell r="J969">
            <v>29</v>
          </cell>
          <cell r="K969">
            <v>38</v>
          </cell>
          <cell r="L969">
            <v>39</v>
          </cell>
          <cell r="M969">
            <v>45</v>
          </cell>
          <cell r="N969">
            <v>52</v>
          </cell>
          <cell r="O969">
            <v>60</v>
          </cell>
          <cell r="P969">
            <v>64</v>
          </cell>
        </row>
        <row r="970">
          <cell r="B970" t="str">
            <v>Seattle City Office</v>
          </cell>
          <cell r="D970" t="str">
            <v>N/A</v>
          </cell>
          <cell r="E970" t="str">
            <v>N/A</v>
          </cell>
          <cell r="F970" t="str">
            <v>N/A</v>
          </cell>
          <cell r="G970" t="str">
            <v>N/A</v>
          </cell>
          <cell r="H970" t="str">
            <v>N/A</v>
          </cell>
          <cell r="I970" t="str">
            <v>N/A</v>
          </cell>
          <cell r="J970" t="str">
            <v>N/A</v>
          </cell>
          <cell r="K970" t="str">
            <v>N/A</v>
          </cell>
          <cell r="L970" t="str">
            <v>N/A</v>
          </cell>
          <cell r="M970" t="str">
            <v>N/A</v>
          </cell>
          <cell r="N970" t="str">
            <v>N/A</v>
          </cell>
          <cell r="O970" t="str">
            <v>N/A</v>
          </cell>
          <cell r="P970" t="str">
            <v>N/A</v>
          </cell>
        </row>
        <row r="971">
          <cell r="D971" t="str">
            <v>N/A</v>
          </cell>
          <cell r="E971" t="str">
            <v>N/A</v>
          </cell>
          <cell r="F971" t="str">
            <v>N/A</v>
          </cell>
          <cell r="G971" t="str">
            <v>N/A</v>
          </cell>
          <cell r="H971" t="str">
            <v>N/A</v>
          </cell>
          <cell r="I971" t="str">
            <v>N/A</v>
          </cell>
          <cell r="J971" t="str">
            <v>N/A</v>
          </cell>
          <cell r="K971" t="str">
            <v>N/A</v>
          </cell>
          <cell r="L971" t="str">
            <v>N/A</v>
          </cell>
          <cell r="M971" t="str">
            <v>N/A</v>
          </cell>
          <cell r="N971" t="str">
            <v>N/A</v>
          </cell>
          <cell r="O971" t="str">
            <v>N/A</v>
          </cell>
          <cell r="P971" t="str">
            <v>N/A</v>
          </cell>
        </row>
        <row r="972">
          <cell r="D972">
            <v>51</v>
          </cell>
          <cell r="E972">
            <v>49</v>
          </cell>
          <cell r="F972">
            <v>54</v>
          </cell>
          <cell r="G972">
            <v>44</v>
          </cell>
          <cell r="H972">
            <v>46</v>
          </cell>
          <cell r="I972">
            <v>37</v>
          </cell>
          <cell r="J972">
            <v>39</v>
          </cell>
          <cell r="K972">
            <v>33</v>
          </cell>
          <cell r="L972">
            <v>33</v>
          </cell>
          <cell r="M972">
            <v>41</v>
          </cell>
          <cell r="N972">
            <v>63</v>
          </cell>
          <cell r="O972">
            <v>46</v>
          </cell>
          <cell r="P972">
            <v>63</v>
          </cell>
        </row>
        <row r="973">
          <cell r="B973" t="str">
            <v>Spokane</v>
          </cell>
          <cell r="C973"/>
          <cell r="D973" t="str">
            <v>NE</v>
          </cell>
          <cell r="E973" t="str">
            <v>NE</v>
          </cell>
          <cell r="F973" t="str">
            <v>ENE</v>
          </cell>
          <cell r="G973" t="str">
            <v>ENE</v>
          </cell>
          <cell r="H973" t="str">
            <v>SW</v>
          </cell>
          <cell r="I973" t="str">
            <v>SW</v>
          </cell>
          <cell r="J973" t="str">
            <v>SW</v>
          </cell>
          <cell r="K973" t="str">
            <v>SW</v>
          </cell>
          <cell r="L973" t="str">
            <v>SW</v>
          </cell>
          <cell r="M973" t="str">
            <v>SW</v>
          </cell>
          <cell r="N973" t="str">
            <v>SW</v>
          </cell>
          <cell r="O973" t="str">
            <v>SW</v>
          </cell>
          <cell r="P973" t="str">
            <v>SW</v>
          </cell>
        </row>
        <row r="974">
          <cell r="B974"/>
          <cell r="C974"/>
          <cell r="D974">
            <v>9</v>
          </cell>
          <cell r="E974">
            <v>9</v>
          </cell>
          <cell r="F974">
            <v>10</v>
          </cell>
          <cell r="G974">
            <v>10</v>
          </cell>
          <cell r="H974">
            <v>9</v>
          </cell>
          <cell r="I974">
            <v>9</v>
          </cell>
          <cell r="J974">
            <v>9</v>
          </cell>
          <cell r="K974">
            <v>8</v>
          </cell>
          <cell r="L974">
            <v>8</v>
          </cell>
          <cell r="M974">
            <v>8</v>
          </cell>
          <cell r="N974">
            <v>9</v>
          </cell>
          <cell r="O974">
            <v>8</v>
          </cell>
          <cell r="P974">
            <v>9</v>
          </cell>
        </row>
        <row r="975">
          <cell r="C975"/>
          <cell r="D975">
            <v>56</v>
          </cell>
          <cell r="E975">
            <v>51</v>
          </cell>
          <cell r="F975">
            <v>52</v>
          </cell>
          <cell r="G975">
            <v>62</v>
          </cell>
          <cell r="H975">
            <v>53</v>
          </cell>
          <cell r="I975">
            <v>49</v>
          </cell>
          <cell r="J975">
            <v>51</v>
          </cell>
          <cell r="K975">
            <v>47</v>
          </cell>
          <cell r="L975">
            <v>47</v>
          </cell>
          <cell r="M975">
            <v>62</v>
          </cell>
          <cell r="N975">
            <v>56</v>
          </cell>
          <cell r="O975">
            <v>63</v>
          </cell>
          <cell r="P975">
            <v>63</v>
          </cell>
        </row>
        <row r="976">
          <cell r="B976" t="str">
            <v>Walla Walla</v>
          </cell>
          <cell r="C976"/>
          <cell r="D976" t="str">
            <v>S</v>
          </cell>
          <cell r="E976" t="str">
            <v>S</v>
          </cell>
          <cell r="F976" t="str">
            <v>S</v>
          </cell>
          <cell r="G976" t="str">
            <v>S</v>
          </cell>
          <cell r="H976" t="str">
            <v>S</v>
          </cell>
          <cell r="I976" t="str">
            <v>S</v>
          </cell>
          <cell r="J976" t="str">
            <v>S</v>
          </cell>
          <cell r="K976" t="str">
            <v>S</v>
          </cell>
          <cell r="L976" t="str">
            <v>S</v>
          </cell>
          <cell r="M976" t="str">
            <v>S</v>
          </cell>
          <cell r="N976" t="str">
            <v>S</v>
          </cell>
          <cell r="O976" t="str">
            <v>S</v>
          </cell>
          <cell r="P976" t="str">
            <v>S</v>
          </cell>
        </row>
        <row r="977">
          <cell r="B977"/>
          <cell r="C977"/>
          <cell r="D977">
            <v>5</v>
          </cell>
          <cell r="E977">
            <v>6</v>
          </cell>
          <cell r="F977">
            <v>6</v>
          </cell>
          <cell r="G977">
            <v>6</v>
          </cell>
          <cell r="H977">
            <v>6</v>
          </cell>
          <cell r="I977">
            <v>6</v>
          </cell>
          <cell r="J977">
            <v>5</v>
          </cell>
          <cell r="K977">
            <v>5</v>
          </cell>
          <cell r="L977">
            <v>5</v>
          </cell>
          <cell r="M977">
            <v>5</v>
          </cell>
          <cell r="N977">
            <v>5</v>
          </cell>
          <cell r="O977">
            <v>5</v>
          </cell>
          <cell r="P977">
            <v>5</v>
          </cell>
        </row>
        <row r="978">
          <cell r="C978"/>
          <cell r="D978">
            <v>49</v>
          </cell>
          <cell r="E978">
            <v>47</v>
          </cell>
          <cell r="F978">
            <v>62</v>
          </cell>
          <cell r="G978">
            <v>41</v>
          </cell>
          <cell r="H978">
            <v>37</v>
          </cell>
          <cell r="I978">
            <v>37</v>
          </cell>
          <cell r="J978">
            <v>36</v>
          </cell>
          <cell r="K978">
            <v>35</v>
          </cell>
          <cell r="L978">
            <v>51</v>
          </cell>
          <cell r="M978">
            <v>54</v>
          </cell>
          <cell r="N978">
            <v>67</v>
          </cell>
          <cell r="O978">
            <v>47</v>
          </cell>
          <cell r="P978">
            <v>67</v>
          </cell>
        </row>
        <row r="979">
          <cell r="B979" t="str">
            <v>Whidbey Island</v>
          </cell>
          <cell r="C979"/>
          <cell r="D979" t="str">
            <v>ESE</v>
          </cell>
          <cell r="E979" t="str">
            <v>SE</v>
          </cell>
          <cell r="F979" t="str">
            <v>SSE</v>
          </cell>
          <cell r="G979" t="str">
            <v>W</v>
          </cell>
          <cell r="H979" t="str">
            <v>W</v>
          </cell>
          <cell r="I979" t="str">
            <v>W</v>
          </cell>
          <cell r="J979" t="str">
            <v>W</v>
          </cell>
          <cell r="K979" t="str">
            <v>W</v>
          </cell>
          <cell r="L979" t="str">
            <v>W</v>
          </cell>
          <cell r="M979" t="str">
            <v>SE</v>
          </cell>
          <cell r="N979" t="str">
            <v>ESE</v>
          </cell>
          <cell r="O979" t="str">
            <v>SE</v>
          </cell>
          <cell r="P979" t="str">
            <v>W</v>
          </cell>
        </row>
        <row r="980">
          <cell r="B980"/>
          <cell r="C980"/>
          <cell r="D980">
            <v>7</v>
          </cell>
          <cell r="E980">
            <v>8</v>
          </cell>
          <cell r="F980">
            <v>8</v>
          </cell>
          <cell r="G980">
            <v>7</v>
          </cell>
          <cell r="H980">
            <v>6</v>
          </cell>
          <cell r="I980">
            <v>6</v>
          </cell>
          <cell r="J980">
            <v>5</v>
          </cell>
          <cell r="K980">
            <v>5</v>
          </cell>
          <cell r="L980">
            <v>5</v>
          </cell>
          <cell r="M980">
            <v>6</v>
          </cell>
          <cell r="N980">
            <v>8</v>
          </cell>
          <cell r="O980">
            <v>8</v>
          </cell>
          <cell r="P980">
            <v>6</v>
          </cell>
        </row>
        <row r="981">
          <cell r="C981"/>
          <cell r="D981">
            <v>69</v>
          </cell>
          <cell r="E981">
            <v>67</v>
          </cell>
          <cell r="F981">
            <v>62</v>
          </cell>
          <cell r="G981">
            <v>61</v>
          </cell>
          <cell r="H981">
            <v>54</v>
          </cell>
          <cell r="I981">
            <v>45</v>
          </cell>
          <cell r="J981">
            <v>53</v>
          </cell>
          <cell r="K981">
            <v>51</v>
          </cell>
          <cell r="L981">
            <v>59</v>
          </cell>
          <cell r="M981">
            <v>70</v>
          </cell>
          <cell r="N981">
            <v>70</v>
          </cell>
          <cell r="O981">
            <v>69</v>
          </cell>
          <cell r="P981">
            <v>70</v>
          </cell>
        </row>
        <row r="982">
          <cell r="B982" t="str">
            <v>Yakima</v>
          </cell>
          <cell r="C982"/>
          <cell r="D982" t="str">
            <v>W</v>
          </cell>
          <cell r="E982" t="str">
            <v>W</v>
          </cell>
          <cell r="F982" t="str">
            <v>W</v>
          </cell>
          <cell r="G982" t="str">
            <v>W</v>
          </cell>
          <cell r="H982" t="str">
            <v>W</v>
          </cell>
          <cell r="I982" t="str">
            <v>W</v>
          </cell>
          <cell r="J982" t="str">
            <v>W</v>
          </cell>
          <cell r="K982" t="str">
            <v>W</v>
          </cell>
          <cell r="L982" t="str">
            <v>W</v>
          </cell>
          <cell r="M982" t="str">
            <v>W</v>
          </cell>
          <cell r="N982" t="str">
            <v>W</v>
          </cell>
          <cell r="O982" t="str">
            <v>W</v>
          </cell>
          <cell r="P982" t="str">
            <v>W</v>
          </cell>
        </row>
        <row r="983">
          <cell r="B983"/>
          <cell r="C983"/>
          <cell r="D983">
            <v>6</v>
          </cell>
          <cell r="E983">
            <v>6</v>
          </cell>
          <cell r="F983">
            <v>8</v>
          </cell>
          <cell r="G983">
            <v>9</v>
          </cell>
          <cell r="H983">
            <v>8</v>
          </cell>
          <cell r="I983">
            <v>8</v>
          </cell>
          <cell r="J983">
            <v>8</v>
          </cell>
          <cell r="K983">
            <v>8</v>
          </cell>
          <cell r="L983">
            <v>7</v>
          </cell>
          <cell r="M983">
            <v>7</v>
          </cell>
          <cell r="N983">
            <v>6</v>
          </cell>
          <cell r="O983">
            <v>5</v>
          </cell>
          <cell r="P983">
            <v>7</v>
          </cell>
        </row>
        <row r="984">
          <cell r="C984"/>
          <cell r="D984">
            <v>55</v>
          </cell>
          <cell r="E984">
            <v>56</v>
          </cell>
          <cell r="F984">
            <v>51</v>
          </cell>
          <cell r="G984">
            <v>52</v>
          </cell>
          <cell r="H984">
            <v>69</v>
          </cell>
          <cell r="I984">
            <v>51</v>
          </cell>
          <cell r="J984">
            <v>59</v>
          </cell>
          <cell r="K984">
            <v>44</v>
          </cell>
          <cell r="L984">
            <v>55</v>
          </cell>
          <cell r="M984">
            <v>54</v>
          </cell>
          <cell r="N984">
            <v>58</v>
          </cell>
          <cell r="O984">
            <v>61</v>
          </cell>
          <cell r="P984">
            <v>69</v>
          </cell>
        </row>
        <row r="985">
          <cell r="C985"/>
          <cell r="D985"/>
          <cell r="E985"/>
          <cell r="F985"/>
          <cell r="G985"/>
          <cell r="H985"/>
          <cell r="I985"/>
          <cell r="J985"/>
          <cell r="K985"/>
          <cell r="L985"/>
          <cell r="M985"/>
          <cell r="N985"/>
          <cell r="O985"/>
          <cell r="P985"/>
        </row>
        <row r="986">
          <cell r="B986" t="str">
            <v>Beckley</v>
          </cell>
          <cell r="C986"/>
          <cell r="D986" t="str">
            <v>WNW</v>
          </cell>
          <cell r="E986" t="str">
            <v>WNW</v>
          </cell>
          <cell r="F986" t="str">
            <v>SE</v>
          </cell>
          <cell r="G986" t="str">
            <v>WNW</v>
          </cell>
          <cell r="H986" t="str">
            <v>SE</v>
          </cell>
          <cell r="I986" t="str">
            <v>WSW</v>
          </cell>
          <cell r="J986" t="str">
            <v>WSW</v>
          </cell>
          <cell r="K986" t="str">
            <v>SE</v>
          </cell>
          <cell r="L986" t="str">
            <v>SE</v>
          </cell>
          <cell r="M986" t="str">
            <v>SE</v>
          </cell>
          <cell r="N986" t="str">
            <v>SE</v>
          </cell>
          <cell r="O986" t="str">
            <v>SE</v>
          </cell>
          <cell r="P986" t="str">
            <v>SE</v>
          </cell>
        </row>
        <row r="987">
          <cell r="B987"/>
          <cell r="C987"/>
          <cell r="D987">
            <v>10</v>
          </cell>
          <cell r="E987">
            <v>10</v>
          </cell>
          <cell r="F987">
            <v>10</v>
          </cell>
          <cell r="G987">
            <v>10</v>
          </cell>
          <cell r="H987">
            <v>8</v>
          </cell>
          <cell r="I987">
            <v>7</v>
          </cell>
          <cell r="J987">
            <v>7</v>
          </cell>
          <cell r="K987">
            <v>7</v>
          </cell>
          <cell r="L987">
            <v>7</v>
          </cell>
          <cell r="M987">
            <v>8</v>
          </cell>
          <cell r="N987">
            <v>9</v>
          </cell>
          <cell r="O987">
            <v>10</v>
          </cell>
          <cell r="P987">
            <v>9</v>
          </cell>
        </row>
        <row r="988">
          <cell r="B988"/>
          <cell r="C988"/>
          <cell r="D988">
            <v>51</v>
          </cell>
          <cell r="E988">
            <v>62</v>
          </cell>
          <cell r="F988">
            <v>48</v>
          </cell>
          <cell r="G988">
            <v>48</v>
          </cell>
          <cell r="H988">
            <v>56</v>
          </cell>
          <cell r="I988">
            <v>53</v>
          </cell>
          <cell r="J988">
            <v>51</v>
          </cell>
          <cell r="K988">
            <v>46</v>
          </cell>
          <cell r="L988">
            <v>48</v>
          </cell>
          <cell r="M988">
            <v>43</v>
          </cell>
          <cell r="N988">
            <v>60</v>
          </cell>
          <cell r="O988">
            <v>53</v>
          </cell>
          <cell r="P988">
            <v>62</v>
          </cell>
        </row>
        <row r="989">
          <cell r="B989" t="str">
            <v>Charleston</v>
          </cell>
          <cell r="C989"/>
          <cell r="D989" t="str">
            <v>WSW</v>
          </cell>
          <cell r="E989" t="str">
            <v>WSW</v>
          </cell>
          <cell r="F989" t="str">
            <v>WSW</v>
          </cell>
          <cell r="G989" t="str">
            <v>WSW</v>
          </cell>
          <cell r="H989" t="str">
            <v>WSW</v>
          </cell>
          <cell r="I989" t="str">
            <v>WSW</v>
          </cell>
          <cell r="J989" t="str">
            <v>WSW</v>
          </cell>
          <cell r="K989" t="str">
            <v>WSW</v>
          </cell>
          <cell r="L989" t="str">
            <v>WSW</v>
          </cell>
          <cell r="M989" t="str">
            <v>WSW</v>
          </cell>
          <cell r="N989" t="str">
            <v>WSW</v>
          </cell>
          <cell r="O989" t="str">
            <v>WSW</v>
          </cell>
          <cell r="P989" t="str">
            <v>WSW</v>
          </cell>
        </row>
        <row r="990">
          <cell r="B990"/>
          <cell r="C990"/>
          <cell r="D990">
            <v>7</v>
          </cell>
          <cell r="E990">
            <v>7</v>
          </cell>
          <cell r="F990">
            <v>8</v>
          </cell>
          <cell r="G990">
            <v>7</v>
          </cell>
          <cell r="H990">
            <v>6</v>
          </cell>
          <cell r="I990">
            <v>5</v>
          </cell>
          <cell r="J990">
            <v>5</v>
          </cell>
          <cell r="K990">
            <v>4</v>
          </cell>
          <cell r="L990">
            <v>5</v>
          </cell>
          <cell r="M990">
            <v>5</v>
          </cell>
          <cell r="N990">
            <v>6</v>
          </cell>
          <cell r="O990">
            <v>7</v>
          </cell>
          <cell r="P990">
            <v>6</v>
          </cell>
        </row>
        <row r="991">
          <cell r="B991"/>
          <cell r="C991"/>
          <cell r="D991">
            <v>46</v>
          </cell>
          <cell r="E991">
            <v>32</v>
          </cell>
          <cell r="F991">
            <v>38</v>
          </cell>
          <cell r="G991">
            <v>43</v>
          </cell>
          <cell r="H991">
            <v>41</v>
          </cell>
          <cell r="I991">
            <v>37</v>
          </cell>
          <cell r="J991">
            <v>46</v>
          </cell>
          <cell r="K991">
            <v>21</v>
          </cell>
          <cell r="L991">
            <v>30</v>
          </cell>
          <cell r="M991">
            <v>39</v>
          </cell>
          <cell r="N991">
            <v>37</v>
          </cell>
          <cell r="O991">
            <v>29</v>
          </cell>
          <cell r="P991">
            <v>46</v>
          </cell>
        </row>
        <row r="992">
          <cell r="B992" t="str">
            <v>Elkins</v>
          </cell>
          <cell r="C992"/>
          <cell r="D992" t="str">
            <v>WNW</v>
          </cell>
          <cell r="E992" t="str">
            <v>WNW</v>
          </cell>
          <cell r="F992" t="str">
            <v>WNW</v>
          </cell>
          <cell r="G992" t="str">
            <v>NW</v>
          </cell>
          <cell r="H992" t="str">
            <v>NW</v>
          </cell>
          <cell r="I992" t="str">
            <v>WNW</v>
          </cell>
          <cell r="J992" t="str">
            <v>WNW</v>
          </cell>
          <cell r="K992" t="str">
            <v>WNW</v>
          </cell>
          <cell r="L992" t="str">
            <v>WNW</v>
          </cell>
          <cell r="M992" t="str">
            <v>WNW</v>
          </cell>
          <cell r="N992" t="str">
            <v>WNW</v>
          </cell>
          <cell r="O992" t="str">
            <v>W</v>
          </cell>
          <cell r="P992" t="str">
            <v>WNW</v>
          </cell>
        </row>
        <row r="993">
          <cell r="B993"/>
          <cell r="C993"/>
          <cell r="D993">
            <v>7</v>
          </cell>
          <cell r="E993">
            <v>8</v>
          </cell>
          <cell r="F993">
            <v>8</v>
          </cell>
          <cell r="G993">
            <v>8</v>
          </cell>
          <cell r="H993">
            <v>6</v>
          </cell>
          <cell r="I993">
            <v>5</v>
          </cell>
          <cell r="J993">
            <v>4</v>
          </cell>
          <cell r="K993">
            <v>4</v>
          </cell>
          <cell r="L993">
            <v>4</v>
          </cell>
          <cell r="M993">
            <v>5</v>
          </cell>
          <cell r="N993">
            <v>7</v>
          </cell>
          <cell r="O993">
            <v>8</v>
          </cell>
          <cell r="P993">
            <v>6</v>
          </cell>
        </row>
        <row r="994">
          <cell r="B994"/>
          <cell r="C994"/>
          <cell r="D994">
            <v>56</v>
          </cell>
          <cell r="E994">
            <v>49</v>
          </cell>
          <cell r="F994">
            <v>48</v>
          </cell>
          <cell r="G994">
            <v>69</v>
          </cell>
          <cell r="H994">
            <v>60</v>
          </cell>
          <cell r="I994">
            <v>69</v>
          </cell>
          <cell r="J994">
            <v>47</v>
          </cell>
          <cell r="K994">
            <v>46</v>
          </cell>
          <cell r="L994">
            <v>44</v>
          </cell>
          <cell r="M994">
            <v>46</v>
          </cell>
          <cell r="N994">
            <v>59</v>
          </cell>
          <cell r="O994">
            <v>52</v>
          </cell>
          <cell r="P994">
            <v>69</v>
          </cell>
        </row>
        <row r="995">
          <cell r="B995" t="str">
            <v>Huntington</v>
          </cell>
          <cell r="C995"/>
          <cell r="D995" t="str">
            <v>WSW</v>
          </cell>
          <cell r="E995" t="str">
            <v>WSW</v>
          </cell>
          <cell r="F995" t="str">
            <v>WSW</v>
          </cell>
          <cell r="G995" t="str">
            <v>WSW</v>
          </cell>
          <cell r="H995" t="str">
            <v>WSW</v>
          </cell>
          <cell r="I995" t="str">
            <v>WSW</v>
          </cell>
          <cell r="J995" t="str">
            <v>WSW</v>
          </cell>
          <cell r="K995" t="str">
            <v>WSW</v>
          </cell>
          <cell r="L995" t="str">
            <v>WSW</v>
          </cell>
          <cell r="M995" t="str">
            <v>WSW</v>
          </cell>
          <cell r="N995" t="str">
            <v>SW</v>
          </cell>
          <cell r="O995" t="str">
            <v>SW</v>
          </cell>
          <cell r="P995" t="str">
            <v>WSW</v>
          </cell>
        </row>
        <row r="996">
          <cell r="B996"/>
          <cell r="C996"/>
          <cell r="D996">
            <v>8</v>
          </cell>
          <cell r="E996">
            <v>8</v>
          </cell>
          <cell r="F996">
            <v>8</v>
          </cell>
          <cell r="G996">
            <v>8</v>
          </cell>
          <cell r="H996">
            <v>6</v>
          </cell>
          <cell r="I996">
            <v>6</v>
          </cell>
          <cell r="J996">
            <v>5</v>
          </cell>
          <cell r="K996">
            <v>5</v>
          </cell>
          <cell r="L996">
            <v>5</v>
          </cell>
          <cell r="M996">
            <v>6</v>
          </cell>
          <cell r="N996">
            <v>7</v>
          </cell>
          <cell r="O996">
            <v>8</v>
          </cell>
          <cell r="P996">
            <v>7</v>
          </cell>
        </row>
        <row r="997">
          <cell r="B997"/>
          <cell r="C997"/>
          <cell r="D997">
            <v>51</v>
          </cell>
          <cell r="E997">
            <v>53</v>
          </cell>
          <cell r="F997">
            <v>54</v>
          </cell>
          <cell r="G997">
            <v>52</v>
          </cell>
          <cell r="H997">
            <v>55</v>
          </cell>
          <cell r="I997">
            <v>56</v>
          </cell>
          <cell r="J997">
            <v>56</v>
          </cell>
          <cell r="K997">
            <v>49</v>
          </cell>
          <cell r="L997">
            <v>41</v>
          </cell>
          <cell r="M997">
            <v>44</v>
          </cell>
          <cell r="N997">
            <v>55</v>
          </cell>
          <cell r="O997">
            <v>51</v>
          </cell>
          <cell r="P997">
            <v>56</v>
          </cell>
        </row>
        <row r="998">
          <cell r="C998"/>
          <cell r="D998"/>
          <cell r="E998"/>
          <cell r="F998"/>
          <cell r="G998"/>
          <cell r="H998"/>
          <cell r="I998"/>
          <cell r="J998"/>
          <cell r="K998"/>
          <cell r="L998"/>
          <cell r="M998"/>
          <cell r="N998"/>
          <cell r="O998"/>
          <cell r="P998"/>
        </row>
        <row r="999">
          <cell r="B999" t="str">
            <v>Green Bay</v>
          </cell>
          <cell r="C999"/>
          <cell r="D999" t="str">
            <v>W</v>
          </cell>
          <cell r="E999" t="str">
            <v>W</v>
          </cell>
          <cell r="F999" t="str">
            <v>SSW</v>
          </cell>
          <cell r="G999" t="str">
            <v>SSW</v>
          </cell>
          <cell r="H999" t="str">
            <v>NNE</v>
          </cell>
          <cell r="I999" t="str">
            <v>NNE</v>
          </cell>
          <cell r="J999" t="str">
            <v>NNE</v>
          </cell>
          <cell r="K999" t="str">
            <v>NNE</v>
          </cell>
          <cell r="L999" t="str">
            <v>NNE</v>
          </cell>
          <cell r="M999" t="str">
            <v>NNE</v>
          </cell>
          <cell r="N999" t="str">
            <v>SSW</v>
          </cell>
          <cell r="O999" t="str">
            <v>SSW</v>
          </cell>
          <cell r="P999" t="str">
            <v>SSW</v>
          </cell>
        </row>
        <row r="1000">
          <cell r="B1000"/>
          <cell r="C1000"/>
          <cell r="D1000">
            <v>11</v>
          </cell>
          <cell r="E1000">
            <v>10</v>
          </cell>
          <cell r="F1000">
            <v>11</v>
          </cell>
          <cell r="G1000">
            <v>11</v>
          </cell>
          <cell r="H1000">
            <v>10</v>
          </cell>
          <cell r="I1000">
            <v>9</v>
          </cell>
          <cell r="J1000">
            <v>8</v>
          </cell>
          <cell r="K1000">
            <v>8</v>
          </cell>
          <cell r="L1000">
            <v>9</v>
          </cell>
          <cell r="M1000">
            <v>10</v>
          </cell>
          <cell r="N1000">
            <v>11</v>
          </cell>
          <cell r="O1000">
            <v>10</v>
          </cell>
          <cell r="P1000">
            <v>10</v>
          </cell>
        </row>
        <row r="1001">
          <cell r="B1001"/>
          <cell r="C1001"/>
          <cell r="D1001">
            <v>46</v>
          </cell>
          <cell r="E1001">
            <v>46</v>
          </cell>
          <cell r="F1001">
            <v>55</v>
          </cell>
          <cell r="G1001">
            <v>49</v>
          </cell>
          <cell r="H1001">
            <v>81</v>
          </cell>
          <cell r="I1001">
            <v>49</v>
          </cell>
          <cell r="J1001">
            <v>56</v>
          </cell>
          <cell r="K1001">
            <v>54</v>
          </cell>
          <cell r="L1001">
            <v>47</v>
          </cell>
          <cell r="M1001">
            <v>44</v>
          </cell>
          <cell r="N1001">
            <v>49</v>
          </cell>
          <cell r="O1001">
            <v>53</v>
          </cell>
          <cell r="P1001">
            <v>81</v>
          </cell>
        </row>
        <row r="1002">
          <cell r="B1002" t="str">
            <v>La Crosse</v>
          </cell>
          <cell r="C1002"/>
          <cell r="D1002" t="str">
            <v>NW</v>
          </cell>
          <cell r="E1002" t="str">
            <v>NW</v>
          </cell>
          <cell r="F1002" t="str">
            <v>NW</v>
          </cell>
          <cell r="G1002" t="str">
            <v>S</v>
          </cell>
          <cell r="H1002" t="str">
            <v>S</v>
          </cell>
          <cell r="I1002" t="str">
            <v>S</v>
          </cell>
          <cell r="J1002" t="str">
            <v>S</v>
          </cell>
          <cell r="K1002" t="str">
            <v>S</v>
          </cell>
          <cell r="L1002" t="str">
            <v>S</v>
          </cell>
          <cell r="M1002" t="str">
            <v>S</v>
          </cell>
          <cell r="N1002" t="str">
            <v>S</v>
          </cell>
          <cell r="O1002" t="str">
            <v>S</v>
          </cell>
          <cell r="P1002" t="str">
            <v>S</v>
          </cell>
        </row>
        <row r="1003">
          <cell r="B1003"/>
          <cell r="C1003"/>
          <cell r="D1003">
            <v>9</v>
          </cell>
          <cell r="E1003">
            <v>9</v>
          </cell>
          <cell r="F1003">
            <v>10</v>
          </cell>
          <cell r="G1003">
            <v>11</v>
          </cell>
          <cell r="H1003">
            <v>10</v>
          </cell>
          <cell r="I1003">
            <v>9</v>
          </cell>
          <cell r="J1003">
            <v>8</v>
          </cell>
          <cell r="K1003">
            <v>7</v>
          </cell>
          <cell r="L1003">
            <v>8</v>
          </cell>
          <cell r="M1003">
            <v>9</v>
          </cell>
          <cell r="N1003">
            <v>10</v>
          </cell>
          <cell r="O1003">
            <v>9</v>
          </cell>
          <cell r="P1003">
            <v>9</v>
          </cell>
        </row>
        <row r="1004">
          <cell r="B1004"/>
          <cell r="C1004"/>
          <cell r="D1004">
            <v>45</v>
          </cell>
          <cell r="E1004">
            <v>37</v>
          </cell>
          <cell r="F1004">
            <v>40</v>
          </cell>
          <cell r="G1004">
            <v>53</v>
          </cell>
          <cell r="H1004">
            <v>58</v>
          </cell>
          <cell r="I1004">
            <v>63</v>
          </cell>
          <cell r="J1004">
            <v>52</v>
          </cell>
          <cell r="K1004">
            <v>63</v>
          </cell>
          <cell r="L1004">
            <v>40</v>
          </cell>
          <cell r="M1004">
            <v>39</v>
          </cell>
          <cell r="N1004">
            <v>46</v>
          </cell>
          <cell r="O1004">
            <v>43</v>
          </cell>
          <cell r="P1004">
            <v>63</v>
          </cell>
        </row>
        <row r="1005">
          <cell r="B1005" t="str">
            <v>Madison</v>
          </cell>
          <cell r="C1005"/>
          <cell r="D1005" t="str">
            <v>WNW</v>
          </cell>
          <cell r="E1005" t="str">
            <v>WNW</v>
          </cell>
          <cell r="F1005" t="str">
            <v>WNW</v>
          </cell>
          <cell r="G1005" t="str">
            <v>S</v>
          </cell>
          <cell r="H1005" t="str">
            <v>S</v>
          </cell>
          <cell r="I1005" t="str">
            <v>S</v>
          </cell>
          <cell r="J1005" t="str">
            <v>S</v>
          </cell>
          <cell r="K1005" t="str">
            <v>S</v>
          </cell>
          <cell r="L1005" t="str">
            <v>S</v>
          </cell>
          <cell r="M1005" t="str">
            <v>S</v>
          </cell>
          <cell r="N1005" t="str">
            <v>S</v>
          </cell>
          <cell r="O1005" t="str">
            <v>WNW</v>
          </cell>
          <cell r="P1005" t="str">
            <v>S</v>
          </cell>
        </row>
        <row r="1006">
          <cell r="B1006"/>
          <cell r="C1006"/>
          <cell r="D1006">
            <v>11</v>
          </cell>
          <cell r="E1006">
            <v>10</v>
          </cell>
          <cell r="F1006">
            <v>11</v>
          </cell>
          <cell r="G1006">
            <v>12</v>
          </cell>
          <cell r="H1006">
            <v>10</v>
          </cell>
          <cell r="I1006">
            <v>9</v>
          </cell>
          <cell r="J1006">
            <v>8</v>
          </cell>
          <cell r="K1006">
            <v>8</v>
          </cell>
          <cell r="L1006">
            <v>9</v>
          </cell>
          <cell r="M1006">
            <v>10</v>
          </cell>
          <cell r="N1006">
            <v>11</v>
          </cell>
          <cell r="O1006">
            <v>10</v>
          </cell>
          <cell r="P1006">
            <v>10</v>
          </cell>
        </row>
        <row r="1007">
          <cell r="B1007"/>
          <cell r="C1007"/>
          <cell r="D1007">
            <v>46</v>
          </cell>
          <cell r="E1007">
            <v>62</v>
          </cell>
          <cell r="F1007">
            <v>67</v>
          </cell>
          <cell r="G1007">
            <v>63</v>
          </cell>
          <cell r="H1007">
            <v>63</v>
          </cell>
          <cell r="I1007">
            <v>70</v>
          </cell>
          <cell r="J1007">
            <v>83</v>
          </cell>
          <cell r="K1007">
            <v>64</v>
          </cell>
          <cell r="L1007">
            <v>64</v>
          </cell>
          <cell r="M1007">
            <v>62</v>
          </cell>
          <cell r="N1007">
            <v>52</v>
          </cell>
          <cell r="O1007">
            <v>58</v>
          </cell>
          <cell r="P1007">
            <v>83</v>
          </cell>
        </row>
        <row r="1008">
          <cell r="B1008" t="str">
            <v>Milwaukee</v>
          </cell>
          <cell r="C1008"/>
          <cell r="D1008" t="str">
            <v>WNW</v>
          </cell>
          <cell r="E1008" t="str">
            <v>WNW</v>
          </cell>
          <cell r="F1008" t="str">
            <v>WNW</v>
          </cell>
          <cell r="G1008" t="str">
            <v>N</v>
          </cell>
          <cell r="H1008" t="str">
            <v>NNE</v>
          </cell>
          <cell r="I1008" t="str">
            <v>NNE</v>
          </cell>
          <cell r="J1008" t="str">
            <v>SW</v>
          </cell>
          <cell r="K1008" t="str">
            <v>SW</v>
          </cell>
          <cell r="L1008" t="str">
            <v>SSW</v>
          </cell>
          <cell r="M1008" t="str">
            <v>SSW</v>
          </cell>
          <cell r="N1008" t="str">
            <v>WNW</v>
          </cell>
          <cell r="O1008" t="str">
            <v>WNW</v>
          </cell>
          <cell r="P1008" t="str">
            <v>WSW</v>
          </cell>
        </row>
        <row r="1009">
          <cell r="B1009"/>
          <cell r="C1009"/>
          <cell r="D1009">
            <v>13</v>
          </cell>
          <cell r="E1009">
            <v>12</v>
          </cell>
          <cell r="F1009">
            <v>13</v>
          </cell>
          <cell r="G1009">
            <v>13</v>
          </cell>
          <cell r="H1009">
            <v>12</v>
          </cell>
          <cell r="I1009">
            <v>10</v>
          </cell>
          <cell r="J1009">
            <v>10</v>
          </cell>
          <cell r="K1009">
            <v>10</v>
          </cell>
          <cell r="L1009">
            <v>10</v>
          </cell>
          <cell r="M1009">
            <v>11</v>
          </cell>
          <cell r="N1009">
            <v>12</v>
          </cell>
          <cell r="O1009">
            <v>12</v>
          </cell>
          <cell r="P1009">
            <v>12</v>
          </cell>
        </row>
        <row r="1010">
          <cell r="B1010"/>
          <cell r="C1010"/>
          <cell r="D1010">
            <v>54</v>
          </cell>
          <cell r="E1010">
            <v>46</v>
          </cell>
          <cell r="F1010">
            <v>77</v>
          </cell>
          <cell r="G1010">
            <v>64</v>
          </cell>
          <cell r="H1010">
            <v>54</v>
          </cell>
          <cell r="I1010">
            <v>56</v>
          </cell>
          <cell r="J1010">
            <v>81</v>
          </cell>
          <cell r="K1010">
            <v>69</v>
          </cell>
          <cell r="L1010">
            <v>58</v>
          </cell>
          <cell r="M1010">
            <v>53</v>
          </cell>
          <cell r="N1010">
            <v>56</v>
          </cell>
          <cell r="O1010">
            <v>59</v>
          </cell>
          <cell r="P1010">
            <v>81</v>
          </cell>
        </row>
        <row r="1011">
          <cell r="C1011"/>
          <cell r="D1011"/>
          <cell r="E1011"/>
          <cell r="F1011"/>
          <cell r="G1011"/>
          <cell r="H1011"/>
          <cell r="I1011"/>
          <cell r="J1011"/>
          <cell r="K1011"/>
          <cell r="L1011"/>
          <cell r="M1011"/>
          <cell r="N1011"/>
          <cell r="O1011"/>
          <cell r="P1011"/>
        </row>
        <row r="1012">
          <cell r="B1012" t="str">
            <v>Casper</v>
          </cell>
          <cell r="C1012"/>
          <cell r="D1012" t="str">
            <v>SW</v>
          </cell>
          <cell r="E1012" t="str">
            <v>SW</v>
          </cell>
          <cell r="F1012" t="str">
            <v>SW</v>
          </cell>
          <cell r="G1012" t="str">
            <v>WSW</v>
          </cell>
          <cell r="H1012" t="str">
            <v>WSW</v>
          </cell>
          <cell r="I1012" t="str">
            <v>WSW</v>
          </cell>
          <cell r="J1012" t="str">
            <v>WSW</v>
          </cell>
          <cell r="K1012" t="str">
            <v>WSW</v>
          </cell>
          <cell r="L1012" t="str">
            <v>WSW</v>
          </cell>
          <cell r="M1012" t="str">
            <v>SW</v>
          </cell>
          <cell r="N1012" t="str">
            <v>SW</v>
          </cell>
          <cell r="O1012" t="str">
            <v>SW</v>
          </cell>
          <cell r="P1012" t="str">
            <v>SW</v>
          </cell>
        </row>
        <row r="1013">
          <cell r="B1013"/>
          <cell r="C1013"/>
          <cell r="D1013">
            <v>17</v>
          </cell>
          <cell r="E1013">
            <v>15</v>
          </cell>
          <cell r="F1013">
            <v>14</v>
          </cell>
          <cell r="G1013">
            <v>12</v>
          </cell>
          <cell r="H1013">
            <v>12</v>
          </cell>
          <cell r="I1013">
            <v>11</v>
          </cell>
          <cell r="J1013">
            <v>10</v>
          </cell>
          <cell r="K1013">
            <v>10</v>
          </cell>
          <cell r="L1013">
            <v>11</v>
          </cell>
          <cell r="M1013">
            <v>12</v>
          </cell>
          <cell r="N1013">
            <v>15</v>
          </cell>
          <cell r="O1013">
            <v>16</v>
          </cell>
          <cell r="P1013">
            <v>13</v>
          </cell>
        </row>
        <row r="1014">
          <cell r="B1014"/>
          <cell r="C1014"/>
          <cell r="D1014">
            <v>67</v>
          </cell>
          <cell r="E1014">
            <v>64</v>
          </cell>
          <cell r="F1014">
            <v>63</v>
          </cell>
          <cell r="G1014">
            <v>64</v>
          </cell>
          <cell r="H1014">
            <v>64</v>
          </cell>
          <cell r="I1014">
            <v>64</v>
          </cell>
          <cell r="J1014">
            <v>62</v>
          </cell>
          <cell r="K1014">
            <v>62</v>
          </cell>
          <cell r="L1014">
            <v>63</v>
          </cell>
          <cell r="M1014">
            <v>62</v>
          </cell>
          <cell r="N1014">
            <v>60</v>
          </cell>
          <cell r="O1014">
            <v>66</v>
          </cell>
          <cell r="P1014">
            <v>67</v>
          </cell>
        </row>
        <row r="1015">
          <cell r="B1015" t="str">
            <v>Cheyenne</v>
          </cell>
          <cell r="C1015"/>
          <cell r="D1015" t="str">
            <v>WNW</v>
          </cell>
          <cell r="E1015" t="str">
            <v>WNW</v>
          </cell>
          <cell r="F1015" t="str">
            <v>WNW</v>
          </cell>
          <cell r="G1015" t="str">
            <v>WNW</v>
          </cell>
          <cell r="H1015" t="str">
            <v>WNW</v>
          </cell>
          <cell r="I1015" t="str">
            <v>WNW</v>
          </cell>
          <cell r="J1015" t="str">
            <v>WNW</v>
          </cell>
          <cell r="K1015" t="str">
            <v>WNW</v>
          </cell>
          <cell r="L1015" t="str">
            <v>WNW</v>
          </cell>
          <cell r="M1015" t="str">
            <v>W</v>
          </cell>
          <cell r="N1015" t="str">
            <v>WNW</v>
          </cell>
          <cell r="O1015" t="str">
            <v>WNW</v>
          </cell>
          <cell r="P1015" t="str">
            <v>WNW</v>
          </cell>
        </row>
        <row r="1016">
          <cell r="B1016"/>
          <cell r="C1016"/>
          <cell r="D1016">
            <v>15</v>
          </cell>
          <cell r="E1016">
            <v>15</v>
          </cell>
          <cell r="F1016">
            <v>15</v>
          </cell>
          <cell r="G1016">
            <v>14</v>
          </cell>
          <cell r="H1016">
            <v>13</v>
          </cell>
          <cell r="I1016">
            <v>11</v>
          </cell>
          <cell r="J1016">
            <v>10</v>
          </cell>
          <cell r="K1016">
            <v>10</v>
          </cell>
          <cell r="L1016">
            <v>11</v>
          </cell>
          <cell r="M1016">
            <v>12</v>
          </cell>
          <cell r="N1016">
            <v>14</v>
          </cell>
          <cell r="O1016">
            <v>15</v>
          </cell>
          <cell r="P1016">
            <v>13</v>
          </cell>
        </row>
        <row r="1017">
          <cell r="B1017"/>
          <cell r="C1017"/>
          <cell r="D1017">
            <v>77</v>
          </cell>
          <cell r="E1017">
            <v>70</v>
          </cell>
          <cell r="F1017">
            <v>75</v>
          </cell>
          <cell r="G1017">
            <v>64</v>
          </cell>
          <cell r="H1017">
            <v>71</v>
          </cell>
          <cell r="I1017">
            <v>84</v>
          </cell>
          <cell r="J1017">
            <v>79</v>
          </cell>
          <cell r="K1017">
            <v>61</v>
          </cell>
          <cell r="L1017">
            <v>62</v>
          </cell>
          <cell r="M1017">
            <v>71</v>
          </cell>
          <cell r="N1017">
            <v>76</v>
          </cell>
          <cell r="O1017">
            <v>74</v>
          </cell>
          <cell r="P1017">
            <v>84</v>
          </cell>
        </row>
        <row r="1018">
          <cell r="B1018" t="str">
            <v>Lander</v>
          </cell>
          <cell r="C1018"/>
          <cell r="D1018" t="str">
            <v>WSW</v>
          </cell>
          <cell r="E1018" t="str">
            <v>WSW</v>
          </cell>
          <cell r="F1018" t="str">
            <v>WSW</v>
          </cell>
          <cell r="G1018" t="str">
            <v>WSW</v>
          </cell>
          <cell r="H1018" t="str">
            <v>WSW</v>
          </cell>
          <cell r="I1018" t="str">
            <v>WSW</v>
          </cell>
          <cell r="J1018" t="str">
            <v>WSW</v>
          </cell>
          <cell r="K1018" t="str">
            <v>WSW</v>
          </cell>
          <cell r="L1018" t="str">
            <v>WSW</v>
          </cell>
          <cell r="M1018" t="str">
            <v>WSW</v>
          </cell>
          <cell r="N1018" t="str">
            <v>WSW</v>
          </cell>
          <cell r="O1018" t="str">
            <v>WSW</v>
          </cell>
          <cell r="P1018" t="str">
            <v>WSW</v>
          </cell>
        </row>
        <row r="1019">
          <cell r="B1019"/>
          <cell r="C1019"/>
          <cell r="D1019">
            <v>5</v>
          </cell>
          <cell r="E1019">
            <v>5</v>
          </cell>
          <cell r="F1019">
            <v>7</v>
          </cell>
          <cell r="G1019">
            <v>8</v>
          </cell>
          <cell r="H1019">
            <v>8</v>
          </cell>
          <cell r="I1019">
            <v>8</v>
          </cell>
          <cell r="J1019">
            <v>7</v>
          </cell>
          <cell r="K1019">
            <v>7</v>
          </cell>
          <cell r="L1019">
            <v>7</v>
          </cell>
          <cell r="M1019">
            <v>6</v>
          </cell>
          <cell r="N1019">
            <v>6</v>
          </cell>
          <cell r="O1019">
            <v>6</v>
          </cell>
          <cell r="P1019">
            <v>7</v>
          </cell>
        </row>
        <row r="1020">
          <cell r="B1020"/>
          <cell r="C1020"/>
          <cell r="D1020">
            <v>86</v>
          </cell>
          <cell r="E1020">
            <v>69</v>
          </cell>
          <cell r="F1020">
            <v>63</v>
          </cell>
          <cell r="G1020">
            <v>83</v>
          </cell>
          <cell r="H1020">
            <v>67</v>
          </cell>
          <cell r="I1020">
            <v>63</v>
          </cell>
          <cell r="J1020">
            <v>66</v>
          </cell>
          <cell r="K1020">
            <v>67</v>
          </cell>
          <cell r="L1020">
            <v>64</v>
          </cell>
          <cell r="M1020">
            <v>53</v>
          </cell>
          <cell r="N1020">
            <v>59</v>
          </cell>
          <cell r="O1020">
            <v>66</v>
          </cell>
          <cell r="P1020">
            <v>86</v>
          </cell>
        </row>
        <row r="1021">
          <cell r="B1021" t="str">
            <v>Sheridan</v>
          </cell>
          <cell r="C1021"/>
          <cell r="D1021" t="str">
            <v>NW</v>
          </cell>
          <cell r="E1021" t="str">
            <v>NW</v>
          </cell>
          <cell r="F1021" t="str">
            <v>NW</v>
          </cell>
          <cell r="G1021" t="str">
            <v>NW</v>
          </cell>
          <cell r="H1021" t="str">
            <v>NW</v>
          </cell>
          <cell r="I1021" t="str">
            <v>NW</v>
          </cell>
          <cell r="J1021" t="str">
            <v>NW</v>
          </cell>
          <cell r="K1021" t="str">
            <v>NW</v>
          </cell>
          <cell r="L1021" t="str">
            <v>NW</v>
          </cell>
          <cell r="M1021" t="str">
            <v>NW</v>
          </cell>
          <cell r="N1021" t="str">
            <v>NW</v>
          </cell>
          <cell r="O1021" t="str">
            <v>NW</v>
          </cell>
          <cell r="P1021" t="str">
            <v>NW</v>
          </cell>
        </row>
        <row r="1022">
          <cell r="B1022"/>
          <cell r="C1022"/>
          <cell r="D1022">
            <v>8</v>
          </cell>
          <cell r="E1022">
            <v>8</v>
          </cell>
          <cell r="F1022">
            <v>9</v>
          </cell>
          <cell r="G1022">
            <v>10</v>
          </cell>
          <cell r="H1022">
            <v>9</v>
          </cell>
          <cell r="I1022">
            <v>8</v>
          </cell>
          <cell r="J1022">
            <v>7</v>
          </cell>
          <cell r="K1022">
            <v>7</v>
          </cell>
          <cell r="L1022">
            <v>8</v>
          </cell>
          <cell r="M1022">
            <v>8</v>
          </cell>
          <cell r="N1022">
            <v>8</v>
          </cell>
          <cell r="O1022">
            <v>8</v>
          </cell>
          <cell r="P1022">
            <v>8</v>
          </cell>
        </row>
        <row r="1023">
          <cell r="B1023"/>
          <cell r="C1023"/>
          <cell r="D1023">
            <v>71</v>
          </cell>
          <cell r="E1023">
            <v>69</v>
          </cell>
          <cell r="F1023">
            <v>68</v>
          </cell>
          <cell r="G1023">
            <v>69</v>
          </cell>
          <cell r="H1023">
            <v>63</v>
          </cell>
          <cell r="I1023">
            <v>54</v>
          </cell>
          <cell r="J1023">
            <v>59</v>
          </cell>
          <cell r="K1023">
            <v>58</v>
          </cell>
          <cell r="L1023">
            <v>67</v>
          </cell>
          <cell r="M1023">
            <v>64</v>
          </cell>
          <cell r="N1023">
            <v>73</v>
          </cell>
          <cell r="O1023">
            <v>69</v>
          </cell>
          <cell r="P1023">
            <v>73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E1:R304" totalsRowShown="0" headerRowDxfId="16" dataDxfId="15" tableBorderDxfId="14">
  <autoFilter ref="E1:R304" xr:uid="{00000000-0009-0000-0100-000001000000}"/>
  <tableColumns count="14">
    <tableColumn id="1" xr3:uid="{00000000-0010-0000-0000-000001000000}" name="City" dataDxfId="13"/>
    <tableColumn id="2" xr3:uid="{00000000-0010-0000-0000-000002000000}" name="State" dataDxfId="12"/>
    <tableColumn id="3" xr3:uid="{00000000-0010-0000-0000-000003000000}" name="Zipcode" dataDxfId="11"/>
    <tableColumn id="4" xr3:uid="{00000000-0010-0000-0000-000004000000}" name="Latitude" dataDxfId="10"/>
    <tableColumn id="5" xr3:uid="{00000000-0010-0000-0000-000005000000}" name="Longitude" dataDxfId="9"/>
    <tableColumn id="6" xr3:uid="{00000000-0010-0000-0000-000006000000}" name="ZipType" dataDxfId="8"/>
    <tableColumn id="7" xr3:uid="{00000000-0010-0000-0000-000007000000}" name="LocationType" dataDxfId="7"/>
    <tableColumn id="8" xr3:uid="{00000000-0010-0000-0000-000008000000}" name="Estimated Pop." dataDxfId="6"/>
    <tableColumn id="9" xr3:uid="{00000000-0010-0000-0000-000009000000}" name="Distance" dataDxfId="5">
      <calculatedColumnFormula>ACOS(COS(RADIANS(90-$B$5))*COS(RADIANS(90-H2))+SIN(RADIANS(90-$B$5))*SIN(RADIANS(90-H2))*COS(RADIANS($B$6-I2)))*6371</calculatedColumnFormula>
    </tableColumn>
    <tableColumn id="14" xr3:uid="{00000000-0010-0000-0000-00000E000000}" name="City2" dataDxfId="4"/>
    <tableColumn id="13" xr3:uid="{00000000-0010-0000-0000-00000D000000}" name="State2" dataDxfId="3"/>
    <tableColumn id="10" xr3:uid="{00000000-0010-0000-0000-00000A000000}" name="Distance Between" dataDxfId="2"/>
    <tableColumn id="11" xr3:uid="{00000000-0010-0000-0000-00000B000000}" name="Latitude2" dataDxfId="1">
      <calculatedColumnFormula>$B$5-Table1[[#This Row],[Latitude]]</calculatedColumnFormula>
    </tableColumn>
    <tableColumn id="12" xr3:uid="{00000000-0010-0000-0000-00000C000000}" name="Longitude2" dataDxfId="0">
      <calculatedColumnFormula>$B$6-Table1[[#This Row],[Longitude]]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</sheetPr>
  <dimension ref="D15:J22"/>
  <sheetViews>
    <sheetView tabSelected="1" workbookViewId="0">
      <selection activeCell="E22" sqref="E22"/>
    </sheetView>
  </sheetViews>
  <sheetFormatPr defaultRowHeight="14.4"/>
  <cols>
    <col min="3" max="4" width="14" customWidth="1"/>
    <col min="5" max="5" width="12.33203125" bestFit="1" customWidth="1"/>
    <col min="6" max="6" width="16.88671875" customWidth="1"/>
    <col min="7" max="7" width="12.109375" customWidth="1"/>
    <col min="8" max="8" width="13.88671875" customWidth="1"/>
    <col min="9" max="9" width="23.88671875" bestFit="1" customWidth="1"/>
  </cols>
  <sheetData>
    <row r="15" spans="5:7" ht="15.6">
      <c r="E15" s="54" t="s">
        <v>704</v>
      </c>
      <c r="G15" s="55" t="s">
        <v>705</v>
      </c>
    </row>
    <row r="16" spans="5:7">
      <c r="E16" t="s">
        <v>324</v>
      </c>
      <c r="G16" t="s">
        <v>328</v>
      </c>
    </row>
    <row r="17" spans="4:10">
      <c r="G17" s="58">
        <f>MONTH(D19)</f>
        <v>9</v>
      </c>
    </row>
    <row r="18" spans="4:10" ht="15.6">
      <c r="D18" s="56" t="s">
        <v>748</v>
      </c>
      <c r="F18" s="57" t="s">
        <v>706</v>
      </c>
      <c r="G18" s="58" t="str">
        <f>VLOOKUP(G17,monthlookup,2,TRUE)</f>
        <v>September</v>
      </c>
      <c r="H18" s="50" t="s">
        <v>750</v>
      </c>
      <c r="J18">
        <f>F19*H19</f>
        <v>840</v>
      </c>
    </row>
    <row r="19" spans="4:10">
      <c r="D19" s="53">
        <v>42979</v>
      </c>
      <c r="F19">
        <v>60</v>
      </c>
      <c r="H19">
        <v>14</v>
      </c>
    </row>
    <row r="22" spans="4:10">
      <c r="D22" t="s">
        <v>751</v>
      </c>
    </row>
  </sheetData>
  <dataValidations count="4">
    <dataValidation type="list" allowBlank="1" showInputMessage="1" showErrorMessage="1" promptTitle="Start Point" prompt="Which city is closest to your departure point?" sqref="G16" xr:uid="{00000000-0002-0000-0000-000000000000}">
      <formula1>INDIRECT($E$16&amp;"List")</formula1>
    </dataValidation>
    <dataValidation type="date" operator="greaterThan" allowBlank="1" showInputMessage="1" showErrorMessage="1" errorTitle="Faulty date format" error="Please input your start date in the format: (dd/mm/yyyy)_x000a_" promptTitle="Start Date" prompt="What date do you plan on departing? (dd/mm/yyyy)_x000a_" sqref="D19" xr:uid="{00000000-0002-0000-0000-000001000000}">
      <formula1>TODAY()</formula1>
    </dataValidation>
    <dataValidation type="whole" operator="greaterThan" allowBlank="1" showInputMessage="1" showErrorMessage="1" errorTitle="Whole number not entered" error="Number of days out on the road please" promptTitle="Time on the open road" prompt="How long do you plan on having fun? (in days)" sqref="H19" xr:uid="{00000000-0002-0000-0000-000002000000}">
      <formula1>1</formula1>
    </dataValidation>
    <dataValidation type="whole" operator="greaterThan" allowBlank="1" showInputMessage="1" showErrorMessage="1" errorTitle="Whole number not entered" error="Miles per day please_x000a_" promptTitle="Distance per Day" prompt="What is your rough estimate for miles traveled per day?" sqref="F19" xr:uid="{00000000-0002-0000-0000-000003000000}">
      <formula1>1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tart State" prompt="In which state do you plan your departure?_x000a_" xr:uid="{00000000-0002-0000-0000-000004000000}">
          <x14:formula1>
            <xm:f>'Wind&amp;TableData'!$S$2:$S$52</xm:f>
          </x14:formula1>
          <xm:sqref>E16</xm:sqref>
        </x14:dataValidation>
        <x14:dataValidation type="list" allowBlank="1" showInputMessage="1" showErrorMessage="1" xr:uid="{00000000-0002-0000-0000-000005000000}">
          <x14:formula1>
            <xm:f>JourneyLegs!$I$5:$I$24</xm:f>
          </x14:formula1>
          <xm:sqref>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F0"/>
  </sheetPr>
  <dimension ref="A1:R297"/>
  <sheetViews>
    <sheetView topLeftCell="D1" zoomScale="115" zoomScaleNormal="115" workbookViewId="0">
      <selection activeCell="P4" sqref="P4"/>
    </sheetView>
  </sheetViews>
  <sheetFormatPr defaultRowHeight="14.4"/>
  <cols>
    <col min="1" max="1" width="12.21875" customWidth="1"/>
    <col min="3" max="3" width="46.109375" customWidth="1"/>
    <col min="4" max="4" width="13.44140625" bestFit="1" customWidth="1"/>
    <col min="5" max="5" width="10.44140625" bestFit="1" customWidth="1"/>
    <col min="6" max="6" width="10.77734375" customWidth="1"/>
    <col min="10" max="10" width="11" bestFit="1" customWidth="1"/>
    <col min="11" max="11" width="15.88671875" bestFit="1" customWidth="1"/>
    <col min="12" max="12" width="12.21875" bestFit="1" customWidth="1"/>
    <col min="13" max="13" width="15.44140625" bestFit="1" customWidth="1"/>
    <col min="14" max="14" width="15" bestFit="1" customWidth="1"/>
    <col min="15" max="15" width="11.109375" bestFit="1" customWidth="1"/>
  </cols>
  <sheetData>
    <row r="1" spans="1:18" ht="21">
      <c r="A1" t="s">
        <v>720</v>
      </c>
      <c r="B1" t="str">
        <f>'Gale Dash'!E16</f>
        <v>WISCONSIN</v>
      </c>
      <c r="F1" s="16" t="s">
        <v>728</v>
      </c>
      <c r="G1" s="16" t="s">
        <v>687</v>
      </c>
      <c r="H1" s="16" t="s">
        <v>688</v>
      </c>
      <c r="I1" s="16" t="s">
        <v>689</v>
      </c>
      <c r="J1" s="16" t="s">
        <v>690</v>
      </c>
      <c r="K1" s="16" t="s">
        <v>691</v>
      </c>
      <c r="L1" s="16" t="s">
        <v>692</v>
      </c>
      <c r="M1" s="16" t="s">
        <v>693</v>
      </c>
      <c r="N1" s="16" t="s">
        <v>694</v>
      </c>
      <c r="O1" s="16" t="s">
        <v>695</v>
      </c>
      <c r="P1" s="16" t="s">
        <v>696</v>
      </c>
      <c r="Q1" s="16" t="s">
        <v>697</v>
      </c>
      <c r="R1" s="16" t="s">
        <v>698</v>
      </c>
    </row>
    <row r="2" spans="1:18">
      <c r="A2" t="s">
        <v>721</v>
      </c>
      <c r="B2" t="str">
        <f>'Gale Dash'!G16</f>
        <v>Milwaukee</v>
      </c>
      <c r="D2" s="1" t="s">
        <v>0</v>
      </c>
      <c r="E2" s="2" t="s">
        <v>1</v>
      </c>
      <c r="F2" t="s">
        <v>732</v>
      </c>
      <c r="G2" t="s">
        <v>732</v>
      </c>
      <c r="H2" t="s">
        <v>732</v>
      </c>
      <c r="I2" t="s">
        <v>701</v>
      </c>
      <c r="J2" t="s">
        <v>701</v>
      </c>
      <c r="K2" t="s">
        <v>701</v>
      </c>
      <c r="L2" t="s">
        <v>732</v>
      </c>
      <c r="M2" t="s">
        <v>732</v>
      </c>
      <c r="N2" t="s">
        <v>732</v>
      </c>
      <c r="O2" t="s">
        <v>702</v>
      </c>
      <c r="P2" t="s">
        <v>702</v>
      </c>
      <c r="Q2" t="s">
        <v>702</v>
      </c>
      <c r="R2" t="s">
        <v>732</v>
      </c>
    </row>
    <row r="3" spans="1:18">
      <c r="A3" t="s">
        <v>737</v>
      </c>
      <c r="B3" t="str">
        <f>'Gale Dash'!G18</f>
        <v>September</v>
      </c>
      <c r="D3" s="1" t="s">
        <v>0</v>
      </c>
      <c r="E3" s="2" t="s">
        <v>2</v>
      </c>
      <c r="F3" t="s">
        <v>701</v>
      </c>
      <c r="G3" t="s">
        <v>701</v>
      </c>
      <c r="H3" t="s">
        <v>701</v>
      </c>
      <c r="I3" t="s">
        <v>701</v>
      </c>
      <c r="J3" t="s">
        <v>732</v>
      </c>
      <c r="K3" t="s">
        <v>732</v>
      </c>
      <c r="L3" t="s">
        <v>732</v>
      </c>
      <c r="M3" t="s">
        <v>732</v>
      </c>
      <c r="N3" t="s">
        <v>702</v>
      </c>
      <c r="O3" t="s">
        <v>702</v>
      </c>
      <c r="P3" t="s">
        <v>702</v>
      </c>
      <c r="Q3" t="s">
        <v>702</v>
      </c>
      <c r="R3" t="s">
        <v>702</v>
      </c>
    </row>
    <row r="4" spans="1:18">
      <c r="D4" s="1" t="s">
        <v>0</v>
      </c>
      <c r="E4" s="2" t="s">
        <v>3</v>
      </c>
      <c r="F4" t="s">
        <v>733</v>
      </c>
      <c r="G4" t="s">
        <v>733</v>
      </c>
      <c r="H4" t="s">
        <v>733</v>
      </c>
      <c r="I4" t="s">
        <v>733</v>
      </c>
      <c r="J4" t="s">
        <v>733</v>
      </c>
      <c r="K4" t="s">
        <v>733</v>
      </c>
      <c r="L4" t="s">
        <v>702</v>
      </c>
      <c r="M4" t="s">
        <v>702</v>
      </c>
      <c r="N4" t="s">
        <v>702</v>
      </c>
      <c r="O4" t="s">
        <v>702</v>
      </c>
      <c r="P4" t="s">
        <v>702</v>
      </c>
      <c r="Q4" t="s">
        <v>702</v>
      </c>
      <c r="R4" t="s">
        <v>733</v>
      </c>
    </row>
    <row r="5" spans="1:18">
      <c r="A5" t="s">
        <v>738</v>
      </c>
      <c r="B5" t="str">
        <f t="array" ref="B5">INDEX(windarray,MATCH($B$2&amp;$B$1,cityarray&amp;statearray,0),MATCH($B$3,montharray,0))</f>
        <v>SW</v>
      </c>
      <c r="D5" s="1" t="s">
        <v>0</v>
      </c>
      <c r="E5" s="2" t="s">
        <v>4</v>
      </c>
      <c r="F5" t="s">
        <v>733</v>
      </c>
      <c r="G5" t="s">
        <v>701</v>
      </c>
      <c r="H5" t="s">
        <v>702</v>
      </c>
      <c r="I5" t="s">
        <v>702</v>
      </c>
      <c r="J5" t="s">
        <v>702</v>
      </c>
      <c r="K5" t="s">
        <v>734</v>
      </c>
      <c r="L5" t="s">
        <v>734</v>
      </c>
      <c r="M5" t="s">
        <v>735</v>
      </c>
      <c r="N5" t="s">
        <v>534</v>
      </c>
      <c r="O5" t="s">
        <v>735</v>
      </c>
      <c r="P5" t="s">
        <v>733</v>
      </c>
      <c r="Q5" t="s">
        <v>733</v>
      </c>
      <c r="R5" t="s">
        <v>735</v>
      </c>
    </row>
    <row r="6" spans="1:18">
      <c r="D6" s="2" t="s">
        <v>5</v>
      </c>
      <c r="E6" s="2" t="s">
        <v>6</v>
      </c>
      <c r="F6" t="s">
        <v>701</v>
      </c>
      <c r="G6" t="s">
        <v>701</v>
      </c>
      <c r="H6" t="s">
        <v>701</v>
      </c>
      <c r="I6" t="s">
        <v>702</v>
      </c>
      <c r="J6" t="s">
        <v>732</v>
      </c>
      <c r="K6" t="s">
        <v>732</v>
      </c>
      <c r="L6" t="s">
        <v>732</v>
      </c>
      <c r="M6" t="s">
        <v>732</v>
      </c>
      <c r="N6" t="s">
        <v>732</v>
      </c>
      <c r="O6" t="s">
        <v>701</v>
      </c>
      <c r="P6" t="s">
        <v>701</v>
      </c>
      <c r="Q6" t="s">
        <v>701</v>
      </c>
      <c r="R6" t="s">
        <v>701</v>
      </c>
    </row>
    <row r="7" spans="1:18">
      <c r="D7" s="2" t="s">
        <v>5</v>
      </c>
      <c r="E7" s="2" t="s">
        <v>7</v>
      </c>
      <c r="F7" t="s">
        <v>534</v>
      </c>
      <c r="G7" t="s">
        <v>534</v>
      </c>
      <c r="H7" t="s">
        <v>534</v>
      </c>
      <c r="I7" t="s">
        <v>534</v>
      </c>
      <c r="J7" t="s">
        <v>534</v>
      </c>
      <c r="K7" t="s">
        <v>735</v>
      </c>
      <c r="L7" t="s">
        <v>735</v>
      </c>
      <c r="M7" t="s">
        <v>735</v>
      </c>
      <c r="N7" t="s">
        <v>534</v>
      </c>
      <c r="O7" t="s">
        <v>534</v>
      </c>
      <c r="P7" t="s">
        <v>534</v>
      </c>
      <c r="Q7" t="s">
        <v>534</v>
      </c>
      <c r="R7" t="s">
        <v>534</v>
      </c>
    </row>
    <row r="8" spans="1:18">
      <c r="D8" s="2" t="s">
        <v>5</v>
      </c>
      <c r="E8" s="2" t="s">
        <v>8</v>
      </c>
      <c r="F8" t="s">
        <v>732</v>
      </c>
      <c r="G8" t="s">
        <v>732</v>
      </c>
      <c r="H8" t="s">
        <v>732</v>
      </c>
      <c r="I8" t="s">
        <v>733</v>
      </c>
      <c r="J8" t="s">
        <v>732</v>
      </c>
      <c r="K8" t="s">
        <v>732</v>
      </c>
      <c r="L8" t="s">
        <v>732</v>
      </c>
      <c r="M8" t="s">
        <v>732</v>
      </c>
      <c r="N8" t="s">
        <v>732</v>
      </c>
      <c r="O8" t="s">
        <v>733</v>
      </c>
      <c r="P8" t="s">
        <v>733</v>
      </c>
      <c r="Q8" t="s">
        <v>732</v>
      </c>
      <c r="R8" t="s">
        <v>732</v>
      </c>
    </row>
    <row r="9" spans="1:18">
      <c r="D9" s="2" t="s">
        <v>5</v>
      </c>
      <c r="E9" s="2" t="s">
        <v>9</v>
      </c>
      <c r="F9" t="s">
        <v>701</v>
      </c>
      <c r="G9" t="s">
        <v>701</v>
      </c>
      <c r="H9" t="s">
        <v>701</v>
      </c>
      <c r="I9" t="s">
        <v>701</v>
      </c>
      <c r="J9" t="s">
        <v>701</v>
      </c>
      <c r="K9" t="s">
        <v>736</v>
      </c>
      <c r="L9" t="s">
        <v>736</v>
      </c>
      <c r="M9" t="s">
        <v>736</v>
      </c>
      <c r="N9" t="s">
        <v>701</v>
      </c>
      <c r="O9" t="s">
        <v>701</v>
      </c>
      <c r="P9" t="s">
        <v>701</v>
      </c>
      <c r="Q9" t="s">
        <v>701</v>
      </c>
      <c r="R9" t="s">
        <v>701</v>
      </c>
    </row>
    <row r="10" spans="1:18">
      <c r="D10" s="2" t="s">
        <v>5</v>
      </c>
      <c r="E10" s="2" t="s">
        <v>10</v>
      </c>
      <c r="F10" t="s">
        <v>732</v>
      </c>
      <c r="G10" t="s">
        <v>732</v>
      </c>
      <c r="H10" t="s">
        <v>732</v>
      </c>
      <c r="I10" t="s">
        <v>732</v>
      </c>
      <c r="J10" t="s">
        <v>732</v>
      </c>
      <c r="K10" t="s">
        <v>732</v>
      </c>
      <c r="L10" t="s">
        <v>735</v>
      </c>
      <c r="M10" t="s">
        <v>735</v>
      </c>
      <c r="N10" t="s">
        <v>732</v>
      </c>
      <c r="O10" t="s">
        <v>732</v>
      </c>
      <c r="P10" t="s">
        <v>732</v>
      </c>
      <c r="Q10" t="s">
        <v>732</v>
      </c>
      <c r="R10" t="s">
        <v>732</v>
      </c>
    </row>
    <row r="11" spans="1:18">
      <c r="D11" s="2" t="s">
        <v>5</v>
      </c>
      <c r="E11" s="2" t="s">
        <v>11</v>
      </c>
      <c r="F11" t="s">
        <v>733</v>
      </c>
      <c r="G11" t="s">
        <v>733</v>
      </c>
      <c r="H11" t="s">
        <v>733</v>
      </c>
      <c r="I11" t="s">
        <v>733</v>
      </c>
      <c r="J11" t="s">
        <v>733</v>
      </c>
      <c r="K11" t="s">
        <v>735</v>
      </c>
      <c r="L11" t="s">
        <v>534</v>
      </c>
      <c r="M11" t="s">
        <v>733</v>
      </c>
      <c r="N11" t="s">
        <v>733</v>
      </c>
      <c r="O11" t="s">
        <v>733</v>
      </c>
      <c r="P11" t="s">
        <v>733</v>
      </c>
      <c r="Q11" t="s">
        <v>733</v>
      </c>
      <c r="R11" t="s">
        <v>733</v>
      </c>
    </row>
    <row r="12" spans="1:18">
      <c r="D12" s="2" t="s">
        <v>5</v>
      </c>
      <c r="E12" s="2" t="s">
        <v>12</v>
      </c>
      <c r="F12" t="s">
        <v>735</v>
      </c>
      <c r="G12" t="s">
        <v>534</v>
      </c>
      <c r="H12" t="s">
        <v>735</v>
      </c>
      <c r="I12" t="s">
        <v>701</v>
      </c>
      <c r="J12" t="s">
        <v>701</v>
      </c>
      <c r="K12" t="s">
        <v>736</v>
      </c>
      <c r="L12" t="s">
        <v>736</v>
      </c>
      <c r="M12" t="s">
        <v>736</v>
      </c>
      <c r="N12" t="s">
        <v>701</v>
      </c>
      <c r="O12" t="s">
        <v>701</v>
      </c>
      <c r="P12" t="s">
        <v>701</v>
      </c>
      <c r="Q12" t="s">
        <v>735</v>
      </c>
      <c r="R12" t="s">
        <v>701</v>
      </c>
    </row>
    <row r="13" spans="1:18">
      <c r="D13" s="3" t="s">
        <v>13</v>
      </c>
      <c r="E13" s="4" t="s">
        <v>14</v>
      </c>
      <c r="F13" t="s">
        <v>736</v>
      </c>
      <c r="G13" t="s">
        <v>736</v>
      </c>
      <c r="H13" t="s">
        <v>736</v>
      </c>
      <c r="I13" t="s">
        <v>736</v>
      </c>
      <c r="J13" t="s">
        <v>736</v>
      </c>
      <c r="K13" t="s">
        <v>736</v>
      </c>
      <c r="L13" t="s">
        <v>736</v>
      </c>
      <c r="M13" t="s">
        <v>736</v>
      </c>
      <c r="N13" t="s">
        <v>736</v>
      </c>
      <c r="O13" t="s">
        <v>736</v>
      </c>
      <c r="P13" t="s">
        <v>736</v>
      </c>
      <c r="Q13" t="s">
        <v>736</v>
      </c>
      <c r="R13" t="s">
        <v>736</v>
      </c>
    </row>
    <row r="14" spans="1:18">
      <c r="D14" s="3" t="s">
        <v>13</v>
      </c>
      <c r="E14" s="2" t="s">
        <v>15</v>
      </c>
      <c r="F14" t="s">
        <v>735</v>
      </c>
      <c r="G14" t="s">
        <v>735</v>
      </c>
      <c r="H14" t="s">
        <v>735</v>
      </c>
      <c r="I14" t="s">
        <v>735</v>
      </c>
      <c r="J14" t="s">
        <v>735</v>
      </c>
      <c r="K14" t="s">
        <v>735</v>
      </c>
      <c r="L14" t="s">
        <v>735</v>
      </c>
      <c r="M14" t="s">
        <v>735</v>
      </c>
      <c r="N14" t="s">
        <v>734</v>
      </c>
      <c r="O14" t="s">
        <v>734</v>
      </c>
      <c r="P14" t="s">
        <v>734</v>
      </c>
      <c r="Q14" t="s">
        <v>734</v>
      </c>
      <c r="R14" t="s">
        <v>735</v>
      </c>
    </row>
    <row r="15" spans="1:18">
      <c r="D15" s="3" t="s">
        <v>13</v>
      </c>
      <c r="E15" s="2" t="s">
        <v>16</v>
      </c>
      <c r="F15" t="s">
        <v>732</v>
      </c>
      <c r="G15" t="s">
        <v>732</v>
      </c>
      <c r="H15" t="s">
        <v>732</v>
      </c>
      <c r="I15" t="s">
        <v>732</v>
      </c>
      <c r="J15" t="s">
        <v>732</v>
      </c>
      <c r="K15" t="s">
        <v>732</v>
      </c>
      <c r="L15" t="s">
        <v>732</v>
      </c>
      <c r="M15" t="s">
        <v>732</v>
      </c>
      <c r="N15" t="s">
        <v>732</v>
      </c>
      <c r="O15" t="s">
        <v>732</v>
      </c>
      <c r="P15" t="s">
        <v>732</v>
      </c>
      <c r="Q15" t="s">
        <v>732</v>
      </c>
      <c r="R15" t="s">
        <v>732</v>
      </c>
    </row>
    <row r="16" spans="1:18">
      <c r="D16" s="3" t="s">
        <v>13</v>
      </c>
      <c r="E16" s="2" t="s">
        <v>17</v>
      </c>
      <c r="F16" t="s">
        <v>732</v>
      </c>
      <c r="G16" t="s">
        <v>732</v>
      </c>
      <c r="H16" t="s">
        <v>736</v>
      </c>
      <c r="I16" t="s">
        <v>736</v>
      </c>
      <c r="J16" t="s">
        <v>736</v>
      </c>
      <c r="K16" t="s">
        <v>736</v>
      </c>
      <c r="L16" t="s">
        <v>736</v>
      </c>
      <c r="M16" t="s">
        <v>736</v>
      </c>
      <c r="N16" t="s">
        <v>736</v>
      </c>
      <c r="O16" t="s">
        <v>732</v>
      </c>
      <c r="P16" t="s">
        <v>732</v>
      </c>
      <c r="Q16" t="s">
        <v>732</v>
      </c>
      <c r="R16" t="s">
        <v>732</v>
      </c>
    </row>
    <row r="17" spans="4:18">
      <c r="D17" s="3" t="s">
        <v>13</v>
      </c>
      <c r="E17" s="2" t="s">
        <v>18</v>
      </c>
      <c r="F17" t="s">
        <v>701</v>
      </c>
      <c r="G17" t="s">
        <v>701</v>
      </c>
      <c r="H17" t="s">
        <v>733</v>
      </c>
      <c r="I17" t="s">
        <v>734</v>
      </c>
      <c r="J17" t="s">
        <v>733</v>
      </c>
      <c r="K17" t="s">
        <v>732</v>
      </c>
      <c r="L17" t="s">
        <v>732</v>
      </c>
      <c r="M17" t="s">
        <v>732</v>
      </c>
      <c r="N17" t="s">
        <v>732</v>
      </c>
      <c r="O17" t="s">
        <v>701</v>
      </c>
      <c r="P17" t="s">
        <v>701</v>
      </c>
      <c r="Q17" t="s">
        <v>701</v>
      </c>
      <c r="R17" t="s">
        <v>701</v>
      </c>
    </row>
    <row r="18" spans="4:18">
      <c r="D18" s="3" t="s">
        <v>19</v>
      </c>
      <c r="E18" s="4" t="s">
        <v>20</v>
      </c>
      <c r="F18" t="s">
        <v>701</v>
      </c>
      <c r="G18" t="s">
        <v>701</v>
      </c>
      <c r="H18" t="s">
        <v>702</v>
      </c>
      <c r="I18" t="s">
        <v>702</v>
      </c>
      <c r="J18" t="s">
        <v>702</v>
      </c>
      <c r="K18" t="s">
        <v>702</v>
      </c>
      <c r="L18" t="s">
        <v>702</v>
      </c>
      <c r="M18" t="s">
        <v>702</v>
      </c>
      <c r="N18" t="s">
        <v>701</v>
      </c>
      <c r="O18" t="s">
        <v>701</v>
      </c>
      <c r="P18" t="s">
        <v>702</v>
      </c>
      <c r="Q18" t="s">
        <v>701</v>
      </c>
      <c r="R18" t="s">
        <v>702</v>
      </c>
    </row>
    <row r="19" spans="4:18">
      <c r="D19" s="3" t="s">
        <v>19</v>
      </c>
      <c r="E19" s="2" t="s">
        <v>21</v>
      </c>
      <c r="F19" t="s">
        <v>735</v>
      </c>
      <c r="G19" t="s">
        <v>735</v>
      </c>
      <c r="H19" t="s">
        <v>735</v>
      </c>
      <c r="I19" t="s">
        <v>735</v>
      </c>
      <c r="J19" t="s">
        <v>735</v>
      </c>
      <c r="K19" t="s">
        <v>735</v>
      </c>
      <c r="L19" t="s">
        <v>735</v>
      </c>
      <c r="M19" t="s">
        <v>735</v>
      </c>
      <c r="N19" t="s">
        <v>735</v>
      </c>
      <c r="O19" t="s">
        <v>735</v>
      </c>
      <c r="P19" t="s">
        <v>735</v>
      </c>
      <c r="Q19" t="s">
        <v>735</v>
      </c>
      <c r="R19" t="s">
        <v>735</v>
      </c>
    </row>
    <row r="20" spans="4:18">
      <c r="D20" s="3" t="s">
        <v>19</v>
      </c>
      <c r="E20" s="2" t="s">
        <v>22</v>
      </c>
      <c r="F20" t="s">
        <v>736</v>
      </c>
      <c r="G20" t="s">
        <v>736</v>
      </c>
      <c r="H20" t="s">
        <v>702</v>
      </c>
      <c r="I20" t="s">
        <v>702</v>
      </c>
      <c r="J20" t="s">
        <v>702</v>
      </c>
      <c r="K20" t="s">
        <v>736</v>
      </c>
      <c r="L20" t="s">
        <v>736</v>
      </c>
      <c r="M20" t="s">
        <v>702</v>
      </c>
      <c r="N20" t="s">
        <v>534</v>
      </c>
      <c r="O20" t="s">
        <v>702</v>
      </c>
      <c r="P20" t="s">
        <v>702</v>
      </c>
      <c r="Q20" t="s">
        <v>736</v>
      </c>
      <c r="R20" t="s">
        <v>702</v>
      </c>
    </row>
    <row r="21" spans="4:18">
      <c r="D21" s="3" t="s">
        <v>23</v>
      </c>
      <c r="E21" s="4" t="s">
        <v>24</v>
      </c>
      <c r="F21" t="s">
        <v>733</v>
      </c>
      <c r="G21" t="s">
        <v>734</v>
      </c>
      <c r="H21" t="s">
        <v>734</v>
      </c>
      <c r="I21" t="s">
        <v>734</v>
      </c>
      <c r="J21" t="s">
        <v>734</v>
      </c>
      <c r="K21" t="s">
        <v>734</v>
      </c>
      <c r="L21" t="s">
        <v>734</v>
      </c>
      <c r="M21" t="s">
        <v>734</v>
      </c>
      <c r="N21" t="s">
        <v>734</v>
      </c>
      <c r="O21" t="s">
        <v>734</v>
      </c>
      <c r="P21" t="s">
        <v>734</v>
      </c>
      <c r="Q21" t="s">
        <v>733</v>
      </c>
      <c r="R21" t="s">
        <v>734</v>
      </c>
    </row>
    <row r="22" spans="4:18" ht="22.8">
      <c r="D22" s="3" t="s">
        <v>23</v>
      </c>
      <c r="E22" s="4" t="s">
        <v>25</v>
      </c>
      <c r="F22" t="s">
        <v>734</v>
      </c>
      <c r="G22" t="s">
        <v>734</v>
      </c>
      <c r="H22" t="s">
        <v>734</v>
      </c>
      <c r="I22" t="s">
        <v>734</v>
      </c>
      <c r="J22" t="s">
        <v>734</v>
      </c>
      <c r="K22" t="s">
        <v>734</v>
      </c>
      <c r="L22" t="s">
        <v>734</v>
      </c>
      <c r="M22" t="s">
        <v>734</v>
      </c>
      <c r="N22" t="s">
        <v>734</v>
      </c>
      <c r="O22" t="s">
        <v>734</v>
      </c>
      <c r="P22" t="s">
        <v>734</v>
      </c>
      <c r="Q22" t="s">
        <v>734</v>
      </c>
      <c r="R22" t="s">
        <v>734</v>
      </c>
    </row>
    <row r="23" spans="4:18">
      <c r="D23" s="3" t="s">
        <v>23</v>
      </c>
      <c r="E23" s="2" t="s">
        <v>26</v>
      </c>
      <c r="F23" t="s">
        <v>732</v>
      </c>
      <c r="G23" t="s">
        <v>732</v>
      </c>
      <c r="H23" t="s">
        <v>732</v>
      </c>
      <c r="I23" t="s">
        <v>732</v>
      </c>
      <c r="J23" t="s">
        <v>733</v>
      </c>
      <c r="K23" t="s">
        <v>733</v>
      </c>
      <c r="L23" t="s">
        <v>733</v>
      </c>
      <c r="M23" t="s">
        <v>733</v>
      </c>
      <c r="N23" t="s">
        <v>733</v>
      </c>
      <c r="O23" t="s">
        <v>733</v>
      </c>
      <c r="P23" t="s">
        <v>733</v>
      </c>
      <c r="Q23" t="s">
        <v>733</v>
      </c>
      <c r="R23" t="s">
        <v>733</v>
      </c>
    </row>
    <row r="24" spans="4:18">
      <c r="D24" s="3" t="s">
        <v>23</v>
      </c>
      <c r="E24" s="2" t="s">
        <v>27</v>
      </c>
      <c r="F24" t="s">
        <v>701</v>
      </c>
      <c r="G24" t="s">
        <v>701</v>
      </c>
      <c r="H24" t="s">
        <v>701</v>
      </c>
      <c r="I24" t="s">
        <v>701</v>
      </c>
      <c r="J24" t="s">
        <v>701</v>
      </c>
      <c r="K24" t="s">
        <v>701</v>
      </c>
      <c r="L24" t="s">
        <v>701</v>
      </c>
      <c r="M24" t="s">
        <v>701</v>
      </c>
      <c r="N24" t="s">
        <v>701</v>
      </c>
      <c r="O24" t="s">
        <v>701</v>
      </c>
      <c r="P24" t="s">
        <v>702</v>
      </c>
      <c r="Q24" t="s">
        <v>702</v>
      </c>
      <c r="R24" t="s">
        <v>701</v>
      </c>
    </row>
    <row r="25" spans="4:18" ht="22.8">
      <c r="D25" s="3" t="s">
        <v>23</v>
      </c>
      <c r="E25" s="2" t="s">
        <v>28</v>
      </c>
      <c r="F25" t="s">
        <v>734</v>
      </c>
      <c r="G25" t="s">
        <v>734</v>
      </c>
      <c r="H25" t="s">
        <v>734</v>
      </c>
      <c r="I25" t="s">
        <v>734</v>
      </c>
      <c r="J25" t="s">
        <v>736</v>
      </c>
      <c r="K25" t="s">
        <v>736</v>
      </c>
      <c r="L25" t="s">
        <v>736</v>
      </c>
      <c r="M25" t="s">
        <v>736</v>
      </c>
      <c r="N25" t="s">
        <v>736</v>
      </c>
      <c r="O25" t="s">
        <v>734</v>
      </c>
      <c r="P25" t="s">
        <v>734</v>
      </c>
      <c r="Q25" t="s">
        <v>736</v>
      </c>
      <c r="R25" t="s">
        <v>734</v>
      </c>
    </row>
    <row r="26" spans="4:18">
      <c r="D26" s="3" t="s">
        <v>23</v>
      </c>
      <c r="E26" s="2" t="s">
        <v>29</v>
      </c>
      <c r="F26" t="s">
        <v>736</v>
      </c>
      <c r="G26" t="s">
        <v>736</v>
      </c>
      <c r="H26" t="s">
        <v>736</v>
      </c>
      <c r="I26" t="s">
        <v>736</v>
      </c>
      <c r="J26" t="s">
        <v>736</v>
      </c>
      <c r="K26" t="s">
        <v>736</v>
      </c>
      <c r="L26" t="s">
        <v>736</v>
      </c>
      <c r="M26" t="s">
        <v>736</v>
      </c>
      <c r="N26" t="s">
        <v>736</v>
      </c>
      <c r="O26" t="s">
        <v>736</v>
      </c>
      <c r="P26" t="s">
        <v>736</v>
      </c>
      <c r="Q26" t="s">
        <v>736</v>
      </c>
      <c r="R26" t="s">
        <v>736</v>
      </c>
    </row>
    <row r="27" spans="4:18">
      <c r="D27" s="3" t="s">
        <v>23</v>
      </c>
      <c r="E27" s="2" t="s">
        <v>30</v>
      </c>
      <c r="F27" t="s">
        <v>732</v>
      </c>
      <c r="G27" t="s">
        <v>732</v>
      </c>
      <c r="H27" t="s">
        <v>701</v>
      </c>
      <c r="I27" t="s">
        <v>701</v>
      </c>
      <c r="J27" t="s">
        <v>701</v>
      </c>
      <c r="K27" t="s">
        <v>701</v>
      </c>
      <c r="L27" t="s">
        <v>701</v>
      </c>
      <c r="M27" t="s">
        <v>733</v>
      </c>
      <c r="N27" t="s">
        <v>701</v>
      </c>
      <c r="O27" t="s">
        <v>701</v>
      </c>
      <c r="P27" t="s">
        <v>732</v>
      </c>
      <c r="Q27" t="s">
        <v>732</v>
      </c>
      <c r="R27" t="s">
        <v>701</v>
      </c>
    </row>
    <row r="28" spans="4:18">
      <c r="D28" s="3" t="s">
        <v>23</v>
      </c>
      <c r="E28" s="2" t="s">
        <v>31</v>
      </c>
      <c r="F28" t="s">
        <v>701</v>
      </c>
      <c r="G28" t="s">
        <v>701</v>
      </c>
      <c r="H28" t="s">
        <v>736</v>
      </c>
      <c r="I28" t="s">
        <v>736</v>
      </c>
      <c r="J28" t="s">
        <v>736</v>
      </c>
      <c r="K28" t="s">
        <v>736</v>
      </c>
      <c r="L28" t="s">
        <v>736</v>
      </c>
      <c r="M28" t="s">
        <v>736</v>
      </c>
      <c r="N28" t="s">
        <v>736</v>
      </c>
      <c r="O28" t="s">
        <v>736</v>
      </c>
      <c r="P28" t="s">
        <v>701</v>
      </c>
      <c r="Q28" t="s">
        <v>701</v>
      </c>
      <c r="R28" t="s">
        <v>736</v>
      </c>
    </row>
    <row r="29" spans="4:18">
      <c r="D29" s="3" t="s">
        <v>23</v>
      </c>
      <c r="E29" s="2" t="s">
        <v>32</v>
      </c>
      <c r="F29" t="s">
        <v>732</v>
      </c>
      <c r="G29" t="s">
        <v>732</v>
      </c>
      <c r="H29" t="s">
        <v>733</v>
      </c>
      <c r="I29" t="s">
        <v>733</v>
      </c>
      <c r="J29" t="s">
        <v>733</v>
      </c>
      <c r="K29" t="s">
        <v>733</v>
      </c>
      <c r="L29" t="s">
        <v>733</v>
      </c>
      <c r="M29" t="s">
        <v>733</v>
      </c>
      <c r="N29" t="s">
        <v>733</v>
      </c>
      <c r="O29" t="s">
        <v>733</v>
      </c>
      <c r="P29" t="s">
        <v>733</v>
      </c>
      <c r="Q29" t="s">
        <v>732</v>
      </c>
      <c r="R29" t="s">
        <v>733</v>
      </c>
    </row>
    <row r="30" spans="4:18">
      <c r="D30" s="3" t="s">
        <v>23</v>
      </c>
      <c r="E30" s="2" t="s">
        <v>33</v>
      </c>
      <c r="F30" t="s">
        <v>733</v>
      </c>
      <c r="G30" t="s">
        <v>733</v>
      </c>
      <c r="H30" t="s">
        <v>734</v>
      </c>
      <c r="I30" t="s">
        <v>702</v>
      </c>
      <c r="J30" t="s">
        <v>702</v>
      </c>
      <c r="K30" t="s">
        <v>702</v>
      </c>
      <c r="L30" t="s">
        <v>702</v>
      </c>
      <c r="M30" t="s">
        <v>733</v>
      </c>
      <c r="N30" t="s">
        <v>733</v>
      </c>
      <c r="O30" t="s">
        <v>733</v>
      </c>
      <c r="P30" t="s">
        <v>733</v>
      </c>
      <c r="Q30" t="s">
        <v>733</v>
      </c>
      <c r="R30" t="s">
        <v>733</v>
      </c>
    </row>
    <row r="31" spans="4:18">
      <c r="D31" s="3" t="s">
        <v>23</v>
      </c>
      <c r="E31" s="2" t="s">
        <v>34</v>
      </c>
      <c r="F31" t="s">
        <v>736</v>
      </c>
      <c r="G31" t="s">
        <v>736</v>
      </c>
      <c r="H31" t="s">
        <v>736</v>
      </c>
      <c r="I31" t="s">
        <v>736</v>
      </c>
      <c r="J31" t="s">
        <v>736</v>
      </c>
      <c r="K31" t="s">
        <v>736</v>
      </c>
      <c r="L31" t="s">
        <v>736</v>
      </c>
      <c r="M31" t="s">
        <v>736</v>
      </c>
      <c r="N31" t="s">
        <v>736</v>
      </c>
      <c r="O31" t="s">
        <v>736</v>
      </c>
      <c r="P31" t="s">
        <v>734</v>
      </c>
      <c r="Q31" t="s">
        <v>734</v>
      </c>
      <c r="R31" t="s">
        <v>736</v>
      </c>
    </row>
    <row r="32" spans="4:18">
      <c r="D32" s="3" t="s">
        <v>23</v>
      </c>
      <c r="E32" s="2" t="s">
        <v>35</v>
      </c>
      <c r="F32" t="s">
        <v>534</v>
      </c>
      <c r="G32" t="s">
        <v>734</v>
      </c>
      <c r="H32" t="s">
        <v>734</v>
      </c>
      <c r="I32" t="s">
        <v>734</v>
      </c>
      <c r="J32" t="s">
        <v>734</v>
      </c>
      <c r="K32" t="s">
        <v>734</v>
      </c>
      <c r="L32" t="s">
        <v>734</v>
      </c>
      <c r="M32" t="s">
        <v>734</v>
      </c>
      <c r="N32" t="s">
        <v>734</v>
      </c>
      <c r="O32" t="s">
        <v>734</v>
      </c>
      <c r="P32" t="s">
        <v>734</v>
      </c>
      <c r="Q32" t="s">
        <v>534</v>
      </c>
      <c r="R32" t="s">
        <v>734</v>
      </c>
    </row>
    <row r="33" spans="4:18">
      <c r="D33" s="3" t="s">
        <v>23</v>
      </c>
      <c r="E33" s="2" t="s">
        <v>36</v>
      </c>
      <c r="F33" t="s">
        <v>732</v>
      </c>
      <c r="G33" t="s">
        <v>732</v>
      </c>
      <c r="H33" t="s">
        <v>732</v>
      </c>
      <c r="I33" t="s">
        <v>732</v>
      </c>
      <c r="J33" t="s">
        <v>732</v>
      </c>
      <c r="K33" t="s">
        <v>702</v>
      </c>
      <c r="L33" t="s">
        <v>702</v>
      </c>
      <c r="M33" t="s">
        <v>702</v>
      </c>
      <c r="N33" t="s">
        <v>702</v>
      </c>
      <c r="O33" t="s">
        <v>733</v>
      </c>
      <c r="P33" t="s">
        <v>732</v>
      </c>
      <c r="Q33" t="s">
        <v>733</v>
      </c>
      <c r="R33" t="s">
        <v>732</v>
      </c>
    </row>
    <row r="34" spans="4:18">
      <c r="D34" s="3" t="s">
        <v>23</v>
      </c>
      <c r="E34" s="2" t="s">
        <v>37</v>
      </c>
      <c r="F34" t="s">
        <v>732</v>
      </c>
      <c r="G34" t="s">
        <v>736</v>
      </c>
      <c r="H34" t="s">
        <v>734</v>
      </c>
      <c r="I34" t="s">
        <v>734</v>
      </c>
      <c r="J34" t="s">
        <v>734</v>
      </c>
      <c r="K34" t="s">
        <v>734</v>
      </c>
      <c r="L34" t="s">
        <v>734</v>
      </c>
      <c r="M34" t="s">
        <v>734</v>
      </c>
      <c r="N34" t="s">
        <v>734</v>
      </c>
      <c r="O34" t="s">
        <v>734</v>
      </c>
      <c r="P34" t="s">
        <v>736</v>
      </c>
      <c r="Q34" t="s">
        <v>732</v>
      </c>
      <c r="R34" t="s">
        <v>734</v>
      </c>
    </row>
    <row r="35" spans="4:18" ht="22.8">
      <c r="D35" s="3" t="s">
        <v>23</v>
      </c>
      <c r="E35" s="2" t="s">
        <v>38</v>
      </c>
      <c r="F35" t="b">
        <v>0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t="b">
        <v>0</v>
      </c>
    </row>
    <row r="36" spans="4:18">
      <c r="D36" s="3" t="s">
        <v>23</v>
      </c>
      <c r="E36" s="2" t="s">
        <v>39</v>
      </c>
      <c r="F36" t="s">
        <v>736</v>
      </c>
      <c r="G36" t="s">
        <v>736</v>
      </c>
      <c r="H36" t="s">
        <v>736</v>
      </c>
      <c r="I36" t="s">
        <v>736</v>
      </c>
      <c r="J36" t="s">
        <v>736</v>
      </c>
      <c r="K36" t="s">
        <v>736</v>
      </c>
      <c r="L36" t="s">
        <v>736</v>
      </c>
      <c r="M36" t="s">
        <v>736</v>
      </c>
      <c r="N36" t="s">
        <v>736</v>
      </c>
      <c r="O36" t="s">
        <v>736</v>
      </c>
      <c r="P36" t="s">
        <v>736</v>
      </c>
      <c r="Q36" t="s">
        <v>736</v>
      </c>
      <c r="R36" t="s">
        <v>736</v>
      </c>
    </row>
    <row r="37" spans="4:18">
      <c r="D37" s="3" t="s">
        <v>23</v>
      </c>
      <c r="E37" s="2" t="s">
        <v>40</v>
      </c>
      <c r="F37" t="s">
        <v>732</v>
      </c>
      <c r="G37" t="s">
        <v>732</v>
      </c>
      <c r="H37" t="s">
        <v>732</v>
      </c>
      <c r="I37" t="s">
        <v>732</v>
      </c>
      <c r="J37" t="s">
        <v>732</v>
      </c>
      <c r="K37" t="s">
        <v>732</v>
      </c>
      <c r="L37" t="s">
        <v>732</v>
      </c>
      <c r="M37" t="s">
        <v>732</v>
      </c>
      <c r="N37" t="s">
        <v>732</v>
      </c>
      <c r="O37" t="s">
        <v>733</v>
      </c>
      <c r="P37" t="s">
        <v>733</v>
      </c>
      <c r="Q37" t="s">
        <v>733</v>
      </c>
      <c r="R37" t="s">
        <v>732</v>
      </c>
    </row>
    <row r="38" spans="4:18">
      <c r="D38" s="3" t="s">
        <v>23</v>
      </c>
      <c r="E38" s="2" t="s">
        <v>41</v>
      </c>
      <c r="F38" t="s">
        <v>701</v>
      </c>
      <c r="G38" t="s">
        <v>701</v>
      </c>
      <c r="H38" t="s">
        <v>701</v>
      </c>
      <c r="I38" t="s">
        <v>701</v>
      </c>
      <c r="J38" t="s">
        <v>702</v>
      </c>
      <c r="K38" t="s">
        <v>702</v>
      </c>
      <c r="L38" t="s">
        <v>702</v>
      </c>
      <c r="M38" t="s">
        <v>702</v>
      </c>
      <c r="N38" t="s">
        <v>702</v>
      </c>
      <c r="O38" t="s">
        <v>702</v>
      </c>
      <c r="P38" t="s">
        <v>733</v>
      </c>
      <c r="Q38" t="s">
        <v>733</v>
      </c>
      <c r="R38" t="s">
        <v>701</v>
      </c>
    </row>
    <row r="39" spans="4:18">
      <c r="D39" s="3" t="s">
        <v>23</v>
      </c>
      <c r="E39" s="2" t="s">
        <v>42</v>
      </c>
      <c r="F39" t="s">
        <v>733</v>
      </c>
      <c r="G39" t="s">
        <v>733</v>
      </c>
      <c r="H39" t="s">
        <v>733</v>
      </c>
      <c r="I39" t="s">
        <v>733</v>
      </c>
      <c r="J39" t="s">
        <v>733</v>
      </c>
      <c r="K39" t="s">
        <v>733</v>
      </c>
      <c r="L39" t="s">
        <v>733</v>
      </c>
      <c r="M39" t="s">
        <v>733</v>
      </c>
      <c r="N39" t="s">
        <v>733</v>
      </c>
      <c r="O39" t="s">
        <v>733</v>
      </c>
      <c r="P39" t="s">
        <v>733</v>
      </c>
      <c r="Q39" t="s">
        <v>733</v>
      </c>
      <c r="R39" t="s">
        <v>733</v>
      </c>
    </row>
    <row r="40" spans="4:18">
      <c r="D40" s="3" t="s">
        <v>23</v>
      </c>
      <c r="E40" s="2" t="s">
        <v>43</v>
      </c>
      <c r="F40" t="s">
        <v>732</v>
      </c>
      <c r="G40" t="s">
        <v>732</v>
      </c>
      <c r="H40" t="s">
        <v>732</v>
      </c>
      <c r="I40" t="s">
        <v>732</v>
      </c>
      <c r="J40" t="s">
        <v>732</v>
      </c>
      <c r="K40" t="s">
        <v>732</v>
      </c>
      <c r="L40" t="s">
        <v>732</v>
      </c>
      <c r="M40" t="s">
        <v>732</v>
      </c>
      <c r="N40" t="s">
        <v>732</v>
      </c>
      <c r="O40" t="s">
        <v>736</v>
      </c>
      <c r="P40" t="s">
        <v>736</v>
      </c>
      <c r="Q40" t="s">
        <v>736</v>
      </c>
      <c r="R40" t="s">
        <v>732</v>
      </c>
    </row>
    <row r="41" spans="4:18">
      <c r="D41" s="3" t="s">
        <v>23</v>
      </c>
      <c r="E41" s="2" t="s">
        <v>44</v>
      </c>
      <c r="F41" t="s">
        <v>733</v>
      </c>
      <c r="G41" t="s">
        <v>733</v>
      </c>
      <c r="H41" t="s">
        <v>733</v>
      </c>
      <c r="I41" t="s">
        <v>733</v>
      </c>
      <c r="J41" t="s">
        <v>733</v>
      </c>
      <c r="K41" t="s">
        <v>733</v>
      </c>
      <c r="L41" t="s">
        <v>733</v>
      </c>
      <c r="M41" t="s">
        <v>733</v>
      </c>
      <c r="N41" t="s">
        <v>733</v>
      </c>
      <c r="O41" t="s">
        <v>733</v>
      </c>
      <c r="P41" t="s">
        <v>733</v>
      </c>
      <c r="Q41" t="s">
        <v>733</v>
      </c>
      <c r="R41" t="s">
        <v>733</v>
      </c>
    </row>
    <row r="42" spans="4:18" ht="22.8">
      <c r="D42" s="3" t="s">
        <v>23</v>
      </c>
      <c r="E42" s="2" t="s">
        <v>45</v>
      </c>
      <c r="F42" t="s">
        <v>733</v>
      </c>
      <c r="G42" t="s">
        <v>733</v>
      </c>
      <c r="H42" t="s">
        <v>733</v>
      </c>
      <c r="I42" t="s">
        <v>734</v>
      </c>
      <c r="J42" t="s">
        <v>734</v>
      </c>
      <c r="K42" t="s">
        <v>734</v>
      </c>
      <c r="L42" t="s">
        <v>734</v>
      </c>
      <c r="M42" t="s">
        <v>734</v>
      </c>
      <c r="N42" t="s">
        <v>734</v>
      </c>
      <c r="O42" t="s">
        <v>734</v>
      </c>
      <c r="P42" t="s">
        <v>734</v>
      </c>
      <c r="Q42" t="s">
        <v>734</v>
      </c>
      <c r="R42" t="s">
        <v>734</v>
      </c>
    </row>
    <row r="43" spans="4:18" ht="22.8">
      <c r="D43" s="3" t="s">
        <v>23</v>
      </c>
      <c r="E43" s="2" t="s">
        <v>46</v>
      </c>
      <c r="F43" t="s">
        <v>733</v>
      </c>
      <c r="G43" t="s">
        <v>733</v>
      </c>
      <c r="H43" t="s">
        <v>733</v>
      </c>
      <c r="I43" t="s">
        <v>733</v>
      </c>
      <c r="J43" t="s">
        <v>733</v>
      </c>
      <c r="K43" t="s">
        <v>733</v>
      </c>
      <c r="L43" t="s">
        <v>733</v>
      </c>
      <c r="M43" t="s">
        <v>733</v>
      </c>
      <c r="N43" t="s">
        <v>733</v>
      </c>
      <c r="O43" t="s">
        <v>733</v>
      </c>
      <c r="P43" t="s">
        <v>733</v>
      </c>
      <c r="Q43" t="s">
        <v>733</v>
      </c>
      <c r="R43" t="s">
        <v>733</v>
      </c>
    </row>
    <row r="44" spans="4:18">
      <c r="D44" s="3" t="s">
        <v>23</v>
      </c>
      <c r="E44" s="2" t="s">
        <v>47</v>
      </c>
      <c r="F44" t="s">
        <v>734</v>
      </c>
      <c r="G44" t="s">
        <v>736</v>
      </c>
      <c r="H44" t="s">
        <v>736</v>
      </c>
      <c r="I44" t="s">
        <v>736</v>
      </c>
      <c r="J44" t="s">
        <v>736</v>
      </c>
      <c r="K44" t="s">
        <v>736</v>
      </c>
      <c r="L44" t="s">
        <v>736</v>
      </c>
      <c r="M44" t="s">
        <v>736</v>
      </c>
      <c r="N44" t="s">
        <v>736</v>
      </c>
      <c r="O44" t="s">
        <v>736</v>
      </c>
      <c r="P44" t="s">
        <v>734</v>
      </c>
      <c r="Q44" t="s">
        <v>734</v>
      </c>
      <c r="R44" t="s">
        <v>736</v>
      </c>
    </row>
    <row r="45" spans="4:18">
      <c r="D45" s="3" t="s">
        <v>23</v>
      </c>
      <c r="E45" s="2" t="s">
        <v>48</v>
      </c>
      <c r="F45" t="s">
        <v>733</v>
      </c>
      <c r="G45" t="s">
        <v>733</v>
      </c>
      <c r="H45" t="s">
        <v>733</v>
      </c>
      <c r="I45" t="s">
        <v>733</v>
      </c>
      <c r="J45" t="s">
        <v>733</v>
      </c>
      <c r="K45" t="s">
        <v>733</v>
      </c>
      <c r="L45" t="s">
        <v>733</v>
      </c>
      <c r="M45" t="s">
        <v>733</v>
      </c>
      <c r="N45" t="s">
        <v>733</v>
      </c>
      <c r="O45" t="s">
        <v>734</v>
      </c>
      <c r="P45" t="s">
        <v>733</v>
      </c>
      <c r="Q45" t="s">
        <v>733</v>
      </c>
      <c r="R45" t="s">
        <v>733</v>
      </c>
    </row>
    <row r="46" spans="4:18">
      <c r="D46" s="3" t="s">
        <v>23</v>
      </c>
      <c r="E46" s="2" t="s">
        <v>49</v>
      </c>
      <c r="F46" t="s">
        <v>732</v>
      </c>
      <c r="G46" t="s">
        <v>732</v>
      </c>
      <c r="H46" t="s">
        <v>733</v>
      </c>
      <c r="I46" t="s">
        <v>733</v>
      </c>
      <c r="J46" t="s">
        <v>734</v>
      </c>
      <c r="K46" t="s">
        <v>734</v>
      </c>
      <c r="L46" t="s">
        <v>733</v>
      </c>
      <c r="M46" t="s">
        <v>733</v>
      </c>
      <c r="N46" t="s">
        <v>733</v>
      </c>
      <c r="O46" t="s">
        <v>733</v>
      </c>
      <c r="P46" t="s">
        <v>732</v>
      </c>
      <c r="Q46" t="s">
        <v>732</v>
      </c>
      <c r="R46" t="s">
        <v>733</v>
      </c>
    </row>
    <row r="47" spans="4:18">
      <c r="D47" s="2" t="s">
        <v>50</v>
      </c>
      <c r="E47" s="2" t="s">
        <v>51</v>
      </c>
      <c r="F47" t="s">
        <v>702</v>
      </c>
      <c r="G47" t="s">
        <v>702</v>
      </c>
      <c r="H47" t="s">
        <v>702</v>
      </c>
      <c r="I47" t="s">
        <v>702</v>
      </c>
      <c r="J47" t="s">
        <v>702</v>
      </c>
      <c r="K47" t="s">
        <v>702</v>
      </c>
      <c r="L47" t="s">
        <v>702</v>
      </c>
      <c r="M47" t="s">
        <v>702</v>
      </c>
      <c r="N47" t="s">
        <v>702</v>
      </c>
      <c r="O47" t="s">
        <v>702</v>
      </c>
      <c r="P47" t="s">
        <v>702</v>
      </c>
      <c r="Q47" t="s">
        <v>702</v>
      </c>
      <c r="R47" t="s">
        <v>702</v>
      </c>
    </row>
    <row r="48" spans="4:18" ht="22.8">
      <c r="D48" s="2" t="s">
        <v>50</v>
      </c>
      <c r="E48" s="2" t="s">
        <v>52</v>
      </c>
      <c r="F48" t="s">
        <v>701</v>
      </c>
      <c r="G48" t="s">
        <v>701</v>
      </c>
      <c r="H48" t="s">
        <v>701</v>
      </c>
      <c r="I48" t="s">
        <v>701</v>
      </c>
      <c r="J48" t="s">
        <v>701</v>
      </c>
      <c r="K48" t="s">
        <v>701</v>
      </c>
      <c r="L48" t="s">
        <v>701</v>
      </c>
      <c r="M48" t="s">
        <v>701</v>
      </c>
      <c r="N48" t="s">
        <v>701</v>
      </c>
      <c r="O48" t="s">
        <v>701</v>
      </c>
      <c r="P48" t="s">
        <v>701</v>
      </c>
      <c r="Q48" t="s">
        <v>701</v>
      </c>
      <c r="R48" t="s">
        <v>701</v>
      </c>
    </row>
    <row r="49" spans="4:18">
      <c r="D49" s="2" t="s">
        <v>50</v>
      </c>
      <c r="E49" s="4" t="s">
        <v>53</v>
      </c>
      <c r="F49" t="s">
        <v>702</v>
      </c>
      <c r="G49" t="s">
        <v>702</v>
      </c>
      <c r="H49" t="s">
        <v>702</v>
      </c>
      <c r="I49" t="s">
        <v>702</v>
      </c>
      <c r="J49" t="s">
        <v>702</v>
      </c>
      <c r="K49" t="s">
        <v>702</v>
      </c>
      <c r="L49" t="s">
        <v>702</v>
      </c>
      <c r="M49" t="s">
        <v>702</v>
      </c>
      <c r="N49" t="s">
        <v>702</v>
      </c>
      <c r="O49" t="s">
        <v>702</v>
      </c>
      <c r="P49" t="s">
        <v>702</v>
      </c>
      <c r="Q49" t="s">
        <v>702</v>
      </c>
      <c r="R49" t="s">
        <v>702</v>
      </c>
    </row>
    <row r="50" spans="4:18">
      <c r="D50" s="2" t="s">
        <v>50</v>
      </c>
      <c r="E50" s="3" t="s">
        <v>54</v>
      </c>
      <c r="F50" t="s">
        <v>732</v>
      </c>
      <c r="G50" t="s">
        <v>732</v>
      </c>
      <c r="H50" t="s">
        <v>732</v>
      </c>
      <c r="I50" t="s">
        <v>732</v>
      </c>
      <c r="J50" t="s">
        <v>732</v>
      </c>
      <c r="K50" t="s">
        <v>732</v>
      </c>
      <c r="L50" t="s">
        <v>732</v>
      </c>
      <c r="M50" t="s">
        <v>732</v>
      </c>
      <c r="N50" t="s">
        <v>732</v>
      </c>
      <c r="O50" t="s">
        <v>732</v>
      </c>
      <c r="P50" t="s">
        <v>732</v>
      </c>
      <c r="Q50" t="s">
        <v>732</v>
      </c>
      <c r="R50" t="s">
        <v>732</v>
      </c>
    </row>
    <row r="51" spans="4:18">
      <c r="D51" s="2" t="s">
        <v>50</v>
      </c>
      <c r="E51" s="3" t="s">
        <v>55</v>
      </c>
      <c r="F51" t="s">
        <v>734</v>
      </c>
      <c r="G51" t="s">
        <v>734</v>
      </c>
      <c r="H51" t="s">
        <v>732</v>
      </c>
      <c r="I51" t="s">
        <v>732</v>
      </c>
      <c r="J51" t="s">
        <v>732</v>
      </c>
      <c r="K51" t="s">
        <v>732</v>
      </c>
      <c r="L51" t="s">
        <v>732</v>
      </c>
      <c r="M51" t="s">
        <v>732</v>
      </c>
      <c r="N51" t="s">
        <v>732</v>
      </c>
      <c r="O51" t="s">
        <v>732</v>
      </c>
      <c r="P51" t="s">
        <v>732</v>
      </c>
      <c r="Q51" t="s">
        <v>732</v>
      </c>
      <c r="R51" t="s">
        <v>732</v>
      </c>
    </row>
    <row r="52" spans="4:18">
      <c r="D52" s="3" t="s">
        <v>56</v>
      </c>
      <c r="E52" s="3" t="s">
        <v>57</v>
      </c>
      <c r="F52" t="s">
        <v>734</v>
      </c>
      <c r="G52" t="s">
        <v>734</v>
      </c>
      <c r="H52" t="s">
        <v>733</v>
      </c>
      <c r="I52" t="s">
        <v>733</v>
      </c>
      <c r="J52" t="s">
        <v>733</v>
      </c>
      <c r="K52" t="s">
        <v>733</v>
      </c>
      <c r="L52" t="s">
        <v>736</v>
      </c>
      <c r="M52" t="s">
        <v>736</v>
      </c>
      <c r="N52" t="s">
        <v>736</v>
      </c>
      <c r="O52" t="s">
        <v>736</v>
      </c>
      <c r="P52" t="s">
        <v>736</v>
      </c>
      <c r="Q52" t="s">
        <v>736</v>
      </c>
      <c r="R52" t="s">
        <v>736</v>
      </c>
    </row>
    <row r="53" spans="4:18">
      <c r="D53" s="3" t="s">
        <v>56</v>
      </c>
      <c r="E53" s="3" t="s">
        <v>58</v>
      </c>
      <c r="F53" t="s">
        <v>733</v>
      </c>
      <c r="G53" t="s">
        <v>733</v>
      </c>
      <c r="H53" t="s">
        <v>733</v>
      </c>
      <c r="I53" t="s">
        <v>733</v>
      </c>
      <c r="J53" t="s">
        <v>733</v>
      </c>
      <c r="K53" t="s">
        <v>733</v>
      </c>
      <c r="L53" t="s">
        <v>701</v>
      </c>
      <c r="M53" t="s">
        <v>701</v>
      </c>
      <c r="N53" t="s">
        <v>701</v>
      </c>
      <c r="O53" t="s">
        <v>702</v>
      </c>
      <c r="P53" t="s">
        <v>702</v>
      </c>
      <c r="Q53" t="s">
        <v>702</v>
      </c>
      <c r="R53" t="s">
        <v>733</v>
      </c>
    </row>
    <row r="54" spans="4:18">
      <c r="D54" s="3" t="s">
        <v>59</v>
      </c>
      <c r="E54" s="3" t="s">
        <v>408</v>
      </c>
      <c r="F54" t="s">
        <v>733</v>
      </c>
      <c r="G54" t="s">
        <v>733</v>
      </c>
      <c r="H54" t="s">
        <v>733</v>
      </c>
      <c r="I54" t="s">
        <v>733</v>
      </c>
      <c r="J54" t="s">
        <v>736</v>
      </c>
      <c r="K54" t="s">
        <v>736</v>
      </c>
      <c r="L54" t="s">
        <v>736</v>
      </c>
      <c r="M54" t="s">
        <v>736</v>
      </c>
      <c r="N54" t="s">
        <v>736</v>
      </c>
      <c r="O54" t="s">
        <v>736</v>
      </c>
      <c r="P54" t="s">
        <v>736</v>
      </c>
      <c r="Q54" t="s">
        <v>733</v>
      </c>
      <c r="R54" t="s">
        <v>736</v>
      </c>
    </row>
    <row r="55" spans="4:18">
      <c r="D55" s="3" t="s">
        <v>59</v>
      </c>
      <c r="E55" s="3" t="s">
        <v>60</v>
      </c>
      <c r="F55" t="s">
        <v>733</v>
      </c>
      <c r="G55" t="s">
        <v>733</v>
      </c>
      <c r="H55" t="s">
        <v>733</v>
      </c>
      <c r="I55" t="s">
        <v>733</v>
      </c>
      <c r="J55" t="s">
        <v>733</v>
      </c>
      <c r="K55" t="s">
        <v>702</v>
      </c>
      <c r="L55" t="s">
        <v>702</v>
      </c>
      <c r="M55" t="s">
        <v>702</v>
      </c>
      <c r="N55" t="s">
        <v>733</v>
      </c>
      <c r="O55" t="s">
        <v>733</v>
      </c>
      <c r="P55" t="s">
        <v>733</v>
      </c>
      <c r="Q55" t="s">
        <v>733</v>
      </c>
      <c r="R55" t="s">
        <v>733</v>
      </c>
    </row>
    <row r="56" spans="4:18">
      <c r="D56" s="3" t="s">
        <v>61</v>
      </c>
      <c r="E56" s="3" t="s">
        <v>62</v>
      </c>
      <c r="F56" t="s">
        <v>733</v>
      </c>
      <c r="G56" t="s">
        <v>733</v>
      </c>
      <c r="H56" t="s">
        <v>733</v>
      </c>
      <c r="I56" t="s">
        <v>702</v>
      </c>
      <c r="J56" t="s">
        <v>702</v>
      </c>
      <c r="K56" t="s">
        <v>702</v>
      </c>
      <c r="L56" t="s">
        <v>702</v>
      </c>
      <c r="M56" t="s">
        <v>702</v>
      </c>
      <c r="N56" t="s">
        <v>702</v>
      </c>
      <c r="O56" t="s">
        <v>702</v>
      </c>
      <c r="P56" t="s">
        <v>702</v>
      </c>
      <c r="Q56" t="s">
        <v>733</v>
      </c>
      <c r="R56" t="s">
        <v>702</v>
      </c>
    </row>
    <row r="57" spans="4:18">
      <c r="D57" s="3" t="s">
        <v>64</v>
      </c>
      <c r="E57" s="3" t="s">
        <v>65</v>
      </c>
      <c r="F57" t="s">
        <v>701</v>
      </c>
      <c r="G57" t="s">
        <v>701</v>
      </c>
      <c r="H57" t="s">
        <v>732</v>
      </c>
      <c r="I57" t="s">
        <v>732</v>
      </c>
      <c r="J57" t="s">
        <v>732</v>
      </c>
      <c r="K57" t="s">
        <v>736</v>
      </c>
      <c r="L57" t="s">
        <v>734</v>
      </c>
      <c r="M57" t="s">
        <v>736</v>
      </c>
      <c r="N57" t="s">
        <v>534</v>
      </c>
      <c r="O57" t="s">
        <v>534</v>
      </c>
      <c r="P57" t="s">
        <v>701</v>
      </c>
      <c r="Q57" t="s">
        <v>701</v>
      </c>
      <c r="R57" t="s">
        <v>701</v>
      </c>
    </row>
    <row r="58" spans="4:18">
      <c r="D58" s="3" t="s">
        <v>64</v>
      </c>
      <c r="E58" s="3" t="s">
        <v>66</v>
      </c>
      <c r="F58" t="s">
        <v>701</v>
      </c>
      <c r="G58" t="s">
        <v>701</v>
      </c>
      <c r="H58" t="s">
        <v>732</v>
      </c>
      <c r="I58" t="s">
        <v>732</v>
      </c>
      <c r="J58" t="s">
        <v>732</v>
      </c>
      <c r="K58" t="s">
        <v>735</v>
      </c>
      <c r="L58" t="s">
        <v>732</v>
      </c>
      <c r="M58" t="s">
        <v>732</v>
      </c>
      <c r="N58" t="s">
        <v>534</v>
      </c>
      <c r="O58" t="s">
        <v>534</v>
      </c>
      <c r="P58" t="s">
        <v>733</v>
      </c>
      <c r="Q58" t="s">
        <v>733</v>
      </c>
      <c r="R58" t="s">
        <v>732</v>
      </c>
    </row>
    <row r="59" spans="4:18" ht="22.8">
      <c r="D59" s="3" t="s">
        <v>64</v>
      </c>
      <c r="E59" s="5" t="s">
        <v>67</v>
      </c>
      <c r="F59" t="s">
        <v>733</v>
      </c>
      <c r="G59" t="s">
        <v>701</v>
      </c>
      <c r="H59" t="s">
        <v>732</v>
      </c>
      <c r="I59" t="s">
        <v>735</v>
      </c>
      <c r="J59" t="s">
        <v>735</v>
      </c>
      <c r="K59" t="s">
        <v>735</v>
      </c>
      <c r="L59" t="s">
        <v>735</v>
      </c>
      <c r="M59" t="s">
        <v>735</v>
      </c>
      <c r="N59" t="s">
        <v>735</v>
      </c>
      <c r="O59" t="s">
        <v>735</v>
      </c>
      <c r="P59" t="s">
        <v>701</v>
      </c>
      <c r="Q59" t="s">
        <v>733</v>
      </c>
      <c r="R59" t="s">
        <v>735</v>
      </c>
    </row>
    <row r="60" spans="4:18">
      <c r="D60" s="3" t="s">
        <v>64</v>
      </c>
      <c r="E60" s="3" t="s">
        <v>68</v>
      </c>
      <c r="F60" t="s">
        <v>735</v>
      </c>
      <c r="G60" t="s">
        <v>735</v>
      </c>
      <c r="H60" t="s">
        <v>736</v>
      </c>
      <c r="I60" t="s">
        <v>735</v>
      </c>
      <c r="J60" t="s">
        <v>735</v>
      </c>
      <c r="K60" t="s">
        <v>735</v>
      </c>
      <c r="L60" t="s">
        <v>732</v>
      </c>
      <c r="M60" t="s">
        <v>735</v>
      </c>
      <c r="N60" t="s">
        <v>735</v>
      </c>
      <c r="O60" t="s">
        <v>534</v>
      </c>
      <c r="P60" t="s">
        <v>534</v>
      </c>
      <c r="Q60" t="s">
        <v>534</v>
      </c>
      <c r="R60" t="s">
        <v>735</v>
      </c>
    </row>
    <row r="61" spans="4:18">
      <c r="D61" s="3" t="s">
        <v>64</v>
      </c>
      <c r="E61" s="3" t="s">
        <v>69</v>
      </c>
      <c r="F61" t="s">
        <v>733</v>
      </c>
      <c r="G61" t="s">
        <v>733</v>
      </c>
      <c r="H61" t="s">
        <v>734</v>
      </c>
      <c r="I61" t="s">
        <v>734</v>
      </c>
      <c r="J61" t="s">
        <v>734</v>
      </c>
      <c r="K61" t="s">
        <v>734</v>
      </c>
      <c r="L61" t="s">
        <v>734</v>
      </c>
      <c r="M61" t="s">
        <v>734</v>
      </c>
      <c r="N61" t="s">
        <v>732</v>
      </c>
      <c r="O61" t="s">
        <v>732</v>
      </c>
      <c r="P61" t="s">
        <v>735</v>
      </c>
      <c r="Q61" t="s">
        <v>735</v>
      </c>
      <c r="R61" t="s">
        <v>734</v>
      </c>
    </row>
    <row r="62" spans="4:18">
      <c r="D62" s="3" t="s">
        <v>64</v>
      </c>
      <c r="E62" s="4" t="s">
        <v>70</v>
      </c>
      <c r="F62" t="s">
        <v>733</v>
      </c>
      <c r="G62" t="s">
        <v>733</v>
      </c>
      <c r="H62" t="s">
        <v>736</v>
      </c>
      <c r="I62" t="s">
        <v>732</v>
      </c>
      <c r="J62" t="s">
        <v>732</v>
      </c>
      <c r="K62" t="s">
        <v>736</v>
      </c>
      <c r="L62" t="s">
        <v>736</v>
      </c>
      <c r="M62" t="s">
        <v>736</v>
      </c>
      <c r="N62" t="s">
        <v>534</v>
      </c>
      <c r="O62" t="s">
        <v>534</v>
      </c>
      <c r="P62" t="s">
        <v>534</v>
      </c>
      <c r="Q62" t="s">
        <v>733</v>
      </c>
      <c r="R62" t="s">
        <v>736</v>
      </c>
    </row>
    <row r="63" spans="4:18">
      <c r="D63" s="3" t="s">
        <v>64</v>
      </c>
      <c r="E63" s="2" t="s">
        <v>71</v>
      </c>
      <c r="F63" t="s">
        <v>534</v>
      </c>
      <c r="G63" t="s">
        <v>534</v>
      </c>
      <c r="H63" t="s">
        <v>534</v>
      </c>
      <c r="I63" t="s">
        <v>534</v>
      </c>
      <c r="J63" t="s">
        <v>732</v>
      </c>
      <c r="K63" t="s">
        <v>732</v>
      </c>
      <c r="L63" t="s">
        <v>732</v>
      </c>
      <c r="M63" t="s">
        <v>732</v>
      </c>
      <c r="N63" t="s">
        <v>732</v>
      </c>
      <c r="O63" t="s">
        <v>732</v>
      </c>
      <c r="P63" t="s">
        <v>732</v>
      </c>
      <c r="Q63" t="s">
        <v>732</v>
      </c>
      <c r="R63" t="s">
        <v>732</v>
      </c>
    </row>
    <row r="64" spans="4:18">
      <c r="D64" s="3" t="s">
        <v>64</v>
      </c>
      <c r="E64" s="2" t="s">
        <v>72</v>
      </c>
      <c r="F64" t="s">
        <v>733</v>
      </c>
      <c r="G64" t="s">
        <v>733</v>
      </c>
      <c r="H64" t="s">
        <v>732</v>
      </c>
      <c r="I64" t="s">
        <v>732</v>
      </c>
      <c r="J64" t="s">
        <v>732</v>
      </c>
      <c r="K64" t="s">
        <v>732</v>
      </c>
      <c r="L64" t="s">
        <v>732</v>
      </c>
      <c r="M64" t="s">
        <v>732</v>
      </c>
      <c r="N64" t="s">
        <v>735</v>
      </c>
      <c r="O64" t="s">
        <v>534</v>
      </c>
      <c r="P64" t="s">
        <v>735</v>
      </c>
      <c r="Q64" t="s">
        <v>733</v>
      </c>
      <c r="R64" t="s">
        <v>732</v>
      </c>
    </row>
    <row r="65" spans="4:18">
      <c r="D65" s="3" t="s">
        <v>64</v>
      </c>
      <c r="E65" s="2" t="s">
        <v>73</v>
      </c>
      <c r="F65" t="s">
        <v>701</v>
      </c>
      <c r="G65" t="s">
        <v>701</v>
      </c>
      <c r="H65" t="s">
        <v>701</v>
      </c>
      <c r="I65" t="s">
        <v>701</v>
      </c>
      <c r="J65" t="s">
        <v>701</v>
      </c>
      <c r="K65" t="s">
        <v>701</v>
      </c>
      <c r="L65" t="s">
        <v>701</v>
      </c>
      <c r="M65" t="s">
        <v>701</v>
      </c>
      <c r="N65" t="s">
        <v>702</v>
      </c>
      <c r="O65" t="s">
        <v>702</v>
      </c>
      <c r="P65" t="s">
        <v>702</v>
      </c>
      <c r="Q65" t="s">
        <v>702</v>
      </c>
      <c r="R65" t="s">
        <v>701</v>
      </c>
    </row>
    <row r="66" spans="4:18">
      <c r="D66" s="3" t="s">
        <v>64</v>
      </c>
      <c r="E66" s="2" t="s">
        <v>74</v>
      </c>
      <c r="F66" t="s">
        <v>701</v>
      </c>
      <c r="G66" t="s">
        <v>701</v>
      </c>
      <c r="H66" t="s">
        <v>732</v>
      </c>
      <c r="I66" t="s">
        <v>702</v>
      </c>
      <c r="J66" t="s">
        <v>702</v>
      </c>
      <c r="K66" t="s">
        <v>736</v>
      </c>
      <c r="L66" t="s">
        <v>736</v>
      </c>
      <c r="M66" t="s">
        <v>735</v>
      </c>
      <c r="N66" t="s">
        <v>534</v>
      </c>
      <c r="O66" t="s">
        <v>701</v>
      </c>
      <c r="P66" t="s">
        <v>701</v>
      </c>
      <c r="Q66" t="s">
        <v>701</v>
      </c>
      <c r="R66" t="s">
        <v>701</v>
      </c>
    </row>
    <row r="67" spans="4:18">
      <c r="D67" s="3" t="s">
        <v>64</v>
      </c>
      <c r="E67" s="2" t="s">
        <v>75</v>
      </c>
      <c r="F67" t="s">
        <v>701</v>
      </c>
      <c r="G67" t="s">
        <v>701</v>
      </c>
      <c r="H67" t="s">
        <v>701</v>
      </c>
      <c r="I67" t="s">
        <v>701</v>
      </c>
      <c r="J67" t="s">
        <v>701</v>
      </c>
      <c r="K67" t="s">
        <v>701</v>
      </c>
      <c r="L67" t="s">
        <v>732</v>
      </c>
      <c r="M67" t="s">
        <v>732</v>
      </c>
      <c r="N67" t="s">
        <v>732</v>
      </c>
      <c r="O67" t="s">
        <v>732</v>
      </c>
      <c r="P67" t="s">
        <v>732</v>
      </c>
      <c r="Q67" t="s">
        <v>732</v>
      </c>
      <c r="R67" t="s">
        <v>701</v>
      </c>
    </row>
    <row r="68" spans="4:18">
      <c r="D68" s="3" t="s">
        <v>64</v>
      </c>
      <c r="E68" s="2" t="s">
        <v>76</v>
      </c>
      <c r="F68" t="s">
        <v>701</v>
      </c>
      <c r="G68" t="s">
        <v>701</v>
      </c>
      <c r="H68" t="s">
        <v>702</v>
      </c>
      <c r="I68" t="s">
        <v>702</v>
      </c>
      <c r="J68" t="s">
        <v>702</v>
      </c>
      <c r="K68" t="s">
        <v>701</v>
      </c>
      <c r="L68" t="s">
        <v>702</v>
      </c>
      <c r="M68" t="s">
        <v>701</v>
      </c>
      <c r="N68" t="s">
        <v>534</v>
      </c>
      <c r="O68" t="s">
        <v>701</v>
      </c>
      <c r="P68" t="s">
        <v>701</v>
      </c>
      <c r="Q68" t="s">
        <v>701</v>
      </c>
      <c r="R68" t="s">
        <v>701</v>
      </c>
    </row>
    <row r="69" spans="4:18">
      <c r="D69" s="3" t="s">
        <v>64</v>
      </c>
      <c r="E69" s="2" t="s">
        <v>77</v>
      </c>
      <c r="F69" t="s">
        <v>534</v>
      </c>
      <c r="G69" t="s">
        <v>534</v>
      </c>
      <c r="H69" t="s">
        <v>534</v>
      </c>
      <c r="I69" t="s">
        <v>534</v>
      </c>
      <c r="J69" t="s">
        <v>735</v>
      </c>
      <c r="K69" t="s">
        <v>735</v>
      </c>
      <c r="L69" t="s">
        <v>735</v>
      </c>
      <c r="M69" t="s">
        <v>735</v>
      </c>
      <c r="N69" t="s">
        <v>735</v>
      </c>
      <c r="O69" t="s">
        <v>735</v>
      </c>
      <c r="P69" t="s">
        <v>734</v>
      </c>
      <c r="Q69" t="s">
        <v>734</v>
      </c>
      <c r="R69" t="s">
        <v>735</v>
      </c>
    </row>
    <row r="70" spans="4:18">
      <c r="D70" s="3" t="s">
        <v>64</v>
      </c>
      <c r="E70" s="2" t="s">
        <v>78</v>
      </c>
      <c r="F70" t="s">
        <v>701</v>
      </c>
      <c r="G70" t="s">
        <v>701</v>
      </c>
      <c r="H70" t="s">
        <v>732</v>
      </c>
      <c r="I70" t="s">
        <v>732</v>
      </c>
      <c r="J70" t="s">
        <v>732</v>
      </c>
      <c r="K70" t="s">
        <v>732</v>
      </c>
      <c r="L70" t="s">
        <v>732</v>
      </c>
      <c r="M70" t="s">
        <v>732</v>
      </c>
      <c r="N70" t="s">
        <v>534</v>
      </c>
      <c r="O70" t="s">
        <v>534</v>
      </c>
      <c r="P70" t="s">
        <v>732</v>
      </c>
      <c r="Q70" t="s">
        <v>733</v>
      </c>
      <c r="R70" t="s">
        <v>732</v>
      </c>
    </row>
    <row r="71" spans="4:18" ht="22.8">
      <c r="D71" s="3" t="s">
        <v>64</v>
      </c>
      <c r="E71" s="2" t="s">
        <v>79</v>
      </c>
      <c r="F71" t="s">
        <v>733</v>
      </c>
      <c r="G71" t="s">
        <v>733</v>
      </c>
      <c r="H71" t="s">
        <v>733</v>
      </c>
      <c r="I71" t="s">
        <v>733</v>
      </c>
      <c r="J71" t="s">
        <v>732</v>
      </c>
      <c r="K71" t="s">
        <v>732</v>
      </c>
      <c r="L71" t="s">
        <v>732</v>
      </c>
      <c r="M71" t="s">
        <v>732</v>
      </c>
      <c r="N71" t="s">
        <v>732</v>
      </c>
      <c r="O71" t="s">
        <v>732</v>
      </c>
      <c r="P71" t="s">
        <v>732</v>
      </c>
      <c r="Q71" t="s">
        <v>732</v>
      </c>
      <c r="R71" t="s">
        <v>732</v>
      </c>
    </row>
    <row r="72" spans="4:18">
      <c r="D72" s="2" t="s">
        <v>80</v>
      </c>
      <c r="E72" s="2" t="s">
        <v>81</v>
      </c>
      <c r="F72" t="s">
        <v>733</v>
      </c>
      <c r="G72" t="s">
        <v>733</v>
      </c>
      <c r="H72" t="s">
        <v>733</v>
      </c>
      <c r="I72" t="s">
        <v>733</v>
      </c>
      <c r="J72" t="s">
        <v>702</v>
      </c>
      <c r="K72" t="s">
        <v>702</v>
      </c>
      <c r="L72" t="s">
        <v>702</v>
      </c>
      <c r="M72" t="s">
        <v>702</v>
      </c>
      <c r="N72" t="s">
        <v>702</v>
      </c>
      <c r="O72" t="s">
        <v>702</v>
      </c>
      <c r="P72" t="s">
        <v>702</v>
      </c>
      <c r="Q72" t="s">
        <v>733</v>
      </c>
      <c r="R72" t="s">
        <v>702</v>
      </c>
    </row>
    <row r="73" spans="4:18">
      <c r="D73" s="2" t="s">
        <v>80</v>
      </c>
      <c r="E73" s="2" t="s">
        <v>82</v>
      </c>
      <c r="F73" t="s">
        <v>733</v>
      </c>
      <c r="G73" t="s">
        <v>733</v>
      </c>
      <c r="H73" t="s">
        <v>733</v>
      </c>
      <c r="I73" t="s">
        <v>733</v>
      </c>
      <c r="J73" t="s">
        <v>733</v>
      </c>
      <c r="K73" t="s">
        <v>733</v>
      </c>
      <c r="L73" t="s">
        <v>733</v>
      </c>
      <c r="M73" t="s">
        <v>733</v>
      </c>
      <c r="N73" t="s">
        <v>736</v>
      </c>
      <c r="O73" t="s">
        <v>736</v>
      </c>
      <c r="P73" t="s">
        <v>736</v>
      </c>
      <c r="Q73" t="s">
        <v>736</v>
      </c>
      <c r="R73" t="s">
        <v>733</v>
      </c>
    </row>
    <row r="74" spans="4:18">
      <c r="D74" s="2" t="s">
        <v>80</v>
      </c>
      <c r="E74" s="2" t="s">
        <v>83</v>
      </c>
      <c r="F74" t="s">
        <v>733</v>
      </c>
      <c r="G74" t="s">
        <v>733</v>
      </c>
      <c r="H74" t="s">
        <v>733</v>
      </c>
      <c r="I74" t="s">
        <v>733</v>
      </c>
      <c r="J74" t="s">
        <v>733</v>
      </c>
      <c r="K74" t="s">
        <v>734</v>
      </c>
      <c r="L74" t="s">
        <v>734</v>
      </c>
      <c r="M74" t="s">
        <v>735</v>
      </c>
      <c r="N74" t="s">
        <v>735</v>
      </c>
      <c r="O74" t="s">
        <v>735</v>
      </c>
      <c r="P74" t="s">
        <v>733</v>
      </c>
      <c r="Q74" t="s">
        <v>733</v>
      </c>
      <c r="R74" t="s">
        <v>733</v>
      </c>
    </row>
    <row r="75" spans="4:18">
      <c r="D75" s="2" t="s">
        <v>80</v>
      </c>
      <c r="E75" s="2" t="s">
        <v>84</v>
      </c>
      <c r="F75" t="s">
        <v>734</v>
      </c>
      <c r="G75" t="s">
        <v>733</v>
      </c>
      <c r="H75" t="s">
        <v>733</v>
      </c>
      <c r="I75" t="s">
        <v>702</v>
      </c>
      <c r="J75" t="s">
        <v>732</v>
      </c>
      <c r="K75" t="s">
        <v>732</v>
      </c>
      <c r="L75" t="s">
        <v>736</v>
      </c>
      <c r="M75" t="s">
        <v>732</v>
      </c>
      <c r="N75" t="s">
        <v>534</v>
      </c>
      <c r="O75" t="s">
        <v>733</v>
      </c>
      <c r="P75" t="s">
        <v>733</v>
      </c>
      <c r="Q75" t="s">
        <v>733</v>
      </c>
      <c r="R75" t="s">
        <v>736</v>
      </c>
    </row>
    <row r="76" spans="4:18">
      <c r="D76" s="2" t="s">
        <v>80</v>
      </c>
      <c r="E76" s="2" t="s">
        <v>85</v>
      </c>
      <c r="F76" t="s">
        <v>733</v>
      </c>
      <c r="G76" t="s">
        <v>734</v>
      </c>
      <c r="H76" t="s">
        <v>734</v>
      </c>
      <c r="I76" t="s">
        <v>732</v>
      </c>
      <c r="J76" t="s">
        <v>732</v>
      </c>
      <c r="K76" t="s">
        <v>732</v>
      </c>
      <c r="L76" t="s">
        <v>736</v>
      </c>
      <c r="M76" t="s">
        <v>732</v>
      </c>
      <c r="N76" t="s">
        <v>534</v>
      </c>
      <c r="O76" t="s">
        <v>534</v>
      </c>
      <c r="P76" t="s">
        <v>534</v>
      </c>
      <c r="Q76" t="s">
        <v>534</v>
      </c>
      <c r="R76" t="s">
        <v>736</v>
      </c>
    </row>
    <row r="77" spans="4:18">
      <c r="D77" s="2" t="s">
        <v>80</v>
      </c>
      <c r="E77" s="4" t="s">
        <v>86</v>
      </c>
      <c r="F77" t="s">
        <v>534</v>
      </c>
      <c r="G77" t="s">
        <v>534</v>
      </c>
      <c r="H77" t="s">
        <v>733</v>
      </c>
      <c r="I77" t="s">
        <v>733</v>
      </c>
      <c r="J77" t="s">
        <v>733</v>
      </c>
      <c r="K77" t="s">
        <v>733</v>
      </c>
      <c r="L77" t="s">
        <v>702</v>
      </c>
      <c r="M77" t="s">
        <v>702</v>
      </c>
      <c r="N77" t="s">
        <v>735</v>
      </c>
      <c r="O77" t="s">
        <v>735</v>
      </c>
      <c r="P77" t="s">
        <v>534</v>
      </c>
      <c r="Q77" t="s">
        <v>534</v>
      </c>
      <c r="R77" t="s">
        <v>534</v>
      </c>
    </row>
    <row r="78" spans="4:18">
      <c r="D78" s="2" t="s">
        <v>80</v>
      </c>
      <c r="E78" s="2" t="s">
        <v>87</v>
      </c>
      <c r="F78" t="s">
        <v>733</v>
      </c>
      <c r="G78" t="s">
        <v>733</v>
      </c>
      <c r="H78" t="s">
        <v>733</v>
      </c>
      <c r="I78" t="s">
        <v>733</v>
      </c>
      <c r="J78" t="s">
        <v>733</v>
      </c>
      <c r="K78" t="s">
        <v>733</v>
      </c>
      <c r="L78" t="s">
        <v>736</v>
      </c>
      <c r="M78" t="s">
        <v>534</v>
      </c>
      <c r="N78" t="s">
        <v>534</v>
      </c>
      <c r="O78" t="s">
        <v>534</v>
      </c>
      <c r="P78" t="s">
        <v>733</v>
      </c>
      <c r="Q78" t="s">
        <v>733</v>
      </c>
      <c r="R78" t="s">
        <v>733</v>
      </c>
    </row>
    <row r="79" spans="4:18">
      <c r="D79" s="2" t="s">
        <v>80</v>
      </c>
      <c r="E79" s="2" t="s">
        <v>88</v>
      </c>
      <c r="F79" t="s">
        <v>734</v>
      </c>
      <c r="G79" t="s">
        <v>734</v>
      </c>
      <c r="H79" t="s">
        <v>733</v>
      </c>
      <c r="I79" t="s">
        <v>733</v>
      </c>
      <c r="J79" t="s">
        <v>702</v>
      </c>
      <c r="K79" t="s">
        <v>702</v>
      </c>
      <c r="L79" t="s">
        <v>702</v>
      </c>
      <c r="M79" t="s">
        <v>702</v>
      </c>
      <c r="N79" t="s">
        <v>702</v>
      </c>
      <c r="O79" t="s">
        <v>702</v>
      </c>
      <c r="P79" t="s">
        <v>736</v>
      </c>
      <c r="Q79" t="s">
        <v>736</v>
      </c>
      <c r="R79" t="s">
        <v>734</v>
      </c>
    </row>
    <row r="80" spans="4:18">
      <c r="D80" s="2" t="s">
        <v>80</v>
      </c>
      <c r="E80" s="2" t="s">
        <v>89</v>
      </c>
      <c r="F80" t="s">
        <v>733</v>
      </c>
      <c r="G80" t="s">
        <v>733</v>
      </c>
      <c r="H80" t="s">
        <v>736</v>
      </c>
      <c r="I80" t="s">
        <v>736</v>
      </c>
      <c r="J80" t="s">
        <v>735</v>
      </c>
      <c r="K80" t="s">
        <v>736</v>
      </c>
      <c r="L80" t="s">
        <v>736</v>
      </c>
      <c r="M80" t="s">
        <v>736</v>
      </c>
      <c r="N80" t="s">
        <v>534</v>
      </c>
      <c r="O80" t="s">
        <v>534</v>
      </c>
      <c r="P80" t="s">
        <v>534</v>
      </c>
      <c r="Q80" t="s">
        <v>534</v>
      </c>
      <c r="R80" t="s">
        <v>534</v>
      </c>
    </row>
    <row r="81" spans="4:18">
      <c r="D81" s="2" t="s">
        <v>90</v>
      </c>
      <c r="E81" s="2" t="s">
        <v>91</v>
      </c>
      <c r="F81" t="s">
        <v>735</v>
      </c>
      <c r="G81" t="s">
        <v>735</v>
      </c>
      <c r="H81" t="s">
        <v>735</v>
      </c>
      <c r="I81" t="s">
        <v>735</v>
      </c>
      <c r="J81" t="s">
        <v>735</v>
      </c>
      <c r="K81" t="s">
        <v>735</v>
      </c>
      <c r="L81" t="s">
        <v>534</v>
      </c>
      <c r="M81" t="s">
        <v>534</v>
      </c>
      <c r="N81" t="s">
        <v>735</v>
      </c>
      <c r="O81" t="s">
        <v>735</v>
      </c>
      <c r="P81" t="s">
        <v>735</v>
      </c>
      <c r="Q81" t="s">
        <v>735</v>
      </c>
      <c r="R81" t="s">
        <v>735</v>
      </c>
    </row>
    <row r="82" spans="4:18">
      <c r="D82" s="2" t="s">
        <v>90</v>
      </c>
      <c r="E82" s="2" t="s">
        <v>92</v>
      </c>
      <c r="F82" t="s">
        <v>736</v>
      </c>
      <c r="G82" t="s">
        <v>736</v>
      </c>
      <c r="H82" t="s">
        <v>736</v>
      </c>
      <c r="I82" t="s">
        <v>736</v>
      </c>
      <c r="J82" t="s">
        <v>736</v>
      </c>
      <c r="K82" t="s">
        <v>736</v>
      </c>
      <c r="L82" t="s">
        <v>736</v>
      </c>
      <c r="M82" t="s">
        <v>736</v>
      </c>
      <c r="N82" t="s">
        <v>736</v>
      </c>
      <c r="O82" t="s">
        <v>736</v>
      </c>
      <c r="P82" t="s">
        <v>736</v>
      </c>
      <c r="Q82" t="s">
        <v>736</v>
      </c>
      <c r="R82" t="s">
        <v>736</v>
      </c>
    </row>
    <row r="83" spans="4:18">
      <c r="D83" s="2" t="s">
        <v>90</v>
      </c>
      <c r="E83" s="2" t="s">
        <v>93</v>
      </c>
      <c r="F83" t="s">
        <v>534</v>
      </c>
      <c r="G83" t="s">
        <v>534</v>
      </c>
      <c r="H83" t="s">
        <v>534</v>
      </c>
      <c r="I83" t="s">
        <v>534</v>
      </c>
      <c r="J83" t="s">
        <v>534</v>
      </c>
      <c r="K83" t="s">
        <v>534</v>
      </c>
      <c r="L83" t="s">
        <v>534</v>
      </c>
      <c r="M83" t="s">
        <v>534</v>
      </c>
      <c r="N83" t="s">
        <v>534</v>
      </c>
      <c r="O83" t="s">
        <v>534</v>
      </c>
      <c r="P83" t="s">
        <v>534</v>
      </c>
      <c r="Q83" t="s">
        <v>534</v>
      </c>
      <c r="R83" t="s">
        <v>534</v>
      </c>
    </row>
    <row r="84" spans="4:18">
      <c r="D84" s="2" t="s">
        <v>90</v>
      </c>
      <c r="E84" s="2" t="s">
        <v>94</v>
      </c>
      <c r="F84" t="s">
        <v>534</v>
      </c>
      <c r="G84" t="s">
        <v>534</v>
      </c>
      <c r="H84" t="s">
        <v>534</v>
      </c>
      <c r="I84" t="s">
        <v>534</v>
      </c>
      <c r="J84" t="s">
        <v>534</v>
      </c>
      <c r="K84" t="s">
        <v>534</v>
      </c>
      <c r="L84" t="s">
        <v>534</v>
      </c>
      <c r="M84" t="s">
        <v>534</v>
      </c>
      <c r="N84" t="s">
        <v>534</v>
      </c>
      <c r="O84" t="s">
        <v>534</v>
      </c>
      <c r="P84" t="s">
        <v>534</v>
      </c>
      <c r="Q84" t="s">
        <v>534</v>
      </c>
      <c r="R84" t="s">
        <v>534</v>
      </c>
    </row>
    <row r="85" spans="4:18">
      <c r="D85" s="2" t="s">
        <v>90</v>
      </c>
      <c r="E85" s="2" t="s">
        <v>95</v>
      </c>
      <c r="F85" t="s">
        <v>534</v>
      </c>
      <c r="G85" t="s">
        <v>534</v>
      </c>
      <c r="H85" t="s">
        <v>534</v>
      </c>
      <c r="I85" t="s">
        <v>534</v>
      </c>
      <c r="J85" t="s">
        <v>534</v>
      </c>
      <c r="K85" t="s">
        <v>534</v>
      </c>
      <c r="L85" t="s">
        <v>534</v>
      </c>
      <c r="M85" t="s">
        <v>534</v>
      </c>
      <c r="N85" t="s">
        <v>534</v>
      </c>
      <c r="O85" t="s">
        <v>534</v>
      </c>
      <c r="P85" t="s">
        <v>534</v>
      </c>
      <c r="Q85" t="s">
        <v>534</v>
      </c>
      <c r="R85" t="s">
        <v>534</v>
      </c>
    </row>
    <row r="86" spans="4:18">
      <c r="D86" s="2" t="s">
        <v>90</v>
      </c>
      <c r="E86" s="2" t="s">
        <v>96</v>
      </c>
      <c r="F86" t="s">
        <v>534</v>
      </c>
      <c r="G86" t="s">
        <v>534</v>
      </c>
      <c r="H86" t="s">
        <v>534</v>
      </c>
      <c r="I86" t="s">
        <v>534</v>
      </c>
      <c r="J86" t="s">
        <v>534</v>
      </c>
      <c r="K86" t="s">
        <v>534</v>
      </c>
      <c r="L86" t="s">
        <v>534</v>
      </c>
      <c r="M86" t="s">
        <v>534</v>
      </c>
      <c r="N86" t="s">
        <v>534</v>
      </c>
      <c r="O86" t="s">
        <v>534</v>
      </c>
      <c r="P86" t="s">
        <v>534</v>
      </c>
      <c r="Q86" t="s">
        <v>534</v>
      </c>
      <c r="R86" t="s">
        <v>534</v>
      </c>
    </row>
    <row r="87" spans="4:18">
      <c r="D87" s="2" t="s">
        <v>90</v>
      </c>
      <c r="E87" s="2" t="s">
        <v>97</v>
      </c>
      <c r="F87" t="s">
        <v>733</v>
      </c>
      <c r="G87" t="s">
        <v>534</v>
      </c>
      <c r="H87" t="s">
        <v>534</v>
      </c>
      <c r="I87" t="s">
        <v>534</v>
      </c>
      <c r="J87" t="s">
        <v>534</v>
      </c>
      <c r="K87" t="s">
        <v>534</v>
      </c>
      <c r="L87" t="s">
        <v>534</v>
      </c>
      <c r="M87" t="s">
        <v>534</v>
      </c>
      <c r="N87" t="s">
        <v>534</v>
      </c>
      <c r="O87" t="s">
        <v>534</v>
      </c>
      <c r="P87" t="s">
        <v>534</v>
      </c>
      <c r="Q87" t="s">
        <v>534</v>
      </c>
      <c r="R87" t="s">
        <v>534</v>
      </c>
    </row>
    <row r="88" spans="4:18">
      <c r="D88" s="2" t="s">
        <v>98</v>
      </c>
      <c r="E88" s="2" t="s">
        <v>99</v>
      </c>
      <c r="F88" t="s">
        <v>732</v>
      </c>
      <c r="G88" t="s">
        <v>732</v>
      </c>
      <c r="H88" t="s">
        <v>732</v>
      </c>
      <c r="I88" t="s">
        <v>732</v>
      </c>
      <c r="J88" t="s">
        <v>732</v>
      </c>
      <c r="K88" t="s">
        <v>732</v>
      </c>
      <c r="L88" t="s">
        <v>733</v>
      </c>
      <c r="M88" t="s">
        <v>733</v>
      </c>
      <c r="N88" t="s">
        <v>733</v>
      </c>
      <c r="O88" t="s">
        <v>733</v>
      </c>
      <c r="P88" t="s">
        <v>733</v>
      </c>
      <c r="Q88" t="s">
        <v>733</v>
      </c>
      <c r="R88" t="s">
        <v>732</v>
      </c>
    </row>
    <row r="89" spans="4:18">
      <c r="D89" s="2" t="s">
        <v>98</v>
      </c>
      <c r="E89" s="2" t="s">
        <v>100</v>
      </c>
      <c r="F89" t="s">
        <v>702</v>
      </c>
      <c r="G89" t="s">
        <v>735</v>
      </c>
      <c r="H89" t="s">
        <v>735</v>
      </c>
      <c r="I89" t="s">
        <v>733</v>
      </c>
      <c r="J89" t="s">
        <v>733</v>
      </c>
      <c r="K89" t="s">
        <v>733</v>
      </c>
      <c r="L89" t="s">
        <v>733</v>
      </c>
      <c r="M89" t="s">
        <v>733</v>
      </c>
      <c r="N89" t="s">
        <v>733</v>
      </c>
      <c r="O89" t="s">
        <v>735</v>
      </c>
      <c r="P89" t="s">
        <v>735</v>
      </c>
      <c r="Q89" t="s">
        <v>702</v>
      </c>
      <c r="R89" t="s">
        <v>733</v>
      </c>
    </row>
    <row r="90" spans="4:18">
      <c r="D90" s="2" t="s">
        <v>98</v>
      </c>
      <c r="E90" s="2" t="s">
        <v>101</v>
      </c>
      <c r="F90" t="s">
        <v>736</v>
      </c>
      <c r="G90" t="s">
        <v>736</v>
      </c>
      <c r="H90" t="s">
        <v>736</v>
      </c>
      <c r="I90" t="s">
        <v>736</v>
      </c>
      <c r="J90" t="s">
        <v>736</v>
      </c>
      <c r="K90" t="s">
        <v>736</v>
      </c>
      <c r="L90" t="s">
        <v>736</v>
      </c>
      <c r="M90" t="s">
        <v>736</v>
      </c>
      <c r="N90" t="s">
        <v>736</v>
      </c>
      <c r="O90" t="s">
        <v>736</v>
      </c>
      <c r="P90" t="s">
        <v>736</v>
      </c>
      <c r="Q90" t="s">
        <v>736</v>
      </c>
      <c r="R90" t="s">
        <v>736</v>
      </c>
    </row>
    <row r="91" spans="4:18">
      <c r="D91" s="3" t="s">
        <v>102</v>
      </c>
      <c r="E91" s="3" t="s">
        <v>103</v>
      </c>
      <c r="F91" t="s">
        <v>734</v>
      </c>
      <c r="G91" t="s">
        <v>734</v>
      </c>
      <c r="H91" t="s">
        <v>734</v>
      </c>
      <c r="I91" t="s">
        <v>534</v>
      </c>
      <c r="J91" t="s">
        <v>534</v>
      </c>
      <c r="K91" t="s">
        <v>534</v>
      </c>
      <c r="L91" t="s">
        <v>736</v>
      </c>
      <c r="M91" t="s">
        <v>736</v>
      </c>
      <c r="N91" t="s">
        <v>702</v>
      </c>
      <c r="O91" t="s">
        <v>702</v>
      </c>
      <c r="P91" t="s">
        <v>702</v>
      </c>
      <c r="Q91" t="s">
        <v>734</v>
      </c>
      <c r="R91" t="s">
        <v>702</v>
      </c>
    </row>
    <row r="92" spans="4:18">
      <c r="D92" s="3" t="s">
        <v>102</v>
      </c>
      <c r="E92" s="3" t="s">
        <v>104</v>
      </c>
      <c r="F92" t="s">
        <v>734</v>
      </c>
      <c r="G92" t="s">
        <v>734</v>
      </c>
      <c r="H92" t="s">
        <v>734</v>
      </c>
      <c r="I92" t="s">
        <v>734</v>
      </c>
      <c r="J92" t="s">
        <v>736</v>
      </c>
      <c r="K92" t="s">
        <v>736</v>
      </c>
      <c r="L92" t="s">
        <v>736</v>
      </c>
      <c r="M92" t="s">
        <v>736</v>
      </c>
      <c r="N92" t="s">
        <v>702</v>
      </c>
      <c r="O92" t="s">
        <v>702</v>
      </c>
      <c r="P92" t="s">
        <v>736</v>
      </c>
      <c r="Q92" t="s">
        <v>734</v>
      </c>
      <c r="R92" t="s">
        <v>734</v>
      </c>
    </row>
    <row r="93" spans="4:18">
      <c r="D93" s="3" t="s">
        <v>102</v>
      </c>
      <c r="E93" s="3" t="s">
        <v>105</v>
      </c>
      <c r="F93" t="s">
        <v>733</v>
      </c>
      <c r="G93" t="s">
        <v>733</v>
      </c>
      <c r="H93" t="s">
        <v>733</v>
      </c>
      <c r="I93" t="s">
        <v>733</v>
      </c>
      <c r="J93" t="s">
        <v>702</v>
      </c>
      <c r="K93" t="s">
        <v>702</v>
      </c>
      <c r="L93" t="s">
        <v>702</v>
      </c>
      <c r="M93" t="s">
        <v>702</v>
      </c>
      <c r="N93" t="s">
        <v>702</v>
      </c>
      <c r="O93" t="s">
        <v>702</v>
      </c>
      <c r="P93" t="s">
        <v>733</v>
      </c>
      <c r="Q93" t="s">
        <v>733</v>
      </c>
      <c r="R93" t="s">
        <v>733</v>
      </c>
    </row>
    <row r="94" spans="4:18">
      <c r="D94" s="3" t="s">
        <v>102</v>
      </c>
      <c r="E94" s="3" t="s">
        <v>106</v>
      </c>
      <c r="F94" t="s">
        <v>702</v>
      </c>
      <c r="G94" t="s">
        <v>702</v>
      </c>
      <c r="H94" t="s">
        <v>702</v>
      </c>
      <c r="I94" t="s">
        <v>702</v>
      </c>
      <c r="J94" t="s">
        <v>702</v>
      </c>
      <c r="K94" t="s">
        <v>702</v>
      </c>
      <c r="L94" t="s">
        <v>702</v>
      </c>
      <c r="M94" t="s">
        <v>702</v>
      </c>
      <c r="N94" t="s">
        <v>702</v>
      </c>
      <c r="O94" t="s">
        <v>702</v>
      </c>
      <c r="P94" t="s">
        <v>702</v>
      </c>
      <c r="Q94" t="s">
        <v>702</v>
      </c>
      <c r="R94" t="s">
        <v>702</v>
      </c>
    </row>
    <row r="95" spans="4:18">
      <c r="D95" s="3" t="s">
        <v>102</v>
      </c>
      <c r="E95" s="5" t="s">
        <v>107</v>
      </c>
      <c r="F95" t="s">
        <v>734</v>
      </c>
      <c r="G95" t="s">
        <v>733</v>
      </c>
      <c r="H95" t="s">
        <v>734</v>
      </c>
      <c r="I95" t="s">
        <v>702</v>
      </c>
      <c r="J95" t="s">
        <v>702</v>
      </c>
      <c r="K95" t="s">
        <v>702</v>
      </c>
      <c r="L95" t="b">
        <v>0</v>
      </c>
      <c r="M95" t="s">
        <v>702</v>
      </c>
      <c r="N95" t="s">
        <v>702</v>
      </c>
      <c r="O95" t="s">
        <v>702</v>
      </c>
      <c r="P95" t="s">
        <v>702</v>
      </c>
      <c r="Q95" t="s">
        <v>702</v>
      </c>
      <c r="R95" t="s">
        <v>702</v>
      </c>
    </row>
    <row r="96" spans="4:18">
      <c r="D96" s="3" t="s">
        <v>102</v>
      </c>
      <c r="E96" s="2" t="s">
        <v>108</v>
      </c>
      <c r="F96" t="s">
        <v>733</v>
      </c>
      <c r="G96" t="s">
        <v>733</v>
      </c>
      <c r="H96" t="s">
        <v>733</v>
      </c>
      <c r="I96" t="s">
        <v>733</v>
      </c>
      <c r="J96" t="s">
        <v>733</v>
      </c>
      <c r="K96" t="s">
        <v>702</v>
      </c>
      <c r="L96" t="s">
        <v>702</v>
      </c>
      <c r="M96" t="s">
        <v>702</v>
      </c>
      <c r="N96" t="s">
        <v>702</v>
      </c>
      <c r="O96" t="s">
        <v>702</v>
      </c>
      <c r="P96" t="s">
        <v>702</v>
      </c>
      <c r="Q96" t="s">
        <v>702</v>
      </c>
      <c r="R96" t="s">
        <v>702</v>
      </c>
    </row>
    <row r="97" spans="4:18">
      <c r="D97" s="3" t="s">
        <v>102</v>
      </c>
      <c r="E97" s="2" t="s">
        <v>109</v>
      </c>
      <c r="F97" t="s">
        <v>732</v>
      </c>
      <c r="G97" t="s">
        <v>732</v>
      </c>
      <c r="H97" t="s">
        <v>732</v>
      </c>
      <c r="I97" t="s">
        <v>732</v>
      </c>
      <c r="J97" t="s">
        <v>732</v>
      </c>
      <c r="K97" t="s">
        <v>702</v>
      </c>
      <c r="L97" t="s">
        <v>702</v>
      </c>
      <c r="M97" t="s">
        <v>732</v>
      </c>
      <c r="N97" t="s">
        <v>732</v>
      </c>
      <c r="O97" t="s">
        <v>732</v>
      </c>
      <c r="P97" t="s">
        <v>732</v>
      </c>
      <c r="Q97" t="s">
        <v>732</v>
      </c>
      <c r="R97" t="s">
        <v>732</v>
      </c>
    </row>
    <row r="98" spans="4:18">
      <c r="D98" s="3" t="s">
        <v>110</v>
      </c>
      <c r="E98" s="4" t="s">
        <v>86</v>
      </c>
      <c r="F98" t="s">
        <v>534</v>
      </c>
      <c r="G98" t="s">
        <v>534</v>
      </c>
      <c r="H98" t="s">
        <v>733</v>
      </c>
      <c r="I98" t="s">
        <v>733</v>
      </c>
      <c r="J98" t="s">
        <v>733</v>
      </c>
      <c r="K98" t="s">
        <v>733</v>
      </c>
      <c r="L98" t="s">
        <v>702</v>
      </c>
      <c r="M98" t="s">
        <v>702</v>
      </c>
      <c r="N98" t="s">
        <v>735</v>
      </c>
      <c r="O98" t="s">
        <v>735</v>
      </c>
      <c r="P98" t="s">
        <v>534</v>
      </c>
      <c r="Q98" t="s">
        <v>534</v>
      </c>
      <c r="R98" t="s">
        <v>534</v>
      </c>
    </row>
    <row r="99" spans="4:18">
      <c r="D99" s="3" t="s">
        <v>110</v>
      </c>
      <c r="E99" s="2" t="s">
        <v>111</v>
      </c>
      <c r="F99" t="s">
        <v>733</v>
      </c>
      <c r="G99" t="s">
        <v>733</v>
      </c>
      <c r="H99" t="s">
        <v>733</v>
      </c>
      <c r="I99" t="s">
        <v>702</v>
      </c>
      <c r="J99" t="s">
        <v>736</v>
      </c>
      <c r="K99" t="s">
        <v>736</v>
      </c>
      <c r="L99" t="s">
        <v>736</v>
      </c>
      <c r="M99" t="s">
        <v>736</v>
      </c>
      <c r="N99" t="s">
        <v>702</v>
      </c>
      <c r="O99" t="s">
        <v>702</v>
      </c>
      <c r="P99" t="s">
        <v>702</v>
      </c>
      <c r="Q99" t="s">
        <v>733</v>
      </c>
      <c r="R99" t="s">
        <v>702</v>
      </c>
    </row>
    <row r="100" spans="4:18">
      <c r="D100" s="3" t="s">
        <v>110</v>
      </c>
      <c r="E100" s="2" t="s">
        <v>112</v>
      </c>
      <c r="F100" t="s">
        <v>734</v>
      </c>
      <c r="G100" t="s">
        <v>734</v>
      </c>
      <c r="H100" t="s">
        <v>734</v>
      </c>
      <c r="I100" t="s">
        <v>734</v>
      </c>
      <c r="J100" t="s">
        <v>736</v>
      </c>
      <c r="K100" t="s">
        <v>736</v>
      </c>
      <c r="L100" t="s">
        <v>736</v>
      </c>
      <c r="M100" t="s">
        <v>736</v>
      </c>
      <c r="N100" t="s">
        <v>736</v>
      </c>
      <c r="O100" t="s">
        <v>736</v>
      </c>
      <c r="P100" t="s">
        <v>734</v>
      </c>
      <c r="Q100" t="s">
        <v>734</v>
      </c>
      <c r="R100" t="s">
        <v>736</v>
      </c>
    </row>
    <row r="101" spans="4:18">
      <c r="D101" s="3" t="s">
        <v>110</v>
      </c>
      <c r="E101" s="2" t="s">
        <v>113</v>
      </c>
      <c r="F101" t="s">
        <v>736</v>
      </c>
      <c r="G101" t="s">
        <v>736</v>
      </c>
      <c r="H101" t="s">
        <v>736</v>
      </c>
      <c r="I101" t="s">
        <v>736</v>
      </c>
      <c r="J101" t="s">
        <v>736</v>
      </c>
      <c r="K101" t="s">
        <v>736</v>
      </c>
      <c r="L101" t="s">
        <v>736</v>
      </c>
      <c r="M101" t="s">
        <v>736</v>
      </c>
      <c r="N101" t="s">
        <v>736</v>
      </c>
      <c r="O101" t="s">
        <v>736</v>
      </c>
      <c r="P101" t="s">
        <v>736</v>
      </c>
      <c r="Q101" t="s">
        <v>736</v>
      </c>
      <c r="R101" t="s">
        <v>736</v>
      </c>
    </row>
    <row r="102" spans="4:18">
      <c r="D102" s="3" t="s">
        <v>110</v>
      </c>
      <c r="E102" s="2" t="s">
        <v>114</v>
      </c>
      <c r="F102" t="s">
        <v>734</v>
      </c>
      <c r="G102" t="s">
        <v>734</v>
      </c>
      <c r="H102" t="s">
        <v>734</v>
      </c>
      <c r="I102" t="s">
        <v>734</v>
      </c>
      <c r="J102" t="s">
        <v>701</v>
      </c>
      <c r="K102" t="s">
        <v>702</v>
      </c>
      <c r="L102" t="s">
        <v>734</v>
      </c>
      <c r="M102" t="s">
        <v>702</v>
      </c>
      <c r="N102" t="s">
        <v>702</v>
      </c>
      <c r="O102" t="s">
        <v>702</v>
      </c>
      <c r="P102" t="s">
        <v>734</v>
      </c>
      <c r="Q102" t="s">
        <v>734</v>
      </c>
      <c r="R102" t="s">
        <v>734</v>
      </c>
    </row>
    <row r="103" spans="4:18">
      <c r="D103" s="3" t="s">
        <v>110</v>
      </c>
      <c r="E103" s="2" t="s">
        <v>699</v>
      </c>
      <c r="F103" t="s">
        <v>736</v>
      </c>
      <c r="G103" t="s">
        <v>736</v>
      </c>
      <c r="H103" t="s">
        <v>736</v>
      </c>
      <c r="I103" t="s">
        <v>736</v>
      </c>
      <c r="J103" t="s">
        <v>736</v>
      </c>
      <c r="K103" t="s">
        <v>736</v>
      </c>
      <c r="L103" t="s">
        <v>736</v>
      </c>
      <c r="M103" t="s">
        <v>736</v>
      </c>
      <c r="N103" t="s">
        <v>736</v>
      </c>
      <c r="O103" t="s">
        <v>736</v>
      </c>
      <c r="P103" t="s">
        <v>736</v>
      </c>
      <c r="Q103" t="s">
        <v>736</v>
      </c>
      <c r="R103" t="s">
        <v>736</v>
      </c>
    </row>
    <row r="104" spans="4:18">
      <c r="D104" s="3" t="s">
        <v>115</v>
      </c>
      <c r="E104" s="4" t="s">
        <v>116</v>
      </c>
      <c r="F104" t="s">
        <v>733</v>
      </c>
      <c r="G104" t="s">
        <v>733</v>
      </c>
      <c r="H104" t="s">
        <v>733</v>
      </c>
      <c r="I104" t="s">
        <v>733</v>
      </c>
      <c r="J104" t="s">
        <v>702</v>
      </c>
      <c r="K104" t="s">
        <v>702</v>
      </c>
      <c r="L104" t="s">
        <v>702</v>
      </c>
      <c r="M104" t="s">
        <v>702</v>
      </c>
      <c r="N104" t="s">
        <v>702</v>
      </c>
      <c r="O104" t="s">
        <v>702</v>
      </c>
      <c r="P104" t="s">
        <v>733</v>
      </c>
      <c r="Q104" t="s">
        <v>733</v>
      </c>
      <c r="R104" t="s">
        <v>702</v>
      </c>
    </row>
    <row r="105" spans="4:18">
      <c r="D105" s="3" t="s">
        <v>115</v>
      </c>
      <c r="E105" s="2" t="s">
        <v>117</v>
      </c>
      <c r="F105" t="s">
        <v>702</v>
      </c>
      <c r="G105" t="s">
        <v>702</v>
      </c>
      <c r="H105" t="s">
        <v>733</v>
      </c>
      <c r="I105" t="s">
        <v>702</v>
      </c>
      <c r="J105" t="s">
        <v>702</v>
      </c>
      <c r="K105" t="s">
        <v>702</v>
      </c>
      <c r="L105" t="s">
        <v>702</v>
      </c>
      <c r="M105" t="s">
        <v>702</v>
      </c>
      <c r="N105" t="s">
        <v>702</v>
      </c>
      <c r="O105" t="s">
        <v>702</v>
      </c>
      <c r="P105" t="s">
        <v>702</v>
      </c>
      <c r="Q105" t="s">
        <v>702</v>
      </c>
      <c r="R105" t="s">
        <v>702</v>
      </c>
    </row>
    <row r="106" spans="4:18">
      <c r="D106" s="3" t="s">
        <v>115</v>
      </c>
      <c r="E106" s="4" t="s">
        <v>118</v>
      </c>
      <c r="F106" t="s">
        <v>733</v>
      </c>
      <c r="G106" t="s">
        <v>733</v>
      </c>
      <c r="H106" t="s">
        <v>733</v>
      </c>
      <c r="I106" t="s">
        <v>733</v>
      </c>
      <c r="J106" t="s">
        <v>733</v>
      </c>
      <c r="K106" t="s">
        <v>732</v>
      </c>
      <c r="L106" t="s">
        <v>732</v>
      </c>
      <c r="M106" t="s">
        <v>732</v>
      </c>
      <c r="N106" t="s">
        <v>732</v>
      </c>
      <c r="O106" t="s">
        <v>733</v>
      </c>
      <c r="P106" t="s">
        <v>733</v>
      </c>
      <c r="Q106" t="s">
        <v>733</v>
      </c>
      <c r="R106" t="s">
        <v>733</v>
      </c>
    </row>
    <row r="107" spans="4:18">
      <c r="D107" s="3" t="s">
        <v>115</v>
      </c>
      <c r="E107" s="2" t="s">
        <v>119</v>
      </c>
      <c r="F107" t="s">
        <v>733</v>
      </c>
      <c r="G107" t="s">
        <v>733</v>
      </c>
      <c r="H107" t="s">
        <v>733</v>
      </c>
      <c r="I107" t="s">
        <v>733</v>
      </c>
      <c r="J107" t="s">
        <v>733</v>
      </c>
      <c r="K107" t="s">
        <v>733</v>
      </c>
      <c r="L107" t="s">
        <v>733</v>
      </c>
      <c r="M107" t="s">
        <v>733</v>
      </c>
      <c r="N107" t="s">
        <v>733</v>
      </c>
      <c r="O107" t="s">
        <v>733</v>
      </c>
      <c r="P107" t="s">
        <v>733</v>
      </c>
      <c r="Q107" t="s">
        <v>733</v>
      </c>
      <c r="R107" t="s">
        <v>733</v>
      </c>
    </row>
    <row r="108" spans="4:18">
      <c r="D108" s="2" t="s">
        <v>120</v>
      </c>
      <c r="E108" s="2" t="s">
        <v>121</v>
      </c>
      <c r="F108" t="s">
        <v>701</v>
      </c>
      <c r="G108" t="s">
        <v>701</v>
      </c>
      <c r="H108" t="s">
        <v>701</v>
      </c>
      <c r="I108" t="s">
        <v>701</v>
      </c>
      <c r="J108" t="s">
        <v>701</v>
      </c>
      <c r="K108" t="s">
        <v>701</v>
      </c>
      <c r="L108" t="s">
        <v>702</v>
      </c>
      <c r="M108" t="s">
        <v>702</v>
      </c>
      <c r="N108" t="s">
        <v>702</v>
      </c>
      <c r="O108" t="s">
        <v>702</v>
      </c>
      <c r="P108" t="s">
        <v>702</v>
      </c>
      <c r="Q108" t="s">
        <v>702</v>
      </c>
      <c r="R108" t="s">
        <v>702</v>
      </c>
    </row>
    <row r="109" spans="4:18">
      <c r="D109" s="2" t="s">
        <v>120</v>
      </c>
      <c r="E109" s="2" t="s">
        <v>122</v>
      </c>
      <c r="F109" t="s">
        <v>733</v>
      </c>
      <c r="G109" t="s">
        <v>733</v>
      </c>
      <c r="H109" t="s">
        <v>733</v>
      </c>
      <c r="I109" t="s">
        <v>701</v>
      </c>
      <c r="J109" t="s">
        <v>701</v>
      </c>
      <c r="K109" t="s">
        <v>701</v>
      </c>
      <c r="L109" t="s">
        <v>702</v>
      </c>
      <c r="M109" t="s">
        <v>702</v>
      </c>
      <c r="N109" t="s">
        <v>702</v>
      </c>
      <c r="O109" t="s">
        <v>702</v>
      </c>
      <c r="P109" t="s">
        <v>702</v>
      </c>
      <c r="Q109" t="s">
        <v>702</v>
      </c>
      <c r="R109" t="s">
        <v>702</v>
      </c>
    </row>
    <row r="110" spans="4:18">
      <c r="D110" s="2" t="s">
        <v>120</v>
      </c>
      <c r="E110" s="2" t="s">
        <v>123</v>
      </c>
      <c r="F110" t="s">
        <v>734</v>
      </c>
      <c r="G110" t="s">
        <v>733</v>
      </c>
      <c r="H110" t="s">
        <v>733</v>
      </c>
      <c r="I110" t="s">
        <v>733</v>
      </c>
      <c r="J110" t="s">
        <v>732</v>
      </c>
      <c r="K110" t="s">
        <v>732</v>
      </c>
      <c r="L110" t="s">
        <v>732</v>
      </c>
      <c r="M110" t="s">
        <v>732</v>
      </c>
      <c r="N110" t="s">
        <v>702</v>
      </c>
      <c r="O110" t="s">
        <v>733</v>
      </c>
      <c r="P110" t="s">
        <v>733</v>
      </c>
      <c r="Q110" t="s">
        <v>733</v>
      </c>
      <c r="R110" t="s">
        <v>732</v>
      </c>
    </row>
    <row r="111" spans="4:18">
      <c r="D111" s="2" t="s">
        <v>120</v>
      </c>
      <c r="E111" s="2" t="s">
        <v>124</v>
      </c>
      <c r="F111" t="s">
        <v>701</v>
      </c>
      <c r="G111" t="s">
        <v>701</v>
      </c>
      <c r="H111" t="s">
        <v>701</v>
      </c>
      <c r="I111" t="s">
        <v>701</v>
      </c>
      <c r="J111" t="s">
        <v>701</v>
      </c>
      <c r="K111" t="s">
        <v>701</v>
      </c>
      <c r="L111" t="s">
        <v>701</v>
      </c>
      <c r="M111" t="s">
        <v>701</v>
      </c>
      <c r="N111" t="s">
        <v>701</v>
      </c>
      <c r="O111" t="s">
        <v>701</v>
      </c>
      <c r="P111" t="s">
        <v>701</v>
      </c>
      <c r="Q111" t="s">
        <v>701</v>
      </c>
      <c r="R111" t="s">
        <v>701</v>
      </c>
    </row>
    <row r="112" spans="4:18">
      <c r="D112" s="2" t="s">
        <v>120</v>
      </c>
      <c r="E112" s="2" t="s">
        <v>125</v>
      </c>
      <c r="F112" t="s">
        <v>701</v>
      </c>
      <c r="G112" t="s">
        <v>701</v>
      </c>
      <c r="H112" t="s">
        <v>701</v>
      </c>
      <c r="I112" t="s">
        <v>701</v>
      </c>
      <c r="J112" t="s">
        <v>701</v>
      </c>
      <c r="K112" t="s">
        <v>701</v>
      </c>
      <c r="L112" t="s">
        <v>701</v>
      </c>
      <c r="M112" t="s">
        <v>701</v>
      </c>
      <c r="N112" t="s">
        <v>702</v>
      </c>
      <c r="O112" t="s">
        <v>702</v>
      </c>
      <c r="P112" t="s">
        <v>702</v>
      </c>
      <c r="Q112" t="s">
        <v>702</v>
      </c>
      <c r="R112" t="s">
        <v>701</v>
      </c>
    </row>
    <row r="113" spans="4:18">
      <c r="D113" s="2" t="s">
        <v>126</v>
      </c>
      <c r="E113" s="2" t="s">
        <v>127</v>
      </c>
      <c r="F113" t="s">
        <v>701</v>
      </c>
      <c r="G113" t="s">
        <v>701</v>
      </c>
      <c r="H113" t="s">
        <v>701</v>
      </c>
      <c r="I113" t="s">
        <v>702</v>
      </c>
      <c r="J113" t="s">
        <v>702</v>
      </c>
      <c r="K113" t="s">
        <v>702</v>
      </c>
      <c r="L113" t="s">
        <v>736</v>
      </c>
      <c r="M113" t="s">
        <v>702</v>
      </c>
      <c r="N113" t="s">
        <v>702</v>
      </c>
      <c r="O113" t="s">
        <v>702</v>
      </c>
      <c r="P113" t="s">
        <v>702</v>
      </c>
      <c r="Q113" t="s">
        <v>702</v>
      </c>
      <c r="R113" t="s">
        <v>702</v>
      </c>
    </row>
    <row r="114" spans="4:18">
      <c r="D114" s="2" t="s">
        <v>126</v>
      </c>
      <c r="E114" s="2" t="s">
        <v>128</v>
      </c>
      <c r="F114" t="s">
        <v>736</v>
      </c>
      <c r="G114" t="s">
        <v>736</v>
      </c>
      <c r="H114" t="s">
        <v>702</v>
      </c>
      <c r="I114" t="s">
        <v>702</v>
      </c>
      <c r="J114" t="s">
        <v>702</v>
      </c>
      <c r="K114" t="s">
        <v>702</v>
      </c>
      <c r="L114" t="s">
        <v>702</v>
      </c>
      <c r="M114" t="s">
        <v>702</v>
      </c>
      <c r="N114" t="s">
        <v>702</v>
      </c>
      <c r="O114" t="s">
        <v>702</v>
      </c>
      <c r="P114" t="s">
        <v>702</v>
      </c>
      <c r="Q114" t="s">
        <v>702</v>
      </c>
      <c r="R114" t="s">
        <v>702</v>
      </c>
    </row>
    <row r="115" spans="4:18">
      <c r="D115" s="2" t="s">
        <v>126</v>
      </c>
      <c r="E115" s="2" t="s">
        <v>129</v>
      </c>
      <c r="F115" t="s">
        <v>702</v>
      </c>
      <c r="G115" t="s">
        <v>702</v>
      </c>
      <c r="H115" t="s">
        <v>702</v>
      </c>
      <c r="I115" t="s">
        <v>702</v>
      </c>
      <c r="J115" t="s">
        <v>702</v>
      </c>
      <c r="K115" t="s">
        <v>702</v>
      </c>
      <c r="L115" t="s">
        <v>702</v>
      </c>
      <c r="M115" t="s">
        <v>702</v>
      </c>
      <c r="N115" t="s">
        <v>702</v>
      </c>
      <c r="O115" t="s">
        <v>702</v>
      </c>
      <c r="P115" t="s">
        <v>702</v>
      </c>
      <c r="Q115" t="s">
        <v>702</v>
      </c>
      <c r="R115" t="s">
        <v>702</v>
      </c>
    </row>
    <row r="116" spans="4:18">
      <c r="D116" s="2" t="s">
        <v>126</v>
      </c>
      <c r="E116" s="2" t="s">
        <v>130</v>
      </c>
      <c r="F116" t="s">
        <v>733</v>
      </c>
      <c r="G116" t="s">
        <v>733</v>
      </c>
      <c r="H116" t="s">
        <v>733</v>
      </c>
      <c r="I116" t="s">
        <v>733</v>
      </c>
      <c r="J116" t="s">
        <v>733</v>
      </c>
      <c r="K116" t="s">
        <v>733</v>
      </c>
      <c r="L116" t="s">
        <v>702</v>
      </c>
      <c r="M116" t="s">
        <v>702</v>
      </c>
      <c r="N116" t="s">
        <v>702</v>
      </c>
      <c r="O116" t="s">
        <v>702</v>
      </c>
      <c r="P116" t="s">
        <v>702</v>
      </c>
      <c r="Q116" t="s">
        <v>702</v>
      </c>
      <c r="R116" t="s">
        <v>702</v>
      </c>
    </row>
    <row r="117" spans="4:18">
      <c r="D117" s="2" t="s">
        <v>126</v>
      </c>
      <c r="E117" s="2" t="s">
        <v>131</v>
      </c>
      <c r="F117" t="s">
        <v>702</v>
      </c>
      <c r="G117" t="s">
        <v>702</v>
      </c>
      <c r="H117" t="s">
        <v>702</v>
      </c>
      <c r="I117" t="s">
        <v>702</v>
      </c>
      <c r="J117" t="s">
        <v>702</v>
      </c>
      <c r="K117" t="s">
        <v>702</v>
      </c>
      <c r="L117" t="s">
        <v>702</v>
      </c>
      <c r="M117" t="s">
        <v>702</v>
      </c>
      <c r="N117" t="s">
        <v>702</v>
      </c>
      <c r="O117" t="s">
        <v>702</v>
      </c>
      <c r="P117" t="s">
        <v>702</v>
      </c>
      <c r="Q117" t="s">
        <v>702</v>
      </c>
      <c r="R117" t="s">
        <v>702</v>
      </c>
    </row>
    <row r="118" spans="4:18">
      <c r="D118" s="2" t="s">
        <v>132</v>
      </c>
      <c r="E118" s="2" t="s">
        <v>133</v>
      </c>
      <c r="F118" t="s">
        <v>733</v>
      </c>
      <c r="G118" t="s">
        <v>733</v>
      </c>
      <c r="H118" t="s">
        <v>702</v>
      </c>
      <c r="I118" t="s">
        <v>702</v>
      </c>
      <c r="J118" t="s">
        <v>702</v>
      </c>
      <c r="K118" t="s">
        <v>702</v>
      </c>
      <c r="L118" t="s">
        <v>702</v>
      </c>
      <c r="M118" t="s">
        <v>732</v>
      </c>
      <c r="N118" t="s">
        <v>534</v>
      </c>
      <c r="O118" t="s">
        <v>732</v>
      </c>
      <c r="P118" t="s">
        <v>732</v>
      </c>
      <c r="Q118" t="s">
        <v>732</v>
      </c>
      <c r="R118" t="s">
        <v>732</v>
      </c>
    </row>
    <row r="119" spans="4:18">
      <c r="D119" s="2" t="s">
        <v>132</v>
      </c>
      <c r="E119" s="2" t="s">
        <v>134</v>
      </c>
      <c r="F119" t="s">
        <v>701</v>
      </c>
      <c r="G119" t="s">
        <v>701</v>
      </c>
      <c r="H119" t="s">
        <v>701</v>
      </c>
      <c r="I119" t="s">
        <v>701</v>
      </c>
      <c r="J119" t="s">
        <v>732</v>
      </c>
      <c r="K119" t="s">
        <v>732</v>
      </c>
      <c r="L119" t="s">
        <v>702</v>
      </c>
      <c r="M119" t="s">
        <v>702</v>
      </c>
      <c r="N119" t="s">
        <v>732</v>
      </c>
      <c r="O119" t="s">
        <v>732</v>
      </c>
      <c r="P119" t="s">
        <v>702</v>
      </c>
      <c r="Q119" t="s">
        <v>702</v>
      </c>
      <c r="R119" t="s">
        <v>732</v>
      </c>
    </row>
    <row r="120" spans="4:18">
      <c r="D120" s="2" t="s">
        <v>132</v>
      </c>
      <c r="E120" s="2" t="s">
        <v>135</v>
      </c>
      <c r="F120" t="s">
        <v>701</v>
      </c>
      <c r="G120" t="s">
        <v>701</v>
      </c>
      <c r="H120" t="s">
        <v>702</v>
      </c>
      <c r="I120" t="s">
        <v>702</v>
      </c>
      <c r="J120" t="s">
        <v>702</v>
      </c>
      <c r="K120" t="s">
        <v>702</v>
      </c>
      <c r="L120" t="s">
        <v>702</v>
      </c>
      <c r="M120" t="s">
        <v>702</v>
      </c>
      <c r="N120" t="s">
        <v>534</v>
      </c>
      <c r="O120" t="s">
        <v>534</v>
      </c>
      <c r="P120" t="s">
        <v>701</v>
      </c>
      <c r="Q120" t="s">
        <v>701</v>
      </c>
      <c r="R120" t="s">
        <v>702</v>
      </c>
    </row>
    <row r="121" spans="4:18">
      <c r="D121" s="2" t="s">
        <v>132</v>
      </c>
      <c r="E121" s="4" t="s">
        <v>136</v>
      </c>
      <c r="F121" t="s">
        <v>534</v>
      </c>
      <c r="G121" t="s">
        <v>534</v>
      </c>
      <c r="H121" t="s">
        <v>701</v>
      </c>
      <c r="I121" t="s">
        <v>701</v>
      </c>
      <c r="J121" t="s">
        <v>702</v>
      </c>
      <c r="K121" t="s">
        <v>702</v>
      </c>
      <c r="L121" t="s">
        <v>702</v>
      </c>
      <c r="M121" t="s">
        <v>702</v>
      </c>
      <c r="N121" t="s">
        <v>702</v>
      </c>
      <c r="O121" t="s">
        <v>702</v>
      </c>
      <c r="P121" t="s">
        <v>702</v>
      </c>
      <c r="Q121" t="s">
        <v>702</v>
      </c>
      <c r="R121" t="s">
        <v>702</v>
      </c>
    </row>
    <row r="122" spans="4:18">
      <c r="D122" s="2" t="s">
        <v>132</v>
      </c>
      <c r="E122" s="2" t="s">
        <v>137</v>
      </c>
      <c r="F122" t="s">
        <v>702</v>
      </c>
      <c r="G122" t="s">
        <v>702</v>
      </c>
      <c r="H122" t="s">
        <v>702</v>
      </c>
      <c r="I122" t="s">
        <v>702</v>
      </c>
      <c r="J122" t="s">
        <v>702</v>
      </c>
      <c r="K122" t="s">
        <v>702</v>
      </c>
      <c r="L122" t="s">
        <v>702</v>
      </c>
      <c r="M122" t="s">
        <v>702</v>
      </c>
      <c r="N122" t="s">
        <v>732</v>
      </c>
      <c r="O122" t="s">
        <v>732</v>
      </c>
      <c r="P122" t="s">
        <v>702</v>
      </c>
      <c r="Q122" t="s">
        <v>702</v>
      </c>
      <c r="R122" t="s">
        <v>702</v>
      </c>
    </row>
    <row r="123" spans="4:18">
      <c r="D123" s="2" t="s">
        <v>138</v>
      </c>
      <c r="E123" s="2" t="s">
        <v>139</v>
      </c>
      <c r="F123" t="s">
        <v>733</v>
      </c>
      <c r="G123" t="s">
        <v>733</v>
      </c>
      <c r="H123" t="s">
        <v>733</v>
      </c>
      <c r="I123" t="s">
        <v>702</v>
      </c>
      <c r="J123" t="s">
        <v>702</v>
      </c>
      <c r="K123" t="s">
        <v>702</v>
      </c>
      <c r="L123" t="s">
        <v>702</v>
      </c>
      <c r="M123" t="s">
        <v>702</v>
      </c>
      <c r="N123" t="s">
        <v>702</v>
      </c>
      <c r="O123" t="s">
        <v>702</v>
      </c>
      <c r="P123" t="s">
        <v>701</v>
      </c>
      <c r="Q123" t="s">
        <v>733</v>
      </c>
      <c r="R123" t="s">
        <v>702</v>
      </c>
    </row>
    <row r="124" spans="4:18">
      <c r="D124" s="2" t="s">
        <v>138</v>
      </c>
      <c r="E124" s="2" t="s">
        <v>140</v>
      </c>
      <c r="F124" t="s">
        <v>733</v>
      </c>
      <c r="G124" t="s">
        <v>733</v>
      </c>
      <c r="H124" t="s">
        <v>733</v>
      </c>
      <c r="I124" t="s">
        <v>733</v>
      </c>
      <c r="J124" t="s">
        <v>733</v>
      </c>
      <c r="K124" t="s">
        <v>736</v>
      </c>
      <c r="L124" t="s">
        <v>736</v>
      </c>
      <c r="M124" t="s">
        <v>736</v>
      </c>
      <c r="N124" t="s">
        <v>736</v>
      </c>
      <c r="O124" t="s">
        <v>736</v>
      </c>
      <c r="P124" t="s">
        <v>736</v>
      </c>
      <c r="Q124" t="s">
        <v>736</v>
      </c>
      <c r="R124" t="s">
        <v>736</v>
      </c>
    </row>
    <row r="125" spans="4:18">
      <c r="D125" s="2" t="s">
        <v>138</v>
      </c>
      <c r="E125" s="2" t="s">
        <v>141</v>
      </c>
      <c r="F125" t="s">
        <v>734</v>
      </c>
      <c r="G125" t="s">
        <v>734</v>
      </c>
      <c r="H125" t="s">
        <v>734</v>
      </c>
      <c r="I125" t="s">
        <v>734</v>
      </c>
      <c r="J125" t="s">
        <v>733</v>
      </c>
      <c r="K125" t="s">
        <v>733</v>
      </c>
      <c r="L125" t="s">
        <v>733</v>
      </c>
      <c r="M125" t="s">
        <v>733</v>
      </c>
      <c r="N125" t="s">
        <v>733</v>
      </c>
      <c r="O125" t="s">
        <v>733</v>
      </c>
      <c r="P125" t="s">
        <v>733</v>
      </c>
      <c r="Q125" t="s">
        <v>733</v>
      </c>
      <c r="R125" t="s">
        <v>733</v>
      </c>
    </row>
    <row r="126" spans="4:18">
      <c r="D126" s="2" t="s">
        <v>142</v>
      </c>
      <c r="E126" s="4" t="s">
        <v>143</v>
      </c>
      <c r="F126" t="s">
        <v>733</v>
      </c>
      <c r="G126" t="s">
        <v>733</v>
      </c>
      <c r="H126" t="s">
        <v>733</v>
      </c>
      <c r="I126" t="s">
        <v>733</v>
      </c>
      <c r="J126" t="s">
        <v>734</v>
      </c>
      <c r="K126" t="s">
        <v>733</v>
      </c>
      <c r="L126" t="s">
        <v>734</v>
      </c>
      <c r="M126" t="s">
        <v>734</v>
      </c>
      <c r="N126" t="s">
        <v>702</v>
      </c>
      <c r="O126" t="s">
        <v>733</v>
      </c>
      <c r="P126" t="s">
        <v>733</v>
      </c>
      <c r="Q126" t="s">
        <v>733</v>
      </c>
      <c r="R126" t="s">
        <v>733</v>
      </c>
    </row>
    <row r="127" spans="4:18" ht="22.8">
      <c r="D127" s="2" t="s">
        <v>142</v>
      </c>
      <c r="E127" s="2" t="s">
        <v>144</v>
      </c>
      <c r="F127" t="s">
        <v>733</v>
      </c>
      <c r="G127" t="s">
        <v>733</v>
      </c>
      <c r="H127" t="s">
        <v>733</v>
      </c>
      <c r="I127" t="s">
        <v>733</v>
      </c>
      <c r="J127" t="s">
        <v>732</v>
      </c>
      <c r="K127" t="s">
        <v>702</v>
      </c>
      <c r="L127" t="s">
        <v>702</v>
      </c>
      <c r="M127" t="s">
        <v>702</v>
      </c>
      <c r="N127" t="s">
        <v>702</v>
      </c>
      <c r="O127" t="s">
        <v>733</v>
      </c>
      <c r="P127" t="s">
        <v>733</v>
      </c>
      <c r="Q127" t="s">
        <v>733</v>
      </c>
      <c r="R127" t="s">
        <v>733</v>
      </c>
    </row>
    <row r="128" spans="4:18" ht="22.8">
      <c r="D128" s="4" t="s">
        <v>145</v>
      </c>
      <c r="E128" s="2" t="s">
        <v>146</v>
      </c>
      <c r="F128" t="s">
        <v>733</v>
      </c>
      <c r="G128" t="s">
        <v>733</v>
      </c>
      <c r="H128" t="s">
        <v>733</v>
      </c>
      <c r="I128" t="s">
        <v>733</v>
      </c>
      <c r="J128" t="s">
        <v>736</v>
      </c>
      <c r="K128" t="s">
        <v>736</v>
      </c>
      <c r="L128" t="s">
        <v>736</v>
      </c>
      <c r="M128" t="s">
        <v>736</v>
      </c>
      <c r="N128" t="s">
        <v>736</v>
      </c>
      <c r="O128" t="s">
        <v>733</v>
      </c>
      <c r="P128" t="s">
        <v>733</v>
      </c>
      <c r="Q128" t="s">
        <v>733</v>
      </c>
      <c r="R128" t="s">
        <v>733</v>
      </c>
    </row>
    <row r="129" spans="4:18" ht="22.8">
      <c r="D129" s="4" t="s">
        <v>145</v>
      </c>
      <c r="E129" s="2" t="s">
        <v>147</v>
      </c>
      <c r="F129" t="s">
        <v>733</v>
      </c>
      <c r="G129" t="s">
        <v>733</v>
      </c>
      <c r="H129" t="s">
        <v>733</v>
      </c>
      <c r="I129" t="s">
        <v>733</v>
      </c>
      <c r="J129" t="s">
        <v>702</v>
      </c>
      <c r="K129" t="s">
        <v>702</v>
      </c>
      <c r="L129" t="s">
        <v>702</v>
      </c>
      <c r="M129" t="s">
        <v>702</v>
      </c>
      <c r="N129" t="s">
        <v>702</v>
      </c>
      <c r="O129" t="s">
        <v>701</v>
      </c>
      <c r="P129" t="s">
        <v>733</v>
      </c>
      <c r="Q129" t="s">
        <v>701</v>
      </c>
      <c r="R129" t="s">
        <v>702</v>
      </c>
    </row>
    <row r="130" spans="4:18" ht="22.8">
      <c r="D130" s="4" t="s">
        <v>145</v>
      </c>
      <c r="E130" s="2" t="s">
        <v>148</v>
      </c>
      <c r="F130" t="s">
        <v>734</v>
      </c>
      <c r="G130" t="s">
        <v>733</v>
      </c>
      <c r="H130" t="s">
        <v>733</v>
      </c>
      <c r="I130" t="s">
        <v>736</v>
      </c>
      <c r="J130" t="s">
        <v>736</v>
      </c>
      <c r="K130" t="s">
        <v>736</v>
      </c>
      <c r="L130" t="s">
        <v>736</v>
      </c>
      <c r="M130" t="s">
        <v>736</v>
      </c>
      <c r="N130" t="s">
        <v>736</v>
      </c>
      <c r="O130" t="s">
        <v>736</v>
      </c>
      <c r="P130" t="s">
        <v>734</v>
      </c>
      <c r="Q130" t="s">
        <v>734</v>
      </c>
      <c r="R130" t="s">
        <v>736</v>
      </c>
    </row>
    <row r="131" spans="4:18" ht="22.8">
      <c r="D131" s="4" t="s">
        <v>145</v>
      </c>
      <c r="E131" s="2" t="s">
        <v>149</v>
      </c>
      <c r="F131" t="s">
        <v>734</v>
      </c>
      <c r="G131" t="s">
        <v>733</v>
      </c>
      <c r="H131" t="s">
        <v>733</v>
      </c>
      <c r="I131" t="s">
        <v>733</v>
      </c>
      <c r="J131" t="s">
        <v>702</v>
      </c>
      <c r="K131" t="s">
        <v>702</v>
      </c>
      <c r="L131" t="s">
        <v>736</v>
      </c>
      <c r="M131" t="s">
        <v>736</v>
      </c>
      <c r="N131" t="s">
        <v>736</v>
      </c>
      <c r="O131" t="s">
        <v>733</v>
      </c>
      <c r="P131" t="s">
        <v>734</v>
      </c>
      <c r="Q131" t="s">
        <v>734</v>
      </c>
      <c r="R131" t="s">
        <v>733</v>
      </c>
    </row>
    <row r="132" spans="4:18" ht="22.8">
      <c r="D132" s="4" t="s">
        <v>145</v>
      </c>
      <c r="E132" s="2" t="s">
        <v>150</v>
      </c>
      <c r="F132" t="s">
        <v>733</v>
      </c>
      <c r="G132" t="s">
        <v>733</v>
      </c>
      <c r="H132" t="s">
        <v>733</v>
      </c>
      <c r="I132" t="s">
        <v>733</v>
      </c>
      <c r="J132" t="s">
        <v>733</v>
      </c>
      <c r="K132" t="s">
        <v>733</v>
      </c>
      <c r="L132" t="s">
        <v>733</v>
      </c>
      <c r="M132" t="s">
        <v>733</v>
      </c>
      <c r="N132" t="s">
        <v>733</v>
      </c>
      <c r="O132" t="s">
        <v>733</v>
      </c>
      <c r="P132" t="s">
        <v>733</v>
      </c>
      <c r="Q132" t="s">
        <v>733</v>
      </c>
      <c r="R132" t="s">
        <v>733</v>
      </c>
    </row>
    <row r="133" spans="4:18">
      <c r="D133" s="3" t="s">
        <v>151</v>
      </c>
      <c r="E133" s="3" t="s">
        <v>152</v>
      </c>
      <c r="F133" t="s">
        <v>733</v>
      </c>
      <c r="G133" t="s">
        <v>733</v>
      </c>
      <c r="H133" t="s">
        <v>733</v>
      </c>
      <c r="I133" t="s">
        <v>732</v>
      </c>
      <c r="J133" t="s">
        <v>732</v>
      </c>
      <c r="K133" t="s">
        <v>732</v>
      </c>
      <c r="L133" t="s">
        <v>733</v>
      </c>
      <c r="M133" t="s">
        <v>736</v>
      </c>
      <c r="N133" t="s">
        <v>736</v>
      </c>
      <c r="O133" t="s">
        <v>702</v>
      </c>
      <c r="P133" t="s">
        <v>736</v>
      </c>
      <c r="Q133" t="s">
        <v>736</v>
      </c>
      <c r="R133" t="s">
        <v>733</v>
      </c>
    </row>
    <row r="134" spans="4:18">
      <c r="D134" s="3" t="s">
        <v>151</v>
      </c>
      <c r="E134" s="3" t="s">
        <v>153</v>
      </c>
      <c r="F134" t="s">
        <v>736</v>
      </c>
      <c r="G134" t="s">
        <v>736</v>
      </c>
      <c r="H134" t="s">
        <v>733</v>
      </c>
      <c r="I134" t="s">
        <v>736</v>
      </c>
      <c r="J134" t="s">
        <v>534</v>
      </c>
      <c r="K134" t="s">
        <v>736</v>
      </c>
      <c r="L134" t="s">
        <v>736</v>
      </c>
      <c r="M134" t="s">
        <v>736</v>
      </c>
      <c r="N134" t="s">
        <v>736</v>
      </c>
      <c r="O134" t="s">
        <v>736</v>
      </c>
      <c r="P134" t="s">
        <v>736</v>
      </c>
      <c r="Q134" t="s">
        <v>736</v>
      </c>
      <c r="R134" t="s">
        <v>736</v>
      </c>
    </row>
    <row r="135" spans="4:18">
      <c r="D135" s="3" t="s">
        <v>151</v>
      </c>
      <c r="E135" s="3" t="s">
        <v>154</v>
      </c>
      <c r="F135" t="s">
        <v>734</v>
      </c>
      <c r="G135" t="s">
        <v>734</v>
      </c>
      <c r="H135" t="s">
        <v>733</v>
      </c>
      <c r="I135" t="s">
        <v>736</v>
      </c>
      <c r="J135" t="s">
        <v>736</v>
      </c>
      <c r="K135" t="s">
        <v>736</v>
      </c>
      <c r="L135" t="s">
        <v>736</v>
      </c>
      <c r="M135" t="s">
        <v>736</v>
      </c>
      <c r="N135" t="s">
        <v>736</v>
      </c>
      <c r="O135" t="s">
        <v>702</v>
      </c>
      <c r="P135" t="s">
        <v>736</v>
      </c>
      <c r="Q135" t="s">
        <v>736</v>
      </c>
      <c r="R135" t="s">
        <v>736</v>
      </c>
    </row>
    <row r="136" spans="4:18">
      <c r="D136" s="3" t="s">
        <v>151</v>
      </c>
      <c r="E136" s="3" t="s">
        <v>155</v>
      </c>
      <c r="F136" t="s">
        <v>736</v>
      </c>
      <c r="G136" t="s">
        <v>736</v>
      </c>
      <c r="H136" t="s">
        <v>736</v>
      </c>
      <c r="I136" t="s">
        <v>736</v>
      </c>
      <c r="J136" t="s">
        <v>736</v>
      </c>
      <c r="K136" t="s">
        <v>736</v>
      </c>
      <c r="L136" t="s">
        <v>736</v>
      </c>
      <c r="M136" t="s">
        <v>736</v>
      </c>
      <c r="N136" t="s">
        <v>702</v>
      </c>
      <c r="O136" t="s">
        <v>702</v>
      </c>
      <c r="P136" t="s">
        <v>736</v>
      </c>
      <c r="Q136" t="s">
        <v>702</v>
      </c>
      <c r="R136" t="s">
        <v>736</v>
      </c>
    </row>
    <row r="137" spans="4:18">
      <c r="D137" s="3" t="s">
        <v>151</v>
      </c>
      <c r="E137" s="3" t="s">
        <v>156</v>
      </c>
      <c r="F137" t="s">
        <v>736</v>
      </c>
      <c r="G137" t="s">
        <v>734</v>
      </c>
      <c r="H137" t="s">
        <v>734</v>
      </c>
      <c r="I137" t="s">
        <v>734</v>
      </c>
      <c r="J137" t="s">
        <v>734</v>
      </c>
      <c r="K137" t="s">
        <v>734</v>
      </c>
      <c r="L137" t="s">
        <v>734</v>
      </c>
      <c r="M137" t="s">
        <v>734</v>
      </c>
      <c r="N137" t="s">
        <v>702</v>
      </c>
      <c r="O137" t="s">
        <v>736</v>
      </c>
      <c r="P137" t="s">
        <v>736</v>
      </c>
      <c r="Q137" t="s">
        <v>736</v>
      </c>
      <c r="R137" t="s">
        <v>734</v>
      </c>
    </row>
    <row r="138" spans="4:18">
      <c r="D138" s="3" t="s">
        <v>151</v>
      </c>
      <c r="E138" s="1" t="s">
        <v>157</v>
      </c>
      <c r="F138" t="s">
        <v>733</v>
      </c>
      <c r="G138" t="s">
        <v>733</v>
      </c>
      <c r="H138" t="s">
        <v>735</v>
      </c>
      <c r="I138" t="s">
        <v>735</v>
      </c>
      <c r="J138" t="s">
        <v>736</v>
      </c>
      <c r="K138" t="s">
        <v>736</v>
      </c>
      <c r="L138" t="s">
        <v>736</v>
      </c>
      <c r="M138" t="s">
        <v>736</v>
      </c>
      <c r="N138" t="s">
        <v>732</v>
      </c>
      <c r="O138" t="s">
        <v>732</v>
      </c>
      <c r="P138" t="s">
        <v>732</v>
      </c>
      <c r="Q138" t="s">
        <v>733</v>
      </c>
      <c r="R138" t="s">
        <v>733</v>
      </c>
    </row>
    <row r="139" spans="4:18">
      <c r="D139" s="3" t="s">
        <v>151</v>
      </c>
      <c r="E139" s="1" t="s">
        <v>158</v>
      </c>
      <c r="F139" t="s">
        <v>736</v>
      </c>
      <c r="G139" t="s">
        <v>736</v>
      </c>
      <c r="H139" t="s">
        <v>733</v>
      </c>
      <c r="I139" t="s">
        <v>733</v>
      </c>
      <c r="J139" t="s">
        <v>534</v>
      </c>
      <c r="K139" t="s">
        <v>736</v>
      </c>
      <c r="L139" t="s">
        <v>736</v>
      </c>
      <c r="M139" t="s">
        <v>736</v>
      </c>
      <c r="N139" t="s">
        <v>736</v>
      </c>
      <c r="O139" t="s">
        <v>736</v>
      </c>
      <c r="P139" t="s">
        <v>736</v>
      </c>
      <c r="Q139" t="s">
        <v>736</v>
      </c>
      <c r="R139" t="s">
        <v>736</v>
      </c>
    </row>
    <row r="140" spans="4:18">
      <c r="D140" s="3" t="s">
        <v>151</v>
      </c>
      <c r="E140" s="1" t="s">
        <v>159</v>
      </c>
      <c r="F140" t="s">
        <v>736</v>
      </c>
      <c r="G140" t="s">
        <v>701</v>
      </c>
      <c r="H140" t="s">
        <v>701</v>
      </c>
      <c r="I140" t="s">
        <v>701</v>
      </c>
      <c r="J140" t="s">
        <v>701</v>
      </c>
      <c r="K140" t="s">
        <v>702</v>
      </c>
      <c r="L140" t="s">
        <v>736</v>
      </c>
      <c r="M140" t="s">
        <v>736</v>
      </c>
      <c r="N140" t="s">
        <v>702</v>
      </c>
      <c r="O140" t="s">
        <v>702</v>
      </c>
      <c r="P140" t="s">
        <v>736</v>
      </c>
      <c r="Q140" t="s">
        <v>736</v>
      </c>
      <c r="R140" t="s">
        <v>702</v>
      </c>
    </row>
    <row r="141" spans="4:18">
      <c r="D141" s="3" t="s">
        <v>151</v>
      </c>
      <c r="E141" s="1" t="s">
        <v>160</v>
      </c>
      <c r="F141" t="s">
        <v>732</v>
      </c>
      <c r="G141" t="s">
        <v>733</v>
      </c>
      <c r="H141" t="s">
        <v>733</v>
      </c>
      <c r="I141" t="s">
        <v>733</v>
      </c>
      <c r="J141" t="s">
        <v>733</v>
      </c>
      <c r="K141" t="s">
        <v>733</v>
      </c>
      <c r="L141" t="s">
        <v>733</v>
      </c>
      <c r="M141" t="s">
        <v>733</v>
      </c>
      <c r="N141" t="s">
        <v>733</v>
      </c>
      <c r="O141" t="s">
        <v>732</v>
      </c>
      <c r="P141" t="s">
        <v>732</v>
      </c>
      <c r="Q141" t="s">
        <v>732</v>
      </c>
      <c r="R141" t="s">
        <v>733</v>
      </c>
    </row>
    <row r="142" spans="4:18">
      <c r="D142" s="3" t="s">
        <v>161</v>
      </c>
      <c r="E142" s="1" t="s">
        <v>162</v>
      </c>
      <c r="F142" t="s">
        <v>733</v>
      </c>
      <c r="G142" t="s">
        <v>733</v>
      </c>
      <c r="H142" t="s">
        <v>735</v>
      </c>
      <c r="I142" t="s">
        <v>735</v>
      </c>
      <c r="J142" t="s">
        <v>735</v>
      </c>
      <c r="K142" t="s">
        <v>732</v>
      </c>
      <c r="L142" t="s">
        <v>733</v>
      </c>
      <c r="M142" t="s">
        <v>732</v>
      </c>
      <c r="N142" t="s">
        <v>733</v>
      </c>
      <c r="O142" t="s">
        <v>733</v>
      </c>
      <c r="P142" t="s">
        <v>733</v>
      </c>
      <c r="Q142" t="s">
        <v>733</v>
      </c>
      <c r="R142" t="s">
        <v>733</v>
      </c>
    </row>
    <row r="143" spans="4:18">
      <c r="D143" s="3" t="s">
        <v>161</v>
      </c>
      <c r="E143" s="1" t="s">
        <v>163</v>
      </c>
      <c r="F143" t="s">
        <v>733</v>
      </c>
      <c r="G143" t="s">
        <v>733</v>
      </c>
      <c r="H143" t="s">
        <v>733</v>
      </c>
      <c r="I143" t="s">
        <v>733</v>
      </c>
      <c r="J143" t="s">
        <v>733</v>
      </c>
      <c r="K143" t="s">
        <v>733</v>
      </c>
      <c r="L143" t="s">
        <v>534</v>
      </c>
      <c r="M143" t="s">
        <v>534</v>
      </c>
      <c r="N143" t="s">
        <v>702</v>
      </c>
      <c r="O143" t="s">
        <v>702</v>
      </c>
      <c r="P143" t="s">
        <v>702</v>
      </c>
      <c r="Q143" t="s">
        <v>702</v>
      </c>
      <c r="R143" t="s">
        <v>733</v>
      </c>
    </row>
    <row r="144" spans="4:18">
      <c r="D144" s="3" t="s">
        <v>161</v>
      </c>
      <c r="E144" s="1" t="s">
        <v>164</v>
      </c>
      <c r="F144" t="s">
        <v>733</v>
      </c>
      <c r="G144" t="s">
        <v>733</v>
      </c>
      <c r="H144" t="s">
        <v>733</v>
      </c>
      <c r="I144" t="s">
        <v>701</v>
      </c>
      <c r="J144" t="s">
        <v>732</v>
      </c>
      <c r="K144" t="s">
        <v>732</v>
      </c>
      <c r="L144" t="s">
        <v>702</v>
      </c>
      <c r="M144" t="s">
        <v>702</v>
      </c>
      <c r="N144" t="s">
        <v>702</v>
      </c>
      <c r="O144" t="s">
        <v>733</v>
      </c>
      <c r="P144" t="s">
        <v>733</v>
      </c>
      <c r="Q144" t="s">
        <v>733</v>
      </c>
      <c r="R144" t="s">
        <v>733</v>
      </c>
    </row>
    <row r="145" spans="4:18">
      <c r="D145" s="3" t="s">
        <v>161</v>
      </c>
      <c r="E145" s="1" t="s">
        <v>165</v>
      </c>
      <c r="F145" t="s">
        <v>733</v>
      </c>
      <c r="G145" t="s">
        <v>733</v>
      </c>
      <c r="H145" t="s">
        <v>733</v>
      </c>
      <c r="I145" t="s">
        <v>733</v>
      </c>
      <c r="J145" t="s">
        <v>733</v>
      </c>
      <c r="K145" t="s">
        <v>733</v>
      </c>
      <c r="L145" t="s">
        <v>733</v>
      </c>
      <c r="M145" t="s">
        <v>733</v>
      </c>
      <c r="N145" t="s">
        <v>733</v>
      </c>
      <c r="O145" t="s">
        <v>733</v>
      </c>
      <c r="P145" t="s">
        <v>733</v>
      </c>
      <c r="Q145" t="s">
        <v>733</v>
      </c>
      <c r="R145" t="s">
        <v>733</v>
      </c>
    </row>
    <row r="146" spans="4:18">
      <c r="D146" s="3" t="s">
        <v>161</v>
      </c>
      <c r="E146" s="1" t="s">
        <v>166</v>
      </c>
      <c r="F146" t="s">
        <v>733</v>
      </c>
      <c r="G146" t="s">
        <v>733</v>
      </c>
      <c r="H146" t="s">
        <v>733</v>
      </c>
      <c r="I146" t="s">
        <v>733</v>
      </c>
      <c r="J146" t="s">
        <v>702</v>
      </c>
      <c r="K146" t="s">
        <v>702</v>
      </c>
      <c r="L146" t="s">
        <v>702</v>
      </c>
      <c r="M146" t="s">
        <v>702</v>
      </c>
      <c r="N146" t="s">
        <v>702</v>
      </c>
      <c r="O146" t="s">
        <v>733</v>
      </c>
      <c r="P146" t="s">
        <v>733</v>
      </c>
      <c r="Q146" t="s">
        <v>733</v>
      </c>
      <c r="R146" t="s">
        <v>733</v>
      </c>
    </row>
    <row r="147" spans="4:18">
      <c r="D147" s="1" t="s">
        <v>167</v>
      </c>
      <c r="E147" s="1" t="s">
        <v>168</v>
      </c>
      <c r="F147" t="s">
        <v>701</v>
      </c>
      <c r="G147" t="s">
        <v>701</v>
      </c>
      <c r="H147" t="s">
        <v>732</v>
      </c>
      <c r="I147" t="s">
        <v>732</v>
      </c>
      <c r="J147" t="s">
        <v>732</v>
      </c>
      <c r="K147" t="s">
        <v>736</v>
      </c>
      <c r="L147" t="s">
        <v>736</v>
      </c>
      <c r="M147" t="s">
        <v>701</v>
      </c>
      <c r="N147" t="s">
        <v>534</v>
      </c>
      <c r="O147" t="s">
        <v>534</v>
      </c>
      <c r="P147" t="s">
        <v>701</v>
      </c>
      <c r="Q147" t="s">
        <v>701</v>
      </c>
      <c r="R147" t="s">
        <v>701</v>
      </c>
    </row>
    <row r="148" spans="4:18">
      <c r="D148" s="1" t="s">
        <v>167</v>
      </c>
      <c r="E148" s="1" t="s">
        <v>128</v>
      </c>
      <c r="F148" t="s">
        <v>736</v>
      </c>
      <c r="G148" t="s">
        <v>736</v>
      </c>
      <c r="H148" t="s">
        <v>702</v>
      </c>
      <c r="I148" t="s">
        <v>702</v>
      </c>
      <c r="J148" t="s">
        <v>702</v>
      </c>
      <c r="K148" t="s">
        <v>702</v>
      </c>
      <c r="L148" t="s">
        <v>702</v>
      </c>
      <c r="M148" t="s">
        <v>702</v>
      </c>
      <c r="N148" t="s">
        <v>702</v>
      </c>
      <c r="O148" t="s">
        <v>702</v>
      </c>
      <c r="P148" t="s">
        <v>702</v>
      </c>
      <c r="Q148" t="s">
        <v>702</v>
      </c>
      <c r="R148" t="s">
        <v>702</v>
      </c>
    </row>
    <row r="149" spans="4:18">
      <c r="D149" s="1" t="s">
        <v>167</v>
      </c>
      <c r="E149" s="1" t="s">
        <v>169</v>
      </c>
      <c r="F149" t="s">
        <v>702</v>
      </c>
      <c r="G149" t="s">
        <v>702</v>
      </c>
      <c r="H149" t="s">
        <v>702</v>
      </c>
      <c r="I149" t="s">
        <v>702</v>
      </c>
      <c r="J149" t="s">
        <v>702</v>
      </c>
      <c r="K149" t="s">
        <v>702</v>
      </c>
      <c r="L149" t="s">
        <v>702</v>
      </c>
      <c r="M149" t="s">
        <v>702</v>
      </c>
      <c r="N149" t="s">
        <v>701</v>
      </c>
      <c r="O149" t="s">
        <v>701</v>
      </c>
      <c r="P149" t="s">
        <v>702</v>
      </c>
      <c r="Q149" t="s">
        <v>702</v>
      </c>
      <c r="R149" t="s">
        <v>702</v>
      </c>
    </row>
    <row r="150" spans="4:18">
      <c r="D150" s="1" t="s">
        <v>167</v>
      </c>
      <c r="E150" s="1" t="s">
        <v>170</v>
      </c>
      <c r="F150" t="s">
        <v>701</v>
      </c>
      <c r="G150" t="s">
        <v>701</v>
      </c>
      <c r="H150" t="s">
        <v>701</v>
      </c>
      <c r="I150" t="s">
        <v>701</v>
      </c>
      <c r="J150" t="s">
        <v>702</v>
      </c>
      <c r="K150" t="s">
        <v>702</v>
      </c>
      <c r="L150" t="s">
        <v>702</v>
      </c>
      <c r="M150" t="s">
        <v>702</v>
      </c>
      <c r="N150" t="s">
        <v>702</v>
      </c>
      <c r="O150" t="s">
        <v>702</v>
      </c>
      <c r="P150" t="s">
        <v>702</v>
      </c>
      <c r="Q150" t="s">
        <v>702</v>
      </c>
      <c r="R150" t="s">
        <v>702</v>
      </c>
    </row>
    <row r="151" spans="4:18">
      <c r="D151" s="2" t="s">
        <v>171</v>
      </c>
      <c r="E151" s="2" t="s">
        <v>172</v>
      </c>
      <c r="F151" t="s">
        <v>733</v>
      </c>
      <c r="G151" t="s">
        <v>733</v>
      </c>
      <c r="H151" t="s">
        <v>733</v>
      </c>
      <c r="I151" t="s">
        <v>702</v>
      </c>
      <c r="J151" t="s">
        <v>702</v>
      </c>
      <c r="K151" t="s">
        <v>702</v>
      </c>
      <c r="L151" t="s">
        <v>702</v>
      </c>
      <c r="M151" t="s">
        <v>702</v>
      </c>
      <c r="N151" t="s">
        <v>702</v>
      </c>
      <c r="O151" t="s">
        <v>702</v>
      </c>
      <c r="P151" t="s">
        <v>702</v>
      </c>
      <c r="Q151" t="s">
        <v>733</v>
      </c>
      <c r="R151" t="s">
        <v>702</v>
      </c>
    </row>
    <row r="152" spans="4:18">
      <c r="D152" s="2" t="s">
        <v>171</v>
      </c>
      <c r="E152" s="2" t="s">
        <v>173</v>
      </c>
      <c r="F152" t="s">
        <v>736</v>
      </c>
      <c r="G152" t="s">
        <v>736</v>
      </c>
      <c r="H152" t="s">
        <v>702</v>
      </c>
      <c r="I152" t="s">
        <v>702</v>
      </c>
      <c r="J152" t="s">
        <v>702</v>
      </c>
      <c r="K152" t="s">
        <v>702</v>
      </c>
      <c r="L152" t="s">
        <v>702</v>
      </c>
      <c r="M152" t="s">
        <v>702</v>
      </c>
      <c r="N152" t="s">
        <v>702</v>
      </c>
      <c r="O152" t="s">
        <v>702</v>
      </c>
      <c r="P152" t="s">
        <v>702</v>
      </c>
      <c r="Q152" t="s">
        <v>702</v>
      </c>
      <c r="R152" t="s">
        <v>702</v>
      </c>
    </row>
    <row r="153" spans="4:18">
      <c r="D153" s="2" t="s">
        <v>171</v>
      </c>
      <c r="E153" s="2" t="s">
        <v>174</v>
      </c>
      <c r="F153" t="s">
        <v>733</v>
      </c>
      <c r="G153" t="s">
        <v>733</v>
      </c>
      <c r="H153" t="s">
        <v>733</v>
      </c>
      <c r="I153" t="s">
        <v>733</v>
      </c>
      <c r="J153" t="s">
        <v>702</v>
      </c>
      <c r="K153" t="s">
        <v>702</v>
      </c>
      <c r="L153" t="s">
        <v>702</v>
      </c>
      <c r="M153" t="s">
        <v>702</v>
      </c>
      <c r="N153" t="s">
        <v>702</v>
      </c>
      <c r="O153" t="s">
        <v>732</v>
      </c>
      <c r="P153" t="s">
        <v>733</v>
      </c>
      <c r="Q153" t="s">
        <v>733</v>
      </c>
      <c r="R153" t="s">
        <v>733</v>
      </c>
    </row>
    <row r="154" spans="4:18">
      <c r="D154" s="2" t="s">
        <v>171</v>
      </c>
      <c r="E154" s="2" t="s">
        <v>109</v>
      </c>
      <c r="F154" t="s">
        <v>732</v>
      </c>
      <c r="G154" t="s">
        <v>732</v>
      </c>
      <c r="H154" t="s">
        <v>732</v>
      </c>
      <c r="I154" t="s">
        <v>732</v>
      </c>
      <c r="J154" t="s">
        <v>732</v>
      </c>
      <c r="K154" t="s">
        <v>702</v>
      </c>
      <c r="L154" t="s">
        <v>702</v>
      </c>
      <c r="M154" t="s">
        <v>732</v>
      </c>
      <c r="N154" t="s">
        <v>732</v>
      </c>
      <c r="O154" t="s">
        <v>732</v>
      </c>
      <c r="P154" t="s">
        <v>732</v>
      </c>
      <c r="Q154" t="s">
        <v>732</v>
      </c>
      <c r="R154" t="s">
        <v>732</v>
      </c>
    </row>
    <row r="155" spans="4:18">
      <c r="D155" s="2" t="s">
        <v>175</v>
      </c>
      <c r="E155" s="2" t="s">
        <v>176</v>
      </c>
      <c r="F155" t="s">
        <v>736</v>
      </c>
      <c r="G155" t="s">
        <v>736</v>
      </c>
      <c r="H155" t="s">
        <v>736</v>
      </c>
      <c r="I155" t="s">
        <v>736</v>
      </c>
      <c r="J155" t="s">
        <v>736</v>
      </c>
      <c r="K155" t="s">
        <v>736</v>
      </c>
      <c r="L155" t="s">
        <v>736</v>
      </c>
      <c r="M155" t="s">
        <v>736</v>
      </c>
      <c r="N155" t="s">
        <v>736</v>
      </c>
      <c r="O155" t="s">
        <v>736</v>
      </c>
      <c r="P155" t="s">
        <v>736</v>
      </c>
      <c r="Q155" t="s">
        <v>736</v>
      </c>
      <c r="R155" t="s">
        <v>736</v>
      </c>
    </row>
    <row r="156" spans="4:18">
      <c r="D156" s="2" t="s">
        <v>175</v>
      </c>
      <c r="E156" s="2" t="s">
        <v>177</v>
      </c>
      <c r="F156" t="s">
        <v>732</v>
      </c>
      <c r="G156" t="s">
        <v>732</v>
      </c>
      <c r="H156" t="s">
        <v>732</v>
      </c>
      <c r="I156" t="s">
        <v>732</v>
      </c>
      <c r="J156" t="s">
        <v>732</v>
      </c>
      <c r="K156" t="s">
        <v>732</v>
      </c>
      <c r="L156" t="s">
        <v>732</v>
      </c>
      <c r="M156" t="s">
        <v>732</v>
      </c>
      <c r="N156" t="s">
        <v>732</v>
      </c>
      <c r="O156" t="s">
        <v>732</v>
      </c>
      <c r="P156" t="s">
        <v>732</v>
      </c>
      <c r="Q156" t="s">
        <v>732</v>
      </c>
      <c r="R156" t="s">
        <v>732</v>
      </c>
    </row>
    <row r="157" spans="4:18">
      <c r="D157" s="2" t="s">
        <v>175</v>
      </c>
      <c r="E157" s="2" t="s">
        <v>178</v>
      </c>
      <c r="F157" t="s">
        <v>736</v>
      </c>
      <c r="G157" t="s">
        <v>736</v>
      </c>
      <c r="H157" t="s">
        <v>736</v>
      </c>
      <c r="I157" t="s">
        <v>736</v>
      </c>
      <c r="J157" t="s">
        <v>736</v>
      </c>
      <c r="K157" t="s">
        <v>736</v>
      </c>
      <c r="L157" t="s">
        <v>736</v>
      </c>
      <c r="M157" t="s">
        <v>736</v>
      </c>
      <c r="N157" t="s">
        <v>736</v>
      </c>
      <c r="O157" t="s">
        <v>736</v>
      </c>
      <c r="P157" t="s">
        <v>736</v>
      </c>
      <c r="Q157" t="s">
        <v>736</v>
      </c>
      <c r="R157" t="s">
        <v>736</v>
      </c>
    </row>
    <row r="158" spans="4:18">
      <c r="D158" s="2" t="s">
        <v>175</v>
      </c>
      <c r="E158" s="2" t="s">
        <v>179</v>
      </c>
      <c r="F158" t="s">
        <v>736</v>
      </c>
      <c r="G158" t="s">
        <v>736</v>
      </c>
      <c r="H158" t="s">
        <v>736</v>
      </c>
      <c r="I158" t="s">
        <v>736</v>
      </c>
      <c r="J158" t="s">
        <v>735</v>
      </c>
      <c r="K158" t="s">
        <v>736</v>
      </c>
      <c r="L158" t="s">
        <v>736</v>
      </c>
      <c r="M158" t="s">
        <v>734</v>
      </c>
      <c r="N158" t="s">
        <v>735</v>
      </c>
      <c r="O158" t="s">
        <v>736</v>
      </c>
      <c r="P158" t="s">
        <v>736</v>
      </c>
      <c r="Q158" t="s">
        <v>736</v>
      </c>
      <c r="R158" t="s">
        <v>736</v>
      </c>
    </row>
    <row r="159" spans="4:18">
      <c r="D159" s="2" t="s">
        <v>175</v>
      </c>
      <c r="E159" s="2" t="s">
        <v>180</v>
      </c>
      <c r="F159" t="s">
        <v>734</v>
      </c>
      <c r="G159" t="s">
        <v>534</v>
      </c>
      <c r="H159" t="s">
        <v>734</v>
      </c>
      <c r="I159" t="s">
        <v>734</v>
      </c>
      <c r="J159" t="s">
        <v>734</v>
      </c>
      <c r="K159" t="s">
        <v>534</v>
      </c>
      <c r="L159" t="s">
        <v>734</v>
      </c>
      <c r="M159" t="s">
        <v>534</v>
      </c>
      <c r="N159" t="s">
        <v>734</v>
      </c>
      <c r="O159" t="s">
        <v>534</v>
      </c>
      <c r="P159" t="s">
        <v>734</v>
      </c>
      <c r="Q159" t="s">
        <v>734</v>
      </c>
      <c r="R159" t="s">
        <v>534</v>
      </c>
    </row>
    <row r="160" spans="4:18">
      <c r="D160" s="2" t="s">
        <v>175</v>
      </c>
      <c r="E160" s="2" t="s">
        <v>181</v>
      </c>
      <c r="F160" t="s">
        <v>702</v>
      </c>
      <c r="G160" t="s">
        <v>702</v>
      </c>
      <c r="H160" t="s">
        <v>702</v>
      </c>
      <c r="I160" t="s">
        <v>702</v>
      </c>
      <c r="J160" t="s">
        <v>702</v>
      </c>
      <c r="K160" t="s">
        <v>702</v>
      </c>
      <c r="L160" t="s">
        <v>702</v>
      </c>
      <c r="M160" t="s">
        <v>702</v>
      </c>
      <c r="N160" t="s">
        <v>702</v>
      </c>
      <c r="O160" t="s">
        <v>702</v>
      </c>
      <c r="P160" t="s">
        <v>702</v>
      </c>
      <c r="Q160" t="s">
        <v>702</v>
      </c>
      <c r="R160" t="s">
        <v>702</v>
      </c>
    </row>
    <row r="161" spans="4:18">
      <c r="D161" s="2" t="s">
        <v>175</v>
      </c>
      <c r="E161" s="6" t="s">
        <v>182</v>
      </c>
      <c r="F161" t="s">
        <v>732</v>
      </c>
      <c r="G161" t="s">
        <v>733</v>
      </c>
      <c r="H161" t="s">
        <v>733</v>
      </c>
      <c r="I161" t="s">
        <v>733</v>
      </c>
      <c r="J161" t="s">
        <v>733</v>
      </c>
      <c r="K161" t="s">
        <v>733</v>
      </c>
      <c r="L161" t="s">
        <v>733</v>
      </c>
      <c r="M161" t="s">
        <v>733</v>
      </c>
      <c r="N161" t="s">
        <v>733</v>
      </c>
      <c r="O161" t="s">
        <v>733</v>
      </c>
      <c r="P161" t="s">
        <v>733</v>
      </c>
      <c r="Q161" t="s">
        <v>732</v>
      </c>
      <c r="R161" t="s">
        <v>733</v>
      </c>
    </row>
    <row r="162" spans="4:18">
      <c r="D162" s="3" t="s">
        <v>183</v>
      </c>
      <c r="E162" s="3" t="s">
        <v>184</v>
      </c>
      <c r="F162" t="s">
        <v>701</v>
      </c>
      <c r="G162" t="s">
        <v>701</v>
      </c>
      <c r="H162" t="s">
        <v>701</v>
      </c>
      <c r="I162" t="s">
        <v>701</v>
      </c>
      <c r="J162" t="s">
        <v>701</v>
      </c>
      <c r="K162" t="s">
        <v>701</v>
      </c>
      <c r="L162" t="s">
        <v>701</v>
      </c>
      <c r="M162" t="s">
        <v>701</v>
      </c>
      <c r="N162" t="s">
        <v>702</v>
      </c>
      <c r="O162" t="s">
        <v>702</v>
      </c>
      <c r="P162" t="s">
        <v>702</v>
      </c>
      <c r="Q162" t="s">
        <v>702</v>
      </c>
      <c r="R162" t="s">
        <v>702</v>
      </c>
    </row>
    <row r="163" spans="4:18">
      <c r="D163" s="3" t="s">
        <v>183</v>
      </c>
      <c r="E163" s="2" t="s">
        <v>185</v>
      </c>
      <c r="F163" t="s">
        <v>701</v>
      </c>
      <c r="G163" t="s">
        <v>701</v>
      </c>
      <c r="H163" t="s">
        <v>701</v>
      </c>
      <c r="I163" t="s">
        <v>701</v>
      </c>
      <c r="J163" t="s">
        <v>701</v>
      </c>
      <c r="K163" t="s">
        <v>701</v>
      </c>
      <c r="L163" t="s">
        <v>701</v>
      </c>
      <c r="M163" t="s">
        <v>701</v>
      </c>
      <c r="N163" t="s">
        <v>701</v>
      </c>
      <c r="O163" t="s">
        <v>701</v>
      </c>
      <c r="P163" t="s">
        <v>701</v>
      </c>
      <c r="Q163" t="s">
        <v>701</v>
      </c>
      <c r="R163" t="s">
        <v>701</v>
      </c>
    </row>
    <row r="164" spans="4:18">
      <c r="D164" s="3" t="s">
        <v>183</v>
      </c>
      <c r="E164" s="2" t="s">
        <v>186</v>
      </c>
      <c r="F164" t="s">
        <v>701</v>
      </c>
      <c r="G164" t="s">
        <v>701</v>
      </c>
      <c r="H164" t="s">
        <v>534</v>
      </c>
      <c r="I164" t="s">
        <v>702</v>
      </c>
      <c r="J164" t="s">
        <v>702</v>
      </c>
      <c r="K164" t="s">
        <v>736</v>
      </c>
      <c r="L164" t="s">
        <v>736</v>
      </c>
      <c r="M164" t="s">
        <v>736</v>
      </c>
      <c r="N164" t="s">
        <v>534</v>
      </c>
      <c r="O164" t="s">
        <v>534</v>
      </c>
      <c r="P164" t="s">
        <v>736</v>
      </c>
      <c r="Q164" t="s">
        <v>701</v>
      </c>
      <c r="R164" t="s">
        <v>736</v>
      </c>
    </row>
    <row r="165" spans="4:18">
      <c r="D165" s="3" t="s">
        <v>183</v>
      </c>
      <c r="E165" s="2" t="s">
        <v>187</v>
      </c>
      <c r="F165" t="s">
        <v>733</v>
      </c>
      <c r="G165" t="s">
        <v>733</v>
      </c>
      <c r="H165" t="s">
        <v>733</v>
      </c>
      <c r="I165" t="s">
        <v>733</v>
      </c>
      <c r="J165" t="s">
        <v>701</v>
      </c>
      <c r="K165" t="s">
        <v>701</v>
      </c>
      <c r="L165" t="s">
        <v>701</v>
      </c>
      <c r="M165" t="s">
        <v>701</v>
      </c>
      <c r="N165" t="s">
        <v>732</v>
      </c>
      <c r="O165" t="s">
        <v>732</v>
      </c>
      <c r="P165" t="s">
        <v>702</v>
      </c>
      <c r="Q165" t="s">
        <v>702</v>
      </c>
      <c r="R165" t="s">
        <v>733</v>
      </c>
    </row>
    <row r="166" spans="4:18">
      <c r="D166" s="3" t="s">
        <v>183</v>
      </c>
      <c r="E166" s="2" t="s">
        <v>188</v>
      </c>
      <c r="F166" t="s">
        <v>733</v>
      </c>
      <c r="G166" t="s">
        <v>733</v>
      </c>
      <c r="H166" t="s">
        <v>701</v>
      </c>
      <c r="I166" t="s">
        <v>701</v>
      </c>
      <c r="J166" t="s">
        <v>733</v>
      </c>
      <c r="K166" t="s">
        <v>733</v>
      </c>
      <c r="L166" t="s">
        <v>732</v>
      </c>
      <c r="M166" t="s">
        <v>732</v>
      </c>
      <c r="N166" t="s">
        <v>702</v>
      </c>
      <c r="O166" t="s">
        <v>702</v>
      </c>
      <c r="P166" t="s">
        <v>702</v>
      </c>
      <c r="Q166" t="s">
        <v>702</v>
      </c>
      <c r="R166" t="s">
        <v>732</v>
      </c>
    </row>
    <row r="167" spans="4:18">
      <c r="D167" s="3" t="s">
        <v>183</v>
      </c>
      <c r="E167" s="2" t="s">
        <v>189</v>
      </c>
      <c r="F167" t="s">
        <v>733</v>
      </c>
      <c r="G167" t="s">
        <v>733</v>
      </c>
      <c r="H167" t="s">
        <v>733</v>
      </c>
      <c r="I167" t="s">
        <v>733</v>
      </c>
      <c r="J167" t="s">
        <v>733</v>
      </c>
      <c r="K167" t="s">
        <v>733</v>
      </c>
      <c r="L167" t="s">
        <v>733</v>
      </c>
      <c r="M167" t="s">
        <v>733</v>
      </c>
      <c r="N167" t="s">
        <v>733</v>
      </c>
      <c r="O167" t="s">
        <v>733</v>
      </c>
      <c r="P167" t="s">
        <v>732</v>
      </c>
      <c r="Q167" t="s">
        <v>732</v>
      </c>
      <c r="R167" t="s">
        <v>733</v>
      </c>
    </row>
    <row r="168" spans="4:18">
      <c r="D168" s="3" t="s">
        <v>183</v>
      </c>
      <c r="E168" s="2" t="s">
        <v>190</v>
      </c>
      <c r="F168" t="s">
        <v>733</v>
      </c>
      <c r="G168" t="s">
        <v>733</v>
      </c>
      <c r="H168" t="s">
        <v>733</v>
      </c>
      <c r="I168" t="s">
        <v>733</v>
      </c>
      <c r="J168" t="s">
        <v>702</v>
      </c>
      <c r="K168" t="s">
        <v>732</v>
      </c>
      <c r="L168" t="s">
        <v>732</v>
      </c>
      <c r="M168" t="s">
        <v>702</v>
      </c>
      <c r="N168" t="s">
        <v>702</v>
      </c>
      <c r="O168" t="s">
        <v>733</v>
      </c>
      <c r="P168" t="s">
        <v>733</v>
      </c>
      <c r="Q168" t="s">
        <v>733</v>
      </c>
      <c r="R168" t="s">
        <v>733</v>
      </c>
    </row>
    <row r="169" spans="4:18">
      <c r="D169" s="2" t="s">
        <v>191</v>
      </c>
      <c r="E169" s="2" t="s">
        <v>192</v>
      </c>
      <c r="F169" t="s">
        <v>736</v>
      </c>
      <c r="G169" t="s">
        <v>736</v>
      </c>
      <c r="H169" t="s">
        <v>736</v>
      </c>
      <c r="I169" t="s">
        <v>736</v>
      </c>
      <c r="J169" t="s">
        <v>736</v>
      </c>
      <c r="K169" t="s">
        <v>736</v>
      </c>
      <c r="L169" t="s">
        <v>736</v>
      </c>
      <c r="M169" t="s">
        <v>736</v>
      </c>
      <c r="N169" t="s">
        <v>736</v>
      </c>
      <c r="O169" t="s">
        <v>736</v>
      </c>
      <c r="P169" t="s">
        <v>736</v>
      </c>
      <c r="Q169" t="s">
        <v>736</v>
      </c>
      <c r="R169" t="s">
        <v>736</v>
      </c>
    </row>
    <row r="170" spans="4:18">
      <c r="D170" s="2" t="s">
        <v>191</v>
      </c>
      <c r="E170" s="2" t="s">
        <v>193</v>
      </c>
      <c r="F170" t="s">
        <v>702</v>
      </c>
      <c r="G170" t="s">
        <v>702</v>
      </c>
      <c r="H170" t="s">
        <v>702</v>
      </c>
      <c r="I170" t="s">
        <v>702</v>
      </c>
      <c r="J170" t="s">
        <v>702</v>
      </c>
      <c r="K170" t="s">
        <v>702</v>
      </c>
      <c r="L170" t="s">
        <v>702</v>
      </c>
      <c r="M170" t="s">
        <v>702</v>
      </c>
      <c r="N170" t="s">
        <v>702</v>
      </c>
      <c r="O170" t="s">
        <v>702</v>
      </c>
      <c r="P170" t="s">
        <v>702</v>
      </c>
      <c r="Q170" t="s">
        <v>702</v>
      </c>
      <c r="R170" t="s">
        <v>702</v>
      </c>
    </row>
    <row r="171" spans="4:18">
      <c r="D171" s="2" t="s">
        <v>191</v>
      </c>
      <c r="E171" s="2" t="s">
        <v>194</v>
      </c>
      <c r="F171" t="s">
        <v>736</v>
      </c>
      <c r="G171" t="s">
        <v>736</v>
      </c>
      <c r="H171" t="s">
        <v>736</v>
      </c>
      <c r="I171" t="s">
        <v>736</v>
      </c>
      <c r="J171" t="s">
        <v>736</v>
      </c>
      <c r="K171" t="s">
        <v>702</v>
      </c>
      <c r="L171" t="s">
        <v>702</v>
      </c>
      <c r="M171" t="s">
        <v>702</v>
      </c>
      <c r="N171" t="s">
        <v>736</v>
      </c>
      <c r="O171" t="s">
        <v>736</v>
      </c>
      <c r="P171" t="s">
        <v>736</v>
      </c>
      <c r="Q171" t="s">
        <v>736</v>
      </c>
      <c r="R171" t="s">
        <v>736</v>
      </c>
    </row>
    <row r="172" spans="4:18">
      <c r="D172" s="2" t="s">
        <v>191</v>
      </c>
      <c r="E172" s="2" t="s">
        <v>195</v>
      </c>
      <c r="F172" t="s">
        <v>702</v>
      </c>
      <c r="G172" t="s">
        <v>702</v>
      </c>
      <c r="H172" t="s">
        <v>702</v>
      </c>
      <c r="I172" t="s">
        <v>702</v>
      </c>
      <c r="J172" t="s">
        <v>733</v>
      </c>
      <c r="K172" t="s">
        <v>733</v>
      </c>
      <c r="L172" t="s">
        <v>733</v>
      </c>
      <c r="M172" t="s">
        <v>733</v>
      </c>
      <c r="N172" t="s">
        <v>733</v>
      </c>
      <c r="O172" t="s">
        <v>733</v>
      </c>
      <c r="P172" t="s">
        <v>733</v>
      </c>
      <c r="Q172" t="s">
        <v>733</v>
      </c>
      <c r="R172" t="s">
        <v>733</v>
      </c>
    </row>
    <row r="173" spans="4:18">
      <c r="D173" s="2" t="s">
        <v>191</v>
      </c>
      <c r="E173" s="2" t="s">
        <v>196</v>
      </c>
      <c r="F173" t="s">
        <v>702</v>
      </c>
      <c r="G173" t="s">
        <v>702</v>
      </c>
      <c r="H173" t="s">
        <v>702</v>
      </c>
      <c r="I173" t="s">
        <v>702</v>
      </c>
      <c r="J173" t="s">
        <v>702</v>
      </c>
      <c r="K173" t="s">
        <v>702</v>
      </c>
      <c r="L173" t="s">
        <v>702</v>
      </c>
      <c r="M173" t="s">
        <v>702</v>
      </c>
      <c r="N173" t="s">
        <v>734</v>
      </c>
      <c r="O173" t="s">
        <v>734</v>
      </c>
      <c r="P173" t="s">
        <v>734</v>
      </c>
      <c r="Q173" t="s">
        <v>734</v>
      </c>
      <c r="R173" t="s">
        <v>702</v>
      </c>
    </row>
    <row r="174" spans="4:18">
      <c r="D174" s="2" t="s">
        <v>191</v>
      </c>
      <c r="E174" s="2" t="s">
        <v>197</v>
      </c>
      <c r="F174" t="s">
        <v>733</v>
      </c>
      <c r="G174" t="s">
        <v>733</v>
      </c>
      <c r="H174" t="s">
        <v>733</v>
      </c>
      <c r="I174" t="s">
        <v>733</v>
      </c>
      <c r="J174" t="s">
        <v>733</v>
      </c>
      <c r="K174" t="s">
        <v>702</v>
      </c>
      <c r="L174" t="s">
        <v>702</v>
      </c>
      <c r="M174" t="s">
        <v>702</v>
      </c>
      <c r="N174" t="s">
        <v>702</v>
      </c>
      <c r="O174" t="s">
        <v>733</v>
      </c>
      <c r="P174" t="s">
        <v>733</v>
      </c>
      <c r="Q174" t="s">
        <v>733</v>
      </c>
      <c r="R174" t="s">
        <v>733</v>
      </c>
    </row>
    <row r="175" spans="4:18">
      <c r="D175" s="1" t="s">
        <v>198</v>
      </c>
      <c r="E175" s="4" t="s">
        <v>199</v>
      </c>
      <c r="F175" t="s">
        <v>733</v>
      </c>
      <c r="G175" t="s">
        <v>733</v>
      </c>
      <c r="H175" t="s">
        <v>733</v>
      </c>
      <c r="I175" t="s">
        <v>733</v>
      </c>
      <c r="J175" t="s">
        <v>733</v>
      </c>
      <c r="K175" t="s">
        <v>733</v>
      </c>
      <c r="L175" t="s">
        <v>733</v>
      </c>
      <c r="M175" t="s">
        <v>733</v>
      </c>
      <c r="N175" t="s">
        <v>733</v>
      </c>
      <c r="O175" t="s">
        <v>733</v>
      </c>
      <c r="P175" t="s">
        <v>733</v>
      </c>
      <c r="Q175" t="s">
        <v>733</v>
      </c>
      <c r="R175" t="s">
        <v>733</v>
      </c>
    </row>
    <row r="176" spans="4:18" ht="22.8">
      <c r="D176" s="1" t="s">
        <v>198</v>
      </c>
      <c r="E176" s="2" t="s">
        <v>200</v>
      </c>
      <c r="F176" t="s">
        <v>734</v>
      </c>
      <c r="G176" t="s">
        <v>734</v>
      </c>
      <c r="H176" t="s">
        <v>734</v>
      </c>
      <c r="I176" t="s">
        <v>734</v>
      </c>
      <c r="J176" t="s">
        <v>734</v>
      </c>
      <c r="K176" t="s">
        <v>734</v>
      </c>
      <c r="L176" t="s">
        <v>734</v>
      </c>
      <c r="M176" t="s">
        <v>734</v>
      </c>
      <c r="N176" t="s">
        <v>734</v>
      </c>
      <c r="O176" t="s">
        <v>734</v>
      </c>
      <c r="P176" t="s">
        <v>734</v>
      </c>
      <c r="Q176" t="s">
        <v>734</v>
      </c>
      <c r="R176" t="s">
        <v>734</v>
      </c>
    </row>
    <row r="177" spans="4:18">
      <c r="D177" s="1" t="s">
        <v>198</v>
      </c>
      <c r="E177" s="2" t="s">
        <v>201</v>
      </c>
      <c r="F177" t="s">
        <v>734</v>
      </c>
      <c r="G177" t="s">
        <v>734</v>
      </c>
      <c r="H177" t="s">
        <v>734</v>
      </c>
      <c r="I177" t="s">
        <v>734</v>
      </c>
      <c r="J177" t="s">
        <v>734</v>
      </c>
      <c r="K177" t="s">
        <v>734</v>
      </c>
      <c r="L177" t="s">
        <v>734</v>
      </c>
      <c r="M177" t="s">
        <v>734</v>
      </c>
      <c r="N177" t="s">
        <v>734</v>
      </c>
      <c r="O177" t="s">
        <v>734</v>
      </c>
      <c r="P177" t="s">
        <v>734</v>
      </c>
      <c r="Q177" t="s">
        <v>734</v>
      </c>
      <c r="R177" t="s">
        <v>734</v>
      </c>
    </row>
    <row r="178" spans="4:18">
      <c r="D178" s="2" t="s">
        <v>202</v>
      </c>
      <c r="E178" s="2" t="s">
        <v>203</v>
      </c>
      <c r="F178" t="s">
        <v>733</v>
      </c>
      <c r="G178" t="s">
        <v>733</v>
      </c>
      <c r="H178" t="s">
        <v>733</v>
      </c>
      <c r="I178" t="s">
        <v>702</v>
      </c>
      <c r="J178" t="s">
        <v>702</v>
      </c>
      <c r="K178" t="s">
        <v>702</v>
      </c>
      <c r="L178" t="s">
        <v>702</v>
      </c>
      <c r="M178" t="s">
        <v>702</v>
      </c>
      <c r="N178" t="s">
        <v>702</v>
      </c>
      <c r="O178" t="s">
        <v>733</v>
      </c>
      <c r="P178" t="s">
        <v>733</v>
      </c>
      <c r="Q178" t="s">
        <v>733</v>
      </c>
      <c r="R178" t="s">
        <v>733</v>
      </c>
    </row>
    <row r="179" spans="4:18">
      <c r="D179" s="2" t="s">
        <v>202</v>
      </c>
      <c r="E179" s="2" t="s">
        <v>204</v>
      </c>
      <c r="F179" t="s">
        <v>733</v>
      </c>
      <c r="G179" t="s">
        <v>733</v>
      </c>
      <c r="H179" t="s">
        <v>733</v>
      </c>
      <c r="I179" t="s">
        <v>702</v>
      </c>
      <c r="J179" t="s">
        <v>702</v>
      </c>
      <c r="K179" t="s">
        <v>702</v>
      </c>
      <c r="L179" t="s">
        <v>702</v>
      </c>
      <c r="M179" t="s">
        <v>702</v>
      </c>
      <c r="N179" t="s">
        <v>702</v>
      </c>
      <c r="O179" t="s">
        <v>701</v>
      </c>
      <c r="P179" t="s">
        <v>733</v>
      </c>
      <c r="Q179" t="s">
        <v>733</v>
      </c>
      <c r="R179" t="s">
        <v>702</v>
      </c>
    </row>
    <row r="180" spans="4:18">
      <c r="D180" s="2" t="s">
        <v>202</v>
      </c>
      <c r="E180" s="2" t="s">
        <v>205</v>
      </c>
      <c r="F180" t="s">
        <v>733</v>
      </c>
      <c r="G180" t="s">
        <v>733</v>
      </c>
      <c r="H180" t="s">
        <v>733</v>
      </c>
      <c r="I180" t="s">
        <v>733</v>
      </c>
      <c r="J180" t="s">
        <v>733</v>
      </c>
      <c r="K180" t="s">
        <v>733</v>
      </c>
      <c r="L180" t="s">
        <v>733</v>
      </c>
      <c r="M180" t="s">
        <v>733</v>
      </c>
      <c r="N180" t="s">
        <v>733</v>
      </c>
      <c r="O180" t="s">
        <v>733</v>
      </c>
      <c r="P180" t="s">
        <v>733</v>
      </c>
      <c r="Q180" t="s">
        <v>733</v>
      </c>
      <c r="R180" t="s">
        <v>733</v>
      </c>
    </row>
    <row r="181" spans="4:18">
      <c r="D181" s="2" t="s">
        <v>206</v>
      </c>
      <c r="E181" s="2" t="s">
        <v>207</v>
      </c>
      <c r="F181" t="s">
        <v>701</v>
      </c>
      <c r="G181" t="s">
        <v>732</v>
      </c>
      <c r="H181" t="s">
        <v>732</v>
      </c>
      <c r="I181" t="s">
        <v>736</v>
      </c>
      <c r="J181" t="s">
        <v>702</v>
      </c>
      <c r="K181" t="s">
        <v>702</v>
      </c>
      <c r="L181" t="s">
        <v>732</v>
      </c>
      <c r="M181" t="s">
        <v>702</v>
      </c>
      <c r="N181" t="s">
        <v>702</v>
      </c>
      <c r="O181" t="s">
        <v>702</v>
      </c>
      <c r="P181" t="s">
        <v>732</v>
      </c>
      <c r="Q181" t="s">
        <v>732</v>
      </c>
      <c r="R181" t="s">
        <v>732</v>
      </c>
    </row>
    <row r="182" spans="4:18">
      <c r="D182" s="2" t="s">
        <v>206</v>
      </c>
      <c r="E182" s="2" t="s">
        <v>208</v>
      </c>
      <c r="F182" t="s">
        <v>701</v>
      </c>
      <c r="G182" t="s">
        <v>701</v>
      </c>
      <c r="H182" t="s">
        <v>701</v>
      </c>
      <c r="I182" t="s">
        <v>736</v>
      </c>
      <c r="J182" t="s">
        <v>702</v>
      </c>
      <c r="K182" t="s">
        <v>735</v>
      </c>
      <c r="L182" t="s">
        <v>735</v>
      </c>
      <c r="M182" t="s">
        <v>735</v>
      </c>
      <c r="N182" t="s">
        <v>732</v>
      </c>
      <c r="O182" t="s">
        <v>701</v>
      </c>
      <c r="P182" t="s">
        <v>701</v>
      </c>
      <c r="Q182" t="s">
        <v>701</v>
      </c>
      <c r="R182" t="s">
        <v>701</v>
      </c>
    </row>
    <row r="183" spans="4:18">
      <c r="D183" s="2" t="s">
        <v>206</v>
      </c>
      <c r="E183" s="2" t="s">
        <v>209</v>
      </c>
      <c r="F183" t="s">
        <v>734</v>
      </c>
      <c r="G183" t="s">
        <v>734</v>
      </c>
      <c r="H183" t="s">
        <v>734</v>
      </c>
      <c r="I183" t="s">
        <v>736</v>
      </c>
      <c r="J183" t="s">
        <v>736</v>
      </c>
      <c r="K183" t="s">
        <v>736</v>
      </c>
      <c r="L183" t="s">
        <v>736</v>
      </c>
      <c r="M183" t="s">
        <v>736</v>
      </c>
      <c r="N183" t="s">
        <v>736</v>
      </c>
      <c r="O183" t="s">
        <v>736</v>
      </c>
      <c r="P183" t="s">
        <v>734</v>
      </c>
      <c r="Q183" t="s">
        <v>736</v>
      </c>
      <c r="R183" t="s">
        <v>736</v>
      </c>
    </row>
    <row r="184" spans="4:18">
      <c r="D184" s="2" t="s">
        <v>206</v>
      </c>
      <c r="E184" s="2" t="s">
        <v>210</v>
      </c>
      <c r="F184" t="s">
        <v>734</v>
      </c>
      <c r="G184" t="s">
        <v>734</v>
      </c>
      <c r="H184" t="s">
        <v>734</v>
      </c>
      <c r="I184" t="s">
        <v>734</v>
      </c>
      <c r="J184" t="s">
        <v>734</v>
      </c>
      <c r="K184" t="s">
        <v>702</v>
      </c>
      <c r="L184" t="s">
        <v>702</v>
      </c>
      <c r="M184" t="s">
        <v>732</v>
      </c>
      <c r="N184" t="s">
        <v>736</v>
      </c>
      <c r="O184" t="s">
        <v>736</v>
      </c>
      <c r="P184" t="s">
        <v>734</v>
      </c>
      <c r="Q184" t="s">
        <v>734</v>
      </c>
      <c r="R184" t="s">
        <v>734</v>
      </c>
    </row>
    <row r="185" spans="4:18">
      <c r="D185" s="2" t="s">
        <v>206</v>
      </c>
      <c r="E185" s="2" t="s">
        <v>211</v>
      </c>
      <c r="F185" t="s">
        <v>702</v>
      </c>
      <c r="G185" t="s">
        <v>702</v>
      </c>
      <c r="H185" t="s">
        <v>702</v>
      </c>
      <c r="I185" t="s">
        <v>702</v>
      </c>
      <c r="J185" t="s">
        <v>702</v>
      </c>
      <c r="K185" t="s">
        <v>732</v>
      </c>
      <c r="L185" t="s">
        <v>732</v>
      </c>
      <c r="M185" t="s">
        <v>732</v>
      </c>
      <c r="N185" t="s">
        <v>702</v>
      </c>
      <c r="O185" t="s">
        <v>732</v>
      </c>
      <c r="P185" t="s">
        <v>702</v>
      </c>
      <c r="Q185" t="s">
        <v>702</v>
      </c>
      <c r="R185" t="s">
        <v>702</v>
      </c>
    </row>
    <row r="186" spans="4:18">
      <c r="D186" s="2" t="s">
        <v>212</v>
      </c>
      <c r="E186" s="2" t="s">
        <v>81</v>
      </c>
      <c r="F186" t="s">
        <v>733</v>
      </c>
      <c r="G186" t="s">
        <v>733</v>
      </c>
      <c r="H186" t="s">
        <v>733</v>
      </c>
      <c r="I186" t="s">
        <v>733</v>
      </c>
      <c r="J186" t="s">
        <v>702</v>
      </c>
      <c r="K186" t="s">
        <v>702</v>
      </c>
      <c r="L186" t="s">
        <v>702</v>
      </c>
      <c r="M186" t="s">
        <v>702</v>
      </c>
      <c r="N186" t="s">
        <v>702</v>
      </c>
      <c r="O186" t="s">
        <v>702</v>
      </c>
      <c r="P186" t="s">
        <v>702</v>
      </c>
      <c r="Q186" t="s">
        <v>733</v>
      </c>
      <c r="R186" t="s">
        <v>702</v>
      </c>
    </row>
    <row r="187" spans="4:18">
      <c r="D187" s="2" t="s">
        <v>212</v>
      </c>
      <c r="E187" s="4" t="s">
        <v>213</v>
      </c>
      <c r="F187" t="s">
        <v>733</v>
      </c>
      <c r="G187" t="s">
        <v>733</v>
      </c>
      <c r="H187" t="s">
        <v>733</v>
      </c>
      <c r="I187" t="s">
        <v>733</v>
      </c>
      <c r="J187" t="s">
        <v>733</v>
      </c>
      <c r="K187" t="s">
        <v>736</v>
      </c>
      <c r="L187" t="s">
        <v>736</v>
      </c>
      <c r="M187" t="s">
        <v>736</v>
      </c>
      <c r="N187" t="s">
        <v>702</v>
      </c>
      <c r="O187" t="s">
        <v>702</v>
      </c>
      <c r="P187" t="s">
        <v>733</v>
      </c>
      <c r="Q187" t="s">
        <v>733</v>
      </c>
      <c r="R187" t="s">
        <v>733</v>
      </c>
    </row>
    <row r="188" spans="4:18">
      <c r="D188" s="2" t="s">
        <v>212</v>
      </c>
      <c r="E188" s="2" t="s">
        <v>214</v>
      </c>
      <c r="F188" t="s">
        <v>734</v>
      </c>
      <c r="G188" t="s">
        <v>736</v>
      </c>
      <c r="H188" t="s">
        <v>736</v>
      </c>
      <c r="I188" t="s">
        <v>736</v>
      </c>
      <c r="J188" t="s">
        <v>736</v>
      </c>
      <c r="K188" t="s">
        <v>736</v>
      </c>
      <c r="L188" t="s">
        <v>736</v>
      </c>
      <c r="M188" t="s">
        <v>736</v>
      </c>
      <c r="N188" t="s">
        <v>736</v>
      </c>
      <c r="O188" t="s">
        <v>736</v>
      </c>
      <c r="P188" t="s">
        <v>734</v>
      </c>
      <c r="Q188" t="s">
        <v>734</v>
      </c>
      <c r="R188" t="s">
        <v>736</v>
      </c>
    </row>
    <row r="189" spans="4:18">
      <c r="D189" s="2" t="s">
        <v>212</v>
      </c>
      <c r="E189" s="2" t="s">
        <v>215</v>
      </c>
      <c r="F189" t="s">
        <v>733</v>
      </c>
      <c r="G189" t="s">
        <v>733</v>
      </c>
      <c r="H189" t="s">
        <v>733</v>
      </c>
      <c r="I189" t="s">
        <v>733</v>
      </c>
      <c r="J189" t="s">
        <v>733</v>
      </c>
      <c r="K189" t="s">
        <v>733</v>
      </c>
      <c r="L189" t="s">
        <v>733</v>
      </c>
      <c r="M189" t="s">
        <v>733</v>
      </c>
      <c r="N189" t="s">
        <v>733</v>
      </c>
      <c r="O189" t="s">
        <v>736</v>
      </c>
      <c r="P189" t="s">
        <v>736</v>
      </c>
      <c r="Q189" t="s">
        <v>736</v>
      </c>
      <c r="R189" t="s">
        <v>733</v>
      </c>
    </row>
    <row r="190" spans="4:18">
      <c r="D190" s="2" t="s">
        <v>212</v>
      </c>
      <c r="E190" s="2" t="s">
        <v>216</v>
      </c>
      <c r="F190" t="s">
        <v>734</v>
      </c>
      <c r="G190" t="s">
        <v>734</v>
      </c>
      <c r="H190" t="s">
        <v>733</v>
      </c>
      <c r="I190" t="s">
        <v>734</v>
      </c>
      <c r="J190" t="s">
        <v>736</v>
      </c>
      <c r="K190" t="s">
        <v>736</v>
      </c>
      <c r="L190" t="s">
        <v>736</v>
      </c>
      <c r="M190" t="s">
        <v>736</v>
      </c>
      <c r="N190" t="s">
        <v>736</v>
      </c>
      <c r="O190" t="s">
        <v>734</v>
      </c>
      <c r="P190" t="s">
        <v>734</v>
      </c>
      <c r="Q190" t="s">
        <v>734</v>
      </c>
      <c r="R190" t="s">
        <v>734</v>
      </c>
    </row>
    <row r="191" spans="4:18">
      <c r="D191" s="2" t="s">
        <v>212</v>
      </c>
      <c r="E191" s="2" t="s">
        <v>217</v>
      </c>
      <c r="F191" t="s">
        <v>733</v>
      </c>
      <c r="G191" t="s">
        <v>733</v>
      </c>
      <c r="H191" t="s">
        <v>733</v>
      </c>
      <c r="I191" t="s">
        <v>733</v>
      </c>
      <c r="J191" t="s">
        <v>736</v>
      </c>
      <c r="K191" t="s">
        <v>736</v>
      </c>
      <c r="L191" t="s">
        <v>736</v>
      </c>
      <c r="M191" t="s">
        <v>736</v>
      </c>
      <c r="N191" t="s">
        <v>736</v>
      </c>
      <c r="O191" t="s">
        <v>734</v>
      </c>
      <c r="P191" t="s">
        <v>734</v>
      </c>
      <c r="Q191" t="s">
        <v>733</v>
      </c>
      <c r="R191" t="s">
        <v>733</v>
      </c>
    </row>
    <row r="192" spans="4:18">
      <c r="D192" s="2" t="s">
        <v>212</v>
      </c>
      <c r="E192" s="2" t="s">
        <v>218</v>
      </c>
      <c r="F192" t="s">
        <v>734</v>
      </c>
      <c r="G192" t="s">
        <v>736</v>
      </c>
      <c r="H192" t="s">
        <v>736</v>
      </c>
      <c r="I192" t="s">
        <v>736</v>
      </c>
      <c r="J192" t="s">
        <v>736</v>
      </c>
      <c r="K192" t="s">
        <v>736</v>
      </c>
      <c r="L192" t="s">
        <v>736</v>
      </c>
      <c r="M192" t="s">
        <v>736</v>
      </c>
      <c r="N192" t="s">
        <v>736</v>
      </c>
      <c r="O192" t="s">
        <v>734</v>
      </c>
      <c r="P192" t="s">
        <v>734</v>
      </c>
      <c r="Q192" t="s">
        <v>734</v>
      </c>
      <c r="R192" t="s">
        <v>736</v>
      </c>
    </row>
    <row r="193" spans="4:18">
      <c r="D193" s="2" t="s">
        <v>212</v>
      </c>
      <c r="E193" s="2" t="s">
        <v>219</v>
      </c>
      <c r="F193" t="s">
        <v>734</v>
      </c>
      <c r="G193" t="s">
        <v>736</v>
      </c>
      <c r="H193" t="s">
        <v>736</v>
      </c>
      <c r="I193" t="s">
        <v>736</v>
      </c>
      <c r="J193" t="s">
        <v>736</v>
      </c>
      <c r="K193" t="s">
        <v>736</v>
      </c>
      <c r="L193" t="s">
        <v>736</v>
      </c>
      <c r="M193" t="s">
        <v>736</v>
      </c>
      <c r="N193" t="s">
        <v>736</v>
      </c>
      <c r="O193" t="s">
        <v>734</v>
      </c>
      <c r="P193" t="s">
        <v>734</v>
      </c>
      <c r="Q193" t="s">
        <v>734</v>
      </c>
      <c r="R193" t="s">
        <v>736</v>
      </c>
    </row>
    <row r="194" spans="4:18">
      <c r="D194" s="2" t="s">
        <v>212</v>
      </c>
      <c r="E194" s="2" t="s">
        <v>165</v>
      </c>
      <c r="F194" t="s">
        <v>733</v>
      </c>
      <c r="G194" t="s">
        <v>733</v>
      </c>
      <c r="H194" t="s">
        <v>733</v>
      </c>
      <c r="I194" t="s">
        <v>733</v>
      </c>
      <c r="J194" t="s">
        <v>733</v>
      </c>
      <c r="K194" t="s">
        <v>733</v>
      </c>
      <c r="L194" t="s">
        <v>733</v>
      </c>
      <c r="M194" t="s">
        <v>733</v>
      </c>
      <c r="N194" t="s">
        <v>733</v>
      </c>
      <c r="O194" t="s">
        <v>733</v>
      </c>
      <c r="P194" t="s">
        <v>733</v>
      </c>
      <c r="Q194" t="s">
        <v>733</v>
      </c>
      <c r="R194" t="s">
        <v>733</v>
      </c>
    </row>
    <row r="195" spans="4:18">
      <c r="D195" s="2" t="s">
        <v>212</v>
      </c>
      <c r="E195" s="2" t="s">
        <v>220</v>
      </c>
      <c r="F195" t="s">
        <v>733</v>
      </c>
      <c r="G195" t="s">
        <v>733</v>
      </c>
      <c r="H195" t="s">
        <v>733</v>
      </c>
      <c r="I195" t="s">
        <v>733</v>
      </c>
      <c r="J195" t="s">
        <v>733</v>
      </c>
      <c r="K195" t="s">
        <v>733</v>
      </c>
      <c r="L195" t="s">
        <v>733</v>
      </c>
      <c r="M195" t="s">
        <v>732</v>
      </c>
      <c r="N195" t="s">
        <v>732</v>
      </c>
      <c r="O195" t="s">
        <v>732</v>
      </c>
      <c r="P195" t="s">
        <v>733</v>
      </c>
      <c r="Q195" t="s">
        <v>732</v>
      </c>
      <c r="R195" t="s">
        <v>733</v>
      </c>
    </row>
    <row r="196" spans="4:18">
      <c r="D196" s="2" t="s">
        <v>212</v>
      </c>
      <c r="E196" s="2" t="s">
        <v>221</v>
      </c>
      <c r="F196" t="s">
        <v>736</v>
      </c>
      <c r="G196" t="s">
        <v>736</v>
      </c>
      <c r="H196" t="s">
        <v>736</v>
      </c>
      <c r="I196" t="s">
        <v>736</v>
      </c>
      <c r="J196" t="s">
        <v>734</v>
      </c>
      <c r="K196" t="s">
        <v>734</v>
      </c>
      <c r="L196" t="s">
        <v>733</v>
      </c>
      <c r="M196" t="s">
        <v>733</v>
      </c>
      <c r="N196" t="s">
        <v>733</v>
      </c>
      <c r="O196" t="s">
        <v>733</v>
      </c>
      <c r="P196" t="s">
        <v>733</v>
      </c>
      <c r="Q196" t="s">
        <v>733</v>
      </c>
      <c r="R196" t="s">
        <v>736</v>
      </c>
    </row>
    <row r="197" spans="4:18">
      <c r="D197" s="2" t="s">
        <v>212</v>
      </c>
      <c r="E197" s="2" t="s">
        <v>222</v>
      </c>
      <c r="F197" t="s">
        <v>733</v>
      </c>
      <c r="G197" t="s">
        <v>733</v>
      </c>
      <c r="H197" t="s">
        <v>733</v>
      </c>
      <c r="I197" t="s">
        <v>736</v>
      </c>
      <c r="J197" t="s">
        <v>736</v>
      </c>
      <c r="K197" t="s">
        <v>736</v>
      </c>
      <c r="L197" t="s">
        <v>736</v>
      </c>
      <c r="M197" t="s">
        <v>736</v>
      </c>
      <c r="N197" t="s">
        <v>736</v>
      </c>
      <c r="O197" t="s">
        <v>736</v>
      </c>
      <c r="P197" t="s">
        <v>734</v>
      </c>
      <c r="Q197" t="s">
        <v>734</v>
      </c>
      <c r="R197" t="s">
        <v>736</v>
      </c>
    </row>
    <row r="198" spans="4:18">
      <c r="D198" s="3" t="s">
        <v>223</v>
      </c>
      <c r="E198" s="3" t="s">
        <v>224</v>
      </c>
      <c r="F198" t="s">
        <v>733</v>
      </c>
      <c r="G198" t="s">
        <v>733</v>
      </c>
      <c r="H198" t="s">
        <v>733</v>
      </c>
      <c r="I198" t="s">
        <v>733</v>
      </c>
      <c r="J198" t="s">
        <v>733</v>
      </c>
      <c r="K198" t="s">
        <v>733</v>
      </c>
      <c r="L198" t="s">
        <v>733</v>
      </c>
      <c r="M198" t="s">
        <v>733</v>
      </c>
      <c r="N198" t="s">
        <v>733</v>
      </c>
      <c r="O198" t="s">
        <v>733</v>
      </c>
      <c r="P198" t="s">
        <v>733</v>
      </c>
      <c r="Q198" t="s">
        <v>733</v>
      </c>
      <c r="R198" t="s">
        <v>733</v>
      </c>
    </row>
    <row r="199" spans="4:18">
      <c r="D199" s="3" t="s">
        <v>223</v>
      </c>
      <c r="E199" s="3" t="s">
        <v>225</v>
      </c>
      <c r="F199" t="s">
        <v>736</v>
      </c>
      <c r="G199" t="s">
        <v>736</v>
      </c>
      <c r="H199" t="s">
        <v>702</v>
      </c>
      <c r="I199" t="s">
        <v>736</v>
      </c>
      <c r="J199" t="s">
        <v>736</v>
      </c>
      <c r="K199" t="s">
        <v>702</v>
      </c>
      <c r="L199" t="s">
        <v>736</v>
      </c>
      <c r="M199" t="s">
        <v>702</v>
      </c>
      <c r="N199" t="s">
        <v>534</v>
      </c>
      <c r="O199" t="s">
        <v>534</v>
      </c>
      <c r="P199" t="s">
        <v>736</v>
      </c>
      <c r="Q199" t="s">
        <v>736</v>
      </c>
      <c r="R199" t="s">
        <v>736</v>
      </c>
    </row>
    <row r="200" spans="4:18">
      <c r="D200" s="3" t="s">
        <v>223</v>
      </c>
      <c r="E200" s="2" t="s">
        <v>226</v>
      </c>
      <c r="F200" t="s">
        <v>701</v>
      </c>
      <c r="G200" t="s">
        <v>701</v>
      </c>
      <c r="H200" t="s">
        <v>702</v>
      </c>
      <c r="I200" t="s">
        <v>736</v>
      </c>
      <c r="J200" t="s">
        <v>736</v>
      </c>
      <c r="K200" t="s">
        <v>736</v>
      </c>
      <c r="L200" t="s">
        <v>736</v>
      </c>
      <c r="M200" t="s">
        <v>736</v>
      </c>
      <c r="N200" t="s">
        <v>534</v>
      </c>
      <c r="O200" t="s">
        <v>534</v>
      </c>
      <c r="P200" t="s">
        <v>701</v>
      </c>
      <c r="Q200" t="s">
        <v>701</v>
      </c>
      <c r="R200" t="s">
        <v>736</v>
      </c>
    </row>
    <row r="201" spans="4:18">
      <c r="D201" s="3" t="s">
        <v>223</v>
      </c>
      <c r="E201" s="2" t="s">
        <v>227</v>
      </c>
      <c r="F201" t="s">
        <v>736</v>
      </c>
      <c r="G201" t="s">
        <v>736</v>
      </c>
      <c r="H201" t="s">
        <v>734</v>
      </c>
      <c r="I201" t="s">
        <v>736</v>
      </c>
      <c r="J201" t="s">
        <v>736</v>
      </c>
      <c r="K201" t="s">
        <v>736</v>
      </c>
      <c r="L201" t="s">
        <v>736</v>
      </c>
      <c r="M201" t="s">
        <v>736</v>
      </c>
      <c r="N201" t="s">
        <v>534</v>
      </c>
      <c r="O201" t="s">
        <v>701</v>
      </c>
      <c r="P201" t="s">
        <v>701</v>
      </c>
      <c r="Q201" t="s">
        <v>736</v>
      </c>
      <c r="R201" t="s">
        <v>736</v>
      </c>
    </row>
    <row r="202" spans="4:18">
      <c r="D202" s="3" t="s">
        <v>223</v>
      </c>
      <c r="E202" s="2" t="s">
        <v>228</v>
      </c>
      <c r="F202" t="s">
        <v>701</v>
      </c>
      <c r="G202" t="s">
        <v>701</v>
      </c>
      <c r="H202" t="s">
        <v>701</v>
      </c>
      <c r="I202" t="s">
        <v>736</v>
      </c>
      <c r="J202" t="s">
        <v>702</v>
      </c>
      <c r="K202" t="s">
        <v>702</v>
      </c>
      <c r="L202" t="s">
        <v>702</v>
      </c>
      <c r="M202" t="s">
        <v>702</v>
      </c>
      <c r="N202" t="s">
        <v>534</v>
      </c>
      <c r="O202" t="s">
        <v>701</v>
      </c>
      <c r="P202" t="s">
        <v>701</v>
      </c>
      <c r="Q202" t="s">
        <v>734</v>
      </c>
      <c r="R202" t="s">
        <v>701</v>
      </c>
    </row>
    <row r="203" spans="4:18">
      <c r="D203" s="3" t="s">
        <v>223</v>
      </c>
      <c r="E203" s="2" t="s">
        <v>229</v>
      </c>
      <c r="F203" t="s">
        <v>736</v>
      </c>
      <c r="G203" t="s">
        <v>736</v>
      </c>
      <c r="H203" t="s">
        <v>736</v>
      </c>
      <c r="I203" t="s">
        <v>736</v>
      </c>
      <c r="J203" t="s">
        <v>736</v>
      </c>
      <c r="K203" t="s">
        <v>736</v>
      </c>
      <c r="L203" t="s">
        <v>736</v>
      </c>
      <c r="M203" t="s">
        <v>736</v>
      </c>
      <c r="N203" t="s">
        <v>534</v>
      </c>
      <c r="O203" t="s">
        <v>534</v>
      </c>
      <c r="P203" t="s">
        <v>736</v>
      </c>
      <c r="Q203" t="s">
        <v>736</v>
      </c>
      <c r="R203" t="s">
        <v>736</v>
      </c>
    </row>
    <row r="204" spans="4:18">
      <c r="D204" s="3" t="s">
        <v>223</v>
      </c>
      <c r="E204" s="2" t="s">
        <v>230</v>
      </c>
      <c r="F204" t="s">
        <v>736</v>
      </c>
      <c r="G204" t="s">
        <v>736</v>
      </c>
      <c r="H204" t="s">
        <v>736</v>
      </c>
      <c r="I204" t="s">
        <v>736</v>
      </c>
      <c r="J204" t="s">
        <v>736</v>
      </c>
      <c r="K204" t="s">
        <v>736</v>
      </c>
      <c r="L204" t="s">
        <v>736</v>
      </c>
      <c r="M204" t="s">
        <v>736</v>
      </c>
      <c r="N204" t="s">
        <v>736</v>
      </c>
      <c r="O204" t="s">
        <v>736</v>
      </c>
      <c r="P204" t="s">
        <v>736</v>
      </c>
      <c r="Q204" t="s">
        <v>736</v>
      </c>
      <c r="R204" t="s">
        <v>736</v>
      </c>
    </row>
    <row r="205" spans="4:18">
      <c r="D205" s="3" t="s">
        <v>223</v>
      </c>
      <c r="E205" s="2" t="s">
        <v>60</v>
      </c>
      <c r="F205" t="s">
        <v>733</v>
      </c>
      <c r="G205" t="s">
        <v>733</v>
      </c>
      <c r="H205" t="s">
        <v>733</v>
      </c>
      <c r="I205" t="s">
        <v>733</v>
      </c>
      <c r="J205" t="s">
        <v>733</v>
      </c>
      <c r="K205" t="s">
        <v>702</v>
      </c>
      <c r="L205" t="s">
        <v>702</v>
      </c>
      <c r="M205" t="s">
        <v>702</v>
      </c>
      <c r="N205" t="s">
        <v>733</v>
      </c>
      <c r="O205" t="s">
        <v>733</v>
      </c>
      <c r="P205" t="s">
        <v>733</v>
      </c>
      <c r="Q205" t="s">
        <v>733</v>
      </c>
      <c r="R205" t="s">
        <v>733</v>
      </c>
    </row>
    <row r="206" spans="4:18">
      <c r="D206" s="7" t="s">
        <v>231</v>
      </c>
      <c r="E206" s="4" t="s">
        <v>232</v>
      </c>
      <c r="F206" t="s">
        <v>733</v>
      </c>
      <c r="G206" t="s">
        <v>733</v>
      </c>
      <c r="H206" t="s">
        <v>733</v>
      </c>
      <c r="I206" t="s">
        <v>733</v>
      </c>
      <c r="J206" t="s">
        <v>733</v>
      </c>
      <c r="K206" t="s">
        <v>733</v>
      </c>
      <c r="L206" t="s">
        <v>733</v>
      </c>
      <c r="M206" t="s">
        <v>733</v>
      </c>
      <c r="N206" t="s">
        <v>733</v>
      </c>
      <c r="O206" t="s">
        <v>733</v>
      </c>
      <c r="P206" t="s">
        <v>733</v>
      </c>
      <c r="Q206" t="s">
        <v>733</v>
      </c>
      <c r="R206" t="s">
        <v>733</v>
      </c>
    </row>
    <row r="207" spans="4:18">
      <c r="D207" s="7" t="s">
        <v>231</v>
      </c>
      <c r="E207" s="2" t="s">
        <v>233</v>
      </c>
      <c r="F207" t="s">
        <v>701</v>
      </c>
      <c r="G207" t="s">
        <v>732</v>
      </c>
      <c r="H207" t="s">
        <v>701</v>
      </c>
      <c r="I207" t="s">
        <v>701</v>
      </c>
      <c r="J207" t="s">
        <v>732</v>
      </c>
      <c r="K207" t="s">
        <v>732</v>
      </c>
      <c r="L207" t="s">
        <v>732</v>
      </c>
      <c r="M207" t="s">
        <v>732</v>
      </c>
      <c r="N207" t="s">
        <v>732</v>
      </c>
      <c r="O207" t="s">
        <v>732</v>
      </c>
      <c r="P207" t="s">
        <v>732</v>
      </c>
      <c r="Q207" t="s">
        <v>702</v>
      </c>
      <c r="R207" t="s">
        <v>732</v>
      </c>
    </row>
    <row r="208" spans="4:18">
      <c r="D208" s="7" t="s">
        <v>231</v>
      </c>
      <c r="E208" s="2" t="s">
        <v>234</v>
      </c>
      <c r="F208" t="s">
        <v>701</v>
      </c>
      <c r="G208" t="s">
        <v>701</v>
      </c>
      <c r="H208" t="s">
        <v>701</v>
      </c>
      <c r="I208" t="s">
        <v>701</v>
      </c>
      <c r="J208" t="s">
        <v>701</v>
      </c>
      <c r="K208" t="s">
        <v>701</v>
      </c>
      <c r="L208" t="s">
        <v>702</v>
      </c>
      <c r="M208" t="s">
        <v>701</v>
      </c>
      <c r="N208" t="s">
        <v>701</v>
      </c>
      <c r="O208" t="s">
        <v>701</v>
      </c>
      <c r="P208" t="s">
        <v>701</v>
      </c>
      <c r="Q208" t="s">
        <v>701</v>
      </c>
      <c r="R208" t="s">
        <v>701</v>
      </c>
    </row>
    <row r="209" spans="4:18">
      <c r="D209" s="7" t="s">
        <v>231</v>
      </c>
      <c r="E209" s="2" t="s">
        <v>235</v>
      </c>
      <c r="F209" t="s">
        <v>733</v>
      </c>
      <c r="G209" t="s">
        <v>733</v>
      </c>
      <c r="H209" t="s">
        <v>733</v>
      </c>
      <c r="I209" t="s">
        <v>701</v>
      </c>
      <c r="J209" t="s">
        <v>701</v>
      </c>
      <c r="K209" t="s">
        <v>734</v>
      </c>
      <c r="L209" t="s">
        <v>734</v>
      </c>
      <c r="M209" t="s">
        <v>734</v>
      </c>
      <c r="N209" t="s">
        <v>734</v>
      </c>
      <c r="O209" t="s">
        <v>733</v>
      </c>
      <c r="P209" t="s">
        <v>733</v>
      </c>
      <c r="Q209" t="s">
        <v>733</v>
      </c>
      <c r="R209" t="s">
        <v>733</v>
      </c>
    </row>
    <row r="210" spans="4:18">
      <c r="D210" s="7" t="s">
        <v>231</v>
      </c>
      <c r="E210" s="2" t="s">
        <v>236</v>
      </c>
      <c r="F210" t="s">
        <v>736</v>
      </c>
      <c r="G210" t="s">
        <v>736</v>
      </c>
      <c r="H210" t="s">
        <v>736</v>
      </c>
      <c r="I210" t="s">
        <v>736</v>
      </c>
      <c r="J210" t="s">
        <v>701</v>
      </c>
      <c r="K210" t="s">
        <v>701</v>
      </c>
      <c r="L210" t="s">
        <v>701</v>
      </c>
      <c r="M210" t="s">
        <v>701</v>
      </c>
      <c r="N210" t="s">
        <v>701</v>
      </c>
      <c r="O210" t="s">
        <v>701</v>
      </c>
      <c r="P210" t="s">
        <v>701</v>
      </c>
      <c r="Q210" t="s">
        <v>701</v>
      </c>
      <c r="R210" t="s">
        <v>701</v>
      </c>
    </row>
    <row r="211" spans="4:18">
      <c r="D211" s="3" t="s">
        <v>237</v>
      </c>
      <c r="E211" s="4" t="s">
        <v>238</v>
      </c>
      <c r="F211" t="s">
        <v>736</v>
      </c>
      <c r="G211" t="s">
        <v>736</v>
      </c>
      <c r="H211" t="s">
        <v>734</v>
      </c>
      <c r="I211" t="s">
        <v>736</v>
      </c>
      <c r="J211" t="s">
        <v>702</v>
      </c>
      <c r="K211" t="s">
        <v>736</v>
      </c>
      <c r="L211" t="s">
        <v>736</v>
      </c>
      <c r="M211" t="s">
        <v>736</v>
      </c>
      <c r="N211" t="s">
        <v>702</v>
      </c>
      <c r="O211" t="s">
        <v>702</v>
      </c>
      <c r="P211" t="s">
        <v>736</v>
      </c>
      <c r="Q211" t="s">
        <v>736</v>
      </c>
      <c r="R211" t="s">
        <v>736</v>
      </c>
    </row>
    <row r="212" spans="4:18">
      <c r="D212" s="3" t="s">
        <v>237</v>
      </c>
      <c r="E212" s="2" t="s">
        <v>239</v>
      </c>
      <c r="F212" t="s">
        <v>736</v>
      </c>
      <c r="G212" t="s">
        <v>736</v>
      </c>
      <c r="H212" t="s">
        <v>736</v>
      </c>
      <c r="I212" t="s">
        <v>736</v>
      </c>
      <c r="J212" t="s">
        <v>736</v>
      </c>
      <c r="K212" t="s">
        <v>736</v>
      </c>
      <c r="L212" t="s">
        <v>736</v>
      </c>
      <c r="M212" t="s">
        <v>736</v>
      </c>
      <c r="N212" t="s">
        <v>736</v>
      </c>
      <c r="O212" t="s">
        <v>736</v>
      </c>
      <c r="P212" t="s">
        <v>736</v>
      </c>
      <c r="Q212" t="s">
        <v>736</v>
      </c>
      <c r="R212" t="s">
        <v>736</v>
      </c>
    </row>
    <row r="213" spans="4:18">
      <c r="D213" s="3" t="s">
        <v>237</v>
      </c>
      <c r="E213" s="2" t="s">
        <v>240</v>
      </c>
      <c r="F213" t="s">
        <v>736</v>
      </c>
      <c r="G213" t="s">
        <v>736</v>
      </c>
      <c r="H213" t="s">
        <v>736</v>
      </c>
      <c r="I213" t="s">
        <v>701</v>
      </c>
      <c r="J213" t="s">
        <v>701</v>
      </c>
      <c r="K213" t="s">
        <v>736</v>
      </c>
      <c r="L213" t="s">
        <v>736</v>
      </c>
      <c r="M213" t="s">
        <v>736</v>
      </c>
      <c r="N213" t="s">
        <v>736</v>
      </c>
      <c r="O213" t="s">
        <v>736</v>
      </c>
      <c r="P213" t="s">
        <v>736</v>
      </c>
      <c r="Q213" t="s">
        <v>736</v>
      </c>
      <c r="R213" t="s">
        <v>736</v>
      </c>
    </row>
    <row r="214" spans="4:18">
      <c r="D214" s="3" t="s">
        <v>237</v>
      </c>
      <c r="E214" s="2" t="s">
        <v>86</v>
      </c>
      <c r="F214" t="s">
        <v>534</v>
      </c>
      <c r="G214" t="s">
        <v>534</v>
      </c>
      <c r="H214" t="s">
        <v>733</v>
      </c>
      <c r="I214" t="s">
        <v>733</v>
      </c>
      <c r="J214" t="s">
        <v>733</v>
      </c>
      <c r="K214" t="s">
        <v>733</v>
      </c>
      <c r="L214" t="s">
        <v>702</v>
      </c>
      <c r="M214" t="s">
        <v>702</v>
      </c>
      <c r="N214" t="s">
        <v>735</v>
      </c>
      <c r="O214" t="s">
        <v>735</v>
      </c>
      <c r="P214" t="s">
        <v>534</v>
      </c>
      <c r="Q214" t="s">
        <v>534</v>
      </c>
      <c r="R214" t="s">
        <v>534</v>
      </c>
    </row>
    <row r="215" spans="4:18">
      <c r="D215" s="3" t="s">
        <v>237</v>
      </c>
      <c r="E215" s="2" t="s">
        <v>241</v>
      </c>
      <c r="F215" t="s">
        <v>734</v>
      </c>
      <c r="G215" t="s">
        <v>736</v>
      </c>
      <c r="H215" t="s">
        <v>733</v>
      </c>
      <c r="I215" t="s">
        <v>702</v>
      </c>
      <c r="J215" t="s">
        <v>736</v>
      </c>
      <c r="K215" t="s">
        <v>736</v>
      </c>
      <c r="L215" t="s">
        <v>736</v>
      </c>
      <c r="M215" t="s">
        <v>736</v>
      </c>
      <c r="N215" t="s">
        <v>702</v>
      </c>
      <c r="O215" t="s">
        <v>702</v>
      </c>
      <c r="P215" t="s">
        <v>736</v>
      </c>
      <c r="Q215" t="s">
        <v>702</v>
      </c>
      <c r="R215" t="s">
        <v>736</v>
      </c>
    </row>
    <row r="216" spans="4:18">
      <c r="D216" s="3" t="s">
        <v>237</v>
      </c>
      <c r="E216" s="2" t="s">
        <v>242</v>
      </c>
      <c r="F216" t="s">
        <v>736</v>
      </c>
      <c r="G216" t="s">
        <v>736</v>
      </c>
      <c r="H216" t="s">
        <v>736</v>
      </c>
      <c r="I216" t="s">
        <v>736</v>
      </c>
      <c r="J216" t="s">
        <v>734</v>
      </c>
      <c r="K216" t="s">
        <v>734</v>
      </c>
      <c r="L216" t="s">
        <v>736</v>
      </c>
      <c r="M216" t="s">
        <v>736</v>
      </c>
      <c r="N216" t="s">
        <v>736</v>
      </c>
      <c r="O216" t="s">
        <v>736</v>
      </c>
      <c r="P216" t="s">
        <v>736</v>
      </c>
      <c r="Q216" t="s">
        <v>736</v>
      </c>
      <c r="R216" t="s">
        <v>736</v>
      </c>
    </row>
    <row r="217" spans="4:18">
      <c r="D217" s="3" t="s">
        <v>237</v>
      </c>
      <c r="E217" s="2" t="s">
        <v>243</v>
      </c>
      <c r="F217" t="s">
        <v>736</v>
      </c>
      <c r="G217" t="s">
        <v>736</v>
      </c>
      <c r="H217" t="s">
        <v>534</v>
      </c>
      <c r="I217" t="s">
        <v>534</v>
      </c>
      <c r="J217" t="s">
        <v>534</v>
      </c>
      <c r="K217" t="s">
        <v>736</v>
      </c>
      <c r="L217" t="s">
        <v>736</v>
      </c>
      <c r="M217" t="s">
        <v>736</v>
      </c>
      <c r="N217" t="s">
        <v>736</v>
      </c>
      <c r="O217" t="s">
        <v>736</v>
      </c>
      <c r="P217" t="s">
        <v>736</v>
      </c>
      <c r="Q217" t="s">
        <v>736</v>
      </c>
      <c r="R217" t="s">
        <v>736</v>
      </c>
    </row>
    <row r="218" spans="4:18">
      <c r="D218" s="3" t="s">
        <v>237</v>
      </c>
      <c r="E218" s="2" t="s">
        <v>244</v>
      </c>
      <c r="F218" t="s">
        <v>736</v>
      </c>
      <c r="G218" t="s">
        <v>736</v>
      </c>
      <c r="H218" t="s">
        <v>736</v>
      </c>
      <c r="I218" t="s">
        <v>736</v>
      </c>
      <c r="J218" t="s">
        <v>736</v>
      </c>
      <c r="K218" t="s">
        <v>736</v>
      </c>
      <c r="L218" t="s">
        <v>734</v>
      </c>
      <c r="M218" t="s">
        <v>734</v>
      </c>
      <c r="N218" t="s">
        <v>734</v>
      </c>
      <c r="O218" t="s">
        <v>736</v>
      </c>
      <c r="P218" t="s">
        <v>736</v>
      </c>
      <c r="Q218" t="s">
        <v>736</v>
      </c>
      <c r="R218" t="s">
        <v>736</v>
      </c>
    </row>
    <row r="219" spans="4:18">
      <c r="D219" s="2" t="s">
        <v>245</v>
      </c>
      <c r="E219" s="2" t="s">
        <v>246</v>
      </c>
      <c r="F219" t="s">
        <v>701</v>
      </c>
      <c r="G219" t="s">
        <v>534</v>
      </c>
      <c r="H219" t="s">
        <v>732</v>
      </c>
      <c r="I219" t="s">
        <v>732</v>
      </c>
      <c r="J219" t="s">
        <v>732</v>
      </c>
      <c r="K219" t="s">
        <v>732</v>
      </c>
      <c r="L219" t="s">
        <v>732</v>
      </c>
      <c r="M219" t="s">
        <v>732</v>
      </c>
      <c r="N219" t="s">
        <v>732</v>
      </c>
      <c r="O219" t="s">
        <v>732</v>
      </c>
      <c r="P219" t="s">
        <v>701</v>
      </c>
      <c r="Q219" t="s">
        <v>701</v>
      </c>
      <c r="R219" t="s">
        <v>732</v>
      </c>
    </row>
    <row r="220" spans="4:18">
      <c r="D220" s="2" t="s">
        <v>245</v>
      </c>
      <c r="E220" s="2" t="s">
        <v>247</v>
      </c>
      <c r="F220" t="s">
        <v>702</v>
      </c>
      <c r="G220" t="s">
        <v>701</v>
      </c>
      <c r="H220" t="s">
        <v>702</v>
      </c>
      <c r="I220" t="s">
        <v>702</v>
      </c>
      <c r="J220" t="s">
        <v>702</v>
      </c>
      <c r="K220" t="s">
        <v>702</v>
      </c>
      <c r="L220" t="s">
        <v>702</v>
      </c>
      <c r="M220" t="s">
        <v>702</v>
      </c>
      <c r="N220" t="s">
        <v>702</v>
      </c>
      <c r="O220" t="s">
        <v>702</v>
      </c>
      <c r="P220" t="s">
        <v>702</v>
      </c>
      <c r="Q220" t="s">
        <v>702</v>
      </c>
      <c r="R220" t="s">
        <v>702</v>
      </c>
    </row>
    <row r="221" spans="4:18">
      <c r="D221" s="2" t="s">
        <v>245</v>
      </c>
      <c r="E221" s="2" t="s">
        <v>248</v>
      </c>
      <c r="F221" t="s">
        <v>701</v>
      </c>
      <c r="G221" t="s">
        <v>701</v>
      </c>
      <c r="H221" t="s">
        <v>702</v>
      </c>
      <c r="I221" t="s">
        <v>702</v>
      </c>
      <c r="J221" t="s">
        <v>702</v>
      </c>
      <c r="K221" t="s">
        <v>702</v>
      </c>
      <c r="L221" t="s">
        <v>702</v>
      </c>
      <c r="M221" t="s">
        <v>702</v>
      </c>
      <c r="N221" t="s">
        <v>702</v>
      </c>
      <c r="O221" t="s">
        <v>702</v>
      </c>
      <c r="P221" t="s">
        <v>702</v>
      </c>
      <c r="Q221" t="s">
        <v>701</v>
      </c>
      <c r="R221" t="s">
        <v>702</v>
      </c>
    </row>
    <row r="222" spans="4:18" ht="22.8">
      <c r="D222" s="2" t="s">
        <v>245</v>
      </c>
      <c r="E222" s="2" t="s">
        <v>249</v>
      </c>
      <c r="F222" t="s">
        <v>701</v>
      </c>
      <c r="G222" t="s">
        <v>701</v>
      </c>
      <c r="H222" t="s">
        <v>701</v>
      </c>
      <c r="I222" t="s">
        <v>701</v>
      </c>
      <c r="J222" t="s">
        <v>702</v>
      </c>
      <c r="K222" t="s">
        <v>702</v>
      </c>
      <c r="L222" t="s">
        <v>732</v>
      </c>
      <c r="M222" t="s">
        <v>732</v>
      </c>
      <c r="N222" t="s">
        <v>732</v>
      </c>
      <c r="O222" t="s">
        <v>732</v>
      </c>
      <c r="P222" t="s">
        <v>702</v>
      </c>
      <c r="Q222" t="s">
        <v>702</v>
      </c>
      <c r="R222" t="s">
        <v>702</v>
      </c>
    </row>
    <row r="223" spans="4:18">
      <c r="D223" s="2" t="s">
        <v>245</v>
      </c>
      <c r="E223" s="2" t="s">
        <v>250</v>
      </c>
      <c r="F223" t="s">
        <v>702</v>
      </c>
      <c r="G223" t="s">
        <v>702</v>
      </c>
      <c r="H223" t="s">
        <v>702</v>
      </c>
      <c r="I223" t="s">
        <v>702</v>
      </c>
      <c r="J223" t="s">
        <v>702</v>
      </c>
      <c r="K223" t="s">
        <v>702</v>
      </c>
      <c r="L223" t="s">
        <v>702</v>
      </c>
      <c r="M223" t="s">
        <v>702</v>
      </c>
      <c r="N223" t="s">
        <v>702</v>
      </c>
      <c r="O223" t="s">
        <v>702</v>
      </c>
      <c r="P223" t="s">
        <v>702</v>
      </c>
      <c r="Q223" t="s">
        <v>702</v>
      </c>
      <c r="R223" t="s">
        <v>702</v>
      </c>
    </row>
    <row r="224" spans="4:18">
      <c r="D224" s="2" t="s">
        <v>251</v>
      </c>
      <c r="E224" s="2" t="s">
        <v>252</v>
      </c>
      <c r="F224" t="s">
        <v>735</v>
      </c>
      <c r="G224" t="s">
        <v>735</v>
      </c>
      <c r="H224" t="s">
        <v>735</v>
      </c>
      <c r="I224" t="s">
        <v>735</v>
      </c>
      <c r="J224" t="s">
        <v>732</v>
      </c>
      <c r="K224" t="s">
        <v>732</v>
      </c>
      <c r="L224" t="s">
        <v>732</v>
      </c>
      <c r="M224" t="s">
        <v>732</v>
      </c>
      <c r="N224" t="s">
        <v>733</v>
      </c>
      <c r="O224" t="s">
        <v>733</v>
      </c>
      <c r="P224" t="s">
        <v>733</v>
      </c>
      <c r="Q224" t="s">
        <v>733</v>
      </c>
      <c r="R224" t="s">
        <v>732</v>
      </c>
    </row>
    <row r="225" spans="4:18">
      <c r="D225" s="2" t="s">
        <v>251</v>
      </c>
      <c r="E225" s="2" t="s">
        <v>253</v>
      </c>
      <c r="F225" t="s">
        <v>735</v>
      </c>
      <c r="G225" t="s">
        <v>735</v>
      </c>
      <c r="H225" t="s">
        <v>735</v>
      </c>
      <c r="I225" t="s">
        <v>735</v>
      </c>
      <c r="J225" t="s">
        <v>733</v>
      </c>
      <c r="K225" t="s">
        <v>733</v>
      </c>
      <c r="L225" t="s">
        <v>733</v>
      </c>
      <c r="M225" t="s">
        <v>733</v>
      </c>
      <c r="N225" t="s">
        <v>733</v>
      </c>
      <c r="O225" t="s">
        <v>733</v>
      </c>
      <c r="P225" t="s">
        <v>733</v>
      </c>
      <c r="Q225" t="s">
        <v>733</v>
      </c>
      <c r="R225" t="s">
        <v>733</v>
      </c>
    </row>
    <row r="226" spans="4:18">
      <c r="D226" s="2" t="s">
        <v>251</v>
      </c>
      <c r="E226" s="2" t="s">
        <v>254</v>
      </c>
      <c r="F226" t="s">
        <v>702</v>
      </c>
      <c r="G226" t="s">
        <v>702</v>
      </c>
      <c r="H226" t="s">
        <v>702</v>
      </c>
      <c r="I226" t="s">
        <v>702</v>
      </c>
      <c r="J226" t="s">
        <v>702</v>
      </c>
      <c r="K226" t="s">
        <v>702</v>
      </c>
      <c r="L226" t="s">
        <v>702</v>
      </c>
      <c r="M226" t="s">
        <v>702</v>
      </c>
      <c r="N226" t="s">
        <v>701</v>
      </c>
      <c r="O226" t="s">
        <v>701</v>
      </c>
      <c r="P226" t="s">
        <v>701</v>
      </c>
      <c r="Q226" t="s">
        <v>701</v>
      </c>
      <c r="R226" t="s">
        <v>702</v>
      </c>
    </row>
    <row r="227" spans="4:18">
      <c r="D227" s="2" t="s">
        <v>251</v>
      </c>
      <c r="E227" s="2" t="s">
        <v>255</v>
      </c>
      <c r="F227" t="s">
        <v>701</v>
      </c>
      <c r="G227" t="s">
        <v>701</v>
      </c>
      <c r="H227" t="s">
        <v>733</v>
      </c>
      <c r="I227" t="s">
        <v>733</v>
      </c>
      <c r="J227" t="s">
        <v>733</v>
      </c>
      <c r="K227" t="s">
        <v>733</v>
      </c>
      <c r="L227" t="s">
        <v>733</v>
      </c>
      <c r="M227" t="s">
        <v>733</v>
      </c>
      <c r="N227" t="s">
        <v>733</v>
      </c>
      <c r="O227" t="s">
        <v>701</v>
      </c>
      <c r="P227" t="s">
        <v>701</v>
      </c>
      <c r="Q227" t="s">
        <v>701</v>
      </c>
      <c r="R227" t="s">
        <v>733</v>
      </c>
    </row>
    <row r="228" spans="4:18">
      <c r="D228" s="2" t="s">
        <v>251</v>
      </c>
      <c r="E228" s="2" t="s">
        <v>256</v>
      </c>
      <c r="F228" t="s">
        <v>732</v>
      </c>
      <c r="G228" t="s">
        <v>732</v>
      </c>
      <c r="H228" t="s">
        <v>732</v>
      </c>
      <c r="I228" t="s">
        <v>732</v>
      </c>
      <c r="J228" t="s">
        <v>734</v>
      </c>
      <c r="K228" t="s">
        <v>734</v>
      </c>
      <c r="L228" t="s">
        <v>734</v>
      </c>
      <c r="M228" t="s">
        <v>734</v>
      </c>
      <c r="N228" t="s">
        <v>734</v>
      </c>
      <c r="O228" t="s">
        <v>734</v>
      </c>
      <c r="P228" t="s">
        <v>734</v>
      </c>
      <c r="Q228" t="s">
        <v>734</v>
      </c>
      <c r="R228" t="s">
        <v>734</v>
      </c>
    </row>
    <row r="229" spans="4:18">
      <c r="D229" s="2" t="s">
        <v>251</v>
      </c>
      <c r="E229" s="2" t="s">
        <v>141</v>
      </c>
      <c r="F229" t="s">
        <v>734</v>
      </c>
      <c r="G229" t="s">
        <v>734</v>
      </c>
      <c r="H229" t="s">
        <v>734</v>
      </c>
      <c r="I229" t="s">
        <v>734</v>
      </c>
      <c r="J229" t="s">
        <v>733</v>
      </c>
      <c r="K229" t="s">
        <v>733</v>
      </c>
      <c r="L229" t="s">
        <v>733</v>
      </c>
      <c r="M229" t="s">
        <v>733</v>
      </c>
      <c r="N229" t="s">
        <v>733</v>
      </c>
      <c r="O229" t="s">
        <v>733</v>
      </c>
      <c r="P229" t="s">
        <v>733</v>
      </c>
      <c r="Q229" t="s">
        <v>733</v>
      </c>
      <c r="R229" t="s">
        <v>733</v>
      </c>
    </row>
    <row r="230" spans="4:18">
      <c r="D230" s="2" t="s">
        <v>251</v>
      </c>
      <c r="E230" s="2" t="s">
        <v>257</v>
      </c>
      <c r="F230" t="s">
        <v>702</v>
      </c>
      <c r="G230" t="s">
        <v>702</v>
      </c>
      <c r="H230" t="s">
        <v>702</v>
      </c>
      <c r="I230" t="s">
        <v>702</v>
      </c>
      <c r="J230" t="s">
        <v>702</v>
      </c>
      <c r="K230" t="s">
        <v>701</v>
      </c>
      <c r="L230" t="s">
        <v>701</v>
      </c>
      <c r="M230" t="s">
        <v>701</v>
      </c>
      <c r="N230" t="s">
        <v>701</v>
      </c>
      <c r="O230" t="s">
        <v>702</v>
      </c>
      <c r="P230" t="s">
        <v>702</v>
      </c>
      <c r="Q230" t="s">
        <v>702</v>
      </c>
      <c r="R230" t="s">
        <v>702</v>
      </c>
    </row>
    <row r="231" spans="4:18">
      <c r="D231" s="2" t="s">
        <v>258</v>
      </c>
      <c r="E231" s="2" t="s">
        <v>259</v>
      </c>
      <c r="F231" t="s">
        <v>734</v>
      </c>
      <c r="G231" t="s">
        <v>734</v>
      </c>
      <c r="H231" t="s">
        <v>733</v>
      </c>
      <c r="I231" t="s">
        <v>736</v>
      </c>
      <c r="J231" t="s">
        <v>736</v>
      </c>
      <c r="K231" t="s">
        <v>736</v>
      </c>
      <c r="L231" t="s">
        <v>736</v>
      </c>
      <c r="M231" t="s">
        <v>736</v>
      </c>
      <c r="N231" t="s">
        <v>736</v>
      </c>
      <c r="O231" t="s">
        <v>736</v>
      </c>
      <c r="P231" t="s">
        <v>736</v>
      </c>
      <c r="Q231" t="s">
        <v>734</v>
      </c>
      <c r="R231" t="s">
        <v>736</v>
      </c>
    </row>
    <row r="232" spans="4:18">
      <c r="D232" s="2" t="s">
        <v>258</v>
      </c>
      <c r="E232" s="2" t="s">
        <v>260</v>
      </c>
      <c r="F232" t="s">
        <v>736</v>
      </c>
      <c r="G232" t="s">
        <v>736</v>
      </c>
      <c r="H232" t="s">
        <v>733</v>
      </c>
      <c r="I232" t="s">
        <v>736</v>
      </c>
      <c r="J232" t="s">
        <v>736</v>
      </c>
      <c r="K232" t="s">
        <v>736</v>
      </c>
      <c r="L232" t="s">
        <v>736</v>
      </c>
      <c r="M232" t="s">
        <v>736</v>
      </c>
      <c r="N232" t="s">
        <v>736</v>
      </c>
      <c r="O232" t="s">
        <v>736</v>
      </c>
      <c r="P232" t="s">
        <v>736</v>
      </c>
      <c r="Q232" t="s">
        <v>736</v>
      </c>
      <c r="R232" t="s">
        <v>736</v>
      </c>
    </row>
    <row r="233" spans="4:18">
      <c r="D233" s="2" t="s">
        <v>258</v>
      </c>
      <c r="E233" s="2" t="s">
        <v>261</v>
      </c>
      <c r="F233" t="s">
        <v>702</v>
      </c>
      <c r="G233" t="s">
        <v>702</v>
      </c>
      <c r="H233" t="s">
        <v>702</v>
      </c>
      <c r="I233" t="s">
        <v>702</v>
      </c>
      <c r="J233" t="s">
        <v>702</v>
      </c>
      <c r="K233" t="s">
        <v>702</v>
      </c>
      <c r="L233" t="s">
        <v>702</v>
      </c>
      <c r="M233" t="s">
        <v>702</v>
      </c>
      <c r="N233" t="s">
        <v>702</v>
      </c>
      <c r="O233" t="s">
        <v>702</v>
      </c>
      <c r="P233" t="s">
        <v>702</v>
      </c>
      <c r="Q233" t="s">
        <v>702</v>
      </c>
      <c r="R233" t="s">
        <v>702</v>
      </c>
    </row>
    <row r="234" spans="4:18">
      <c r="D234" s="2" t="s">
        <v>258</v>
      </c>
      <c r="E234" s="2" t="s">
        <v>262</v>
      </c>
      <c r="F234" t="s">
        <v>733</v>
      </c>
      <c r="G234" t="s">
        <v>733</v>
      </c>
      <c r="H234" t="s">
        <v>733</v>
      </c>
      <c r="I234" t="s">
        <v>733</v>
      </c>
      <c r="J234" t="s">
        <v>733</v>
      </c>
      <c r="K234" t="s">
        <v>733</v>
      </c>
      <c r="L234" t="s">
        <v>733</v>
      </c>
      <c r="M234" t="s">
        <v>733</v>
      </c>
      <c r="N234" t="s">
        <v>733</v>
      </c>
      <c r="O234" t="s">
        <v>733</v>
      </c>
      <c r="P234" t="s">
        <v>733</v>
      </c>
      <c r="Q234" t="s">
        <v>733</v>
      </c>
      <c r="R234" t="s">
        <v>733</v>
      </c>
    </row>
    <row r="235" spans="4:18">
      <c r="D235" s="2" t="s">
        <v>258</v>
      </c>
      <c r="E235" s="2" t="s">
        <v>263</v>
      </c>
      <c r="F235" t="s">
        <v>733</v>
      </c>
      <c r="G235" t="s">
        <v>733</v>
      </c>
      <c r="H235" t="s">
        <v>733</v>
      </c>
      <c r="I235" t="s">
        <v>733</v>
      </c>
      <c r="J235" t="s">
        <v>733</v>
      </c>
      <c r="K235" t="s">
        <v>733</v>
      </c>
      <c r="L235" t="s">
        <v>736</v>
      </c>
      <c r="M235" t="s">
        <v>736</v>
      </c>
      <c r="N235" t="s">
        <v>736</v>
      </c>
      <c r="O235" t="s">
        <v>736</v>
      </c>
      <c r="P235" t="s">
        <v>736</v>
      </c>
      <c r="Q235" t="s">
        <v>736</v>
      </c>
      <c r="R235" t="s">
        <v>736</v>
      </c>
    </row>
    <row r="236" spans="4:18">
      <c r="D236" s="2" t="s">
        <v>258</v>
      </c>
      <c r="E236" s="2" t="s">
        <v>264</v>
      </c>
      <c r="F236" t="s">
        <v>734</v>
      </c>
      <c r="G236" t="s">
        <v>734</v>
      </c>
      <c r="H236" t="s">
        <v>734</v>
      </c>
      <c r="I236" t="s">
        <v>734</v>
      </c>
      <c r="J236" t="s">
        <v>734</v>
      </c>
      <c r="K236" t="s">
        <v>734</v>
      </c>
      <c r="L236" t="s">
        <v>736</v>
      </c>
      <c r="M236" t="s">
        <v>736</v>
      </c>
      <c r="N236" t="s">
        <v>736</v>
      </c>
      <c r="O236" t="s">
        <v>736</v>
      </c>
      <c r="P236" t="s">
        <v>736</v>
      </c>
      <c r="Q236" t="s">
        <v>736</v>
      </c>
      <c r="R236" t="s">
        <v>734</v>
      </c>
    </row>
    <row r="237" spans="4:18">
      <c r="D237" s="2" t="s">
        <v>258</v>
      </c>
      <c r="E237" s="2" t="s">
        <v>265</v>
      </c>
      <c r="F237" t="s">
        <v>734</v>
      </c>
      <c r="G237" t="s">
        <v>734</v>
      </c>
      <c r="H237" t="s">
        <v>734</v>
      </c>
      <c r="I237" t="s">
        <v>734</v>
      </c>
      <c r="J237" t="s">
        <v>733</v>
      </c>
      <c r="K237" t="s">
        <v>733</v>
      </c>
      <c r="L237" t="s">
        <v>734</v>
      </c>
      <c r="M237" t="s">
        <v>734</v>
      </c>
      <c r="N237" t="s">
        <v>734</v>
      </c>
      <c r="O237" t="s">
        <v>734</v>
      </c>
      <c r="P237" t="s">
        <v>734</v>
      </c>
      <c r="Q237" t="s">
        <v>734</v>
      </c>
      <c r="R237" t="s">
        <v>734</v>
      </c>
    </row>
    <row r="238" spans="4:18">
      <c r="D238" s="2" t="s">
        <v>266</v>
      </c>
      <c r="E238" s="2" t="s">
        <v>267</v>
      </c>
      <c r="F238" t="s">
        <v>733</v>
      </c>
      <c r="G238" t="s">
        <v>733</v>
      </c>
      <c r="H238" t="s">
        <v>733</v>
      </c>
      <c r="I238" t="s">
        <v>733</v>
      </c>
      <c r="J238" t="s">
        <v>733</v>
      </c>
      <c r="K238" t="s">
        <v>733</v>
      </c>
      <c r="L238" t="s">
        <v>733</v>
      </c>
      <c r="M238" t="s">
        <v>733</v>
      </c>
      <c r="N238" t="s">
        <v>733</v>
      </c>
      <c r="O238" t="s">
        <v>733</v>
      </c>
      <c r="P238" t="s">
        <v>733</v>
      </c>
      <c r="Q238" t="s">
        <v>733</v>
      </c>
      <c r="R238" t="s">
        <v>733</v>
      </c>
    </row>
    <row r="239" spans="4:18">
      <c r="D239" s="3" t="s">
        <v>268</v>
      </c>
      <c r="E239" s="3" t="s">
        <v>269</v>
      </c>
      <c r="F239" t="s">
        <v>734</v>
      </c>
      <c r="G239" t="s">
        <v>734</v>
      </c>
      <c r="H239" t="s">
        <v>702</v>
      </c>
      <c r="I239" t="s">
        <v>702</v>
      </c>
      <c r="J239" t="s">
        <v>702</v>
      </c>
      <c r="K239" t="s">
        <v>702</v>
      </c>
      <c r="L239" t="s">
        <v>702</v>
      </c>
      <c r="M239" t="s">
        <v>702</v>
      </c>
      <c r="N239" t="s">
        <v>701</v>
      </c>
      <c r="O239" t="s">
        <v>701</v>
      </c>
      <c r="P239" t="s">
        <v>701</v>
      </c>
      <c r="Q239" t="s">
        <v>734</v>
      </c>
      <c r="R239" t="s">
        <v>702</v>
      </c>
    </row>
    <row r="240" spans="4:18">
      <c r="D240" s="3" t="s">
        <v>268</v>
      </c>
      <c r="E240" s="3" t="s">
        <v>270</v>
      </c>
      <c r="F240" t="s">
        <v>734</v>
      </c>
      <c r="G240" t="s">
        <v>701</v>
      </c>
      <c r="H240" t="s">
        <v>734</v>
      </c>
      <c r="I240" t="s">
        <v>734</v>
      </c>
      <c r="J240" t="s">
        <v>702</v>
      </c>
      <c r="K240" t="s">
        <v>702</v>
      </c>
      <c r="L240" t="s">
        <v>736</v>
      </c>
      <c r="M240" t="s">
        <v>702</v>
      </c>
      <c r="N240" t="s">
        <v>701</v>
      </c>
      <c r="O240" t="s">
        <v>701</v>
      </c>
      <c r="P240" t="s">
        <v>701</v>
      </c>
      <c r="Q240" t="s">
        <v>734</v>
      </c>
      <c r="R240" t="s">
        <v>734</v>
      </c>
    </row>
    <row r="241" spans="4:18">
      <c r="D241" s="3" t="s">
        <v>268</v>
      </c>
      <c r="E241" s="4" t="s">
        <v>172</v>
      </c>
      <c r="F241" t="s">
        <v>733</v>
      </c>
      <c r="G241" t="s">
        <v>733</v>
      </c>
      <c r="H241" t="s">
        <v>733</v>
      </c>
      <c r="I241" t="s">
        <v>702</v>
      </c>
      <c r="J241" t="s">
        <v>702</v>
      </c>
      <c r="K241" t="s">
        <v>702</v>
      </c>
      <c r="L241" t="s">
        <v>702</v>
      </c>
      <c r="M241" t="s">
        <v>702</v>
      </c>
      <c r="N241" t="s">
        <v>702</v>
      </c>
      <c r="O241" t="s">
        <v>702</v>
      </c>
      <c r="P241" t="s">
        <v>702</v>
      </c>
      <c r="Q241" t="s">
        <v>733</v>
      </c>
      <c r="R241" t="s">
        <v>702</v>
      </c>
    </row>
    <row r="242" spans="4:18">
      <c r="D242" s="3" t="s">
        <v>268</v>
      </c>
      <c r="E242" s="2" t="s">
        <v>271</v>
      </c>
      <c r="F242" t="s">
        <v>736</v>
      </c>
      <c r="G242" t="s">
        <v>736</v>
      </c>
      <c r="H242" t="s">
        <v>736</v>
      </c>
      <c r="I242" t="s">
        <v>736</v>
      </c>
      <c r="J242" t="s">
        <v>534</v>
      </c>
      <c r="K242" t="s">
        <v>534</v>
      </c>
      <c r="L242" t="s">
        <v>534</v>
      </c>
      <c r="M242" t="s">
        <v>534</v>
      </c>
      <c r="N242" t="s">
        <v>534</v>
      </c>
      <c r="O242" t="s">
        <v>534</v>
      </c>
      <c r="P242" t="s">
        <v>534</v>
      </c>
      <c r="Q242" t="s">
        <v>534</v>
      </c>
      <c r="R242" t="s">
        <v>736</v>
      </c>
    </row>
    <row r="243" spans="4:18">
      <c r="D243" s="3" t="s">
        <v>268</v>
      </c>
      <c r="E243" s="2" t="s">
        <v>272</v>
      </c>
      <c r="F243" t="s">
        <v>701</v>
      </c>
      <c r="G243" t="s">
        <v>701</v>
      </c>
      <c r="H243" t="s">
        <v>701</v>
      </c>
      <c r="I243" t="s">
        <v>702</v>
      </c>
      <c r="J243" t="s">
        <v>702</v>
      </c>
      <c r="K243" t="s">
        <v>702</v>
      </c>
      <c r="L243" t="s">
        <v>736</v>
      </c>
      <c r="M243" t="s">
        <v>702</v>
      </c>
      <c r="N243" t="s">
        <v>534</v>
      </c>
      <c r="O243" t="s">
        <v>701</v>
      </c>
      <c r="P243" t="s">
        <v>701</v>
      </c>
      <c r="Q243" t="s">
        <v>701</v>
      </c>
      <c r="R243" t="s">
        <v>701</v>
      </c>
    </row>
    <row r="244" spans="4:18">
      <c r="D244" s="3" t="s">
        <v>273</v>
      </c>
      <c r="E244" s="3" t="s">
        <v>274</v>
      </c>
      <c r="F244" t="s">
        <v>702</v>
      </c>
      <c r="G244" t="s">
        <v>702</v>
      </c>
      <c r="H244" t="s">
        <v>702</v>
      </c>
      <c r="I244" t="s">
        <v>702</v>
      </c>
      <c r="J244" t="s">
        <v>702</v>
      </c>
      <c r="K244" t="s">
        <v>702</v>
      </c>
      <c r="L244" t="s">
        <v>702</v>
      </c>
      <c r="M244" t="s">
        <v>702</v>
      </c>
      <c r="N244" t="s">
        <v>701</v>
      </c>
      <c r="O244" t="s">
        <v>701</v>
      </c>
      <c r="P244" t="s">
        <v>701</v>
      </c>
      <c r="Q244" t="s">
        <v>701</v>
      </c>
      <c r="R244" t="s">
        <v>701</v>
      </c>
    </row>
    <row r="245" spans="4:18">
      <c r="D245" s="3" t="s">
        <v>273</v>
      </c>
      <c r="E245" s="3" t="s">
        <v>275</v>
      </c>
      <c r="F245" t="s">
        <v>733</v>
      </c>
      <c r="G245" t="s">
        <v>733</v>
      </c>
      <c r="H245" t="s">
        <v>733</v>
      </c>
      <c r="I245" t="s">
        <v>733</v>
      </c>
      <c r="J245" t="s">
        <v>733</v>
      </c>
      <c r="K245" t="s">
        <v>733</v>
      </c>
      <c r="L245" t="s">
        <v>701</v>
      </c>
      <c r="M245" t="s">
        <v>701</v>
      </c>
      <c r="N245" t="s">
        <v>732</v>
      </c>
      <c r="O245" t="s">
        <v>732</v>
      </c>
      <c r="P245" t="s">
        <v>732</v>
      </c>
      <c r="Q245" t="s">
        <v>732</v>
      </c>
      <c r="R245" t="s">
        <v>732</v>
      </c>
    </row>
    <row r="246" spans="4:18">
      <c r="D246" s="3" t="s">
        <v>273</v>
      </c>
      <c r="E246" s="3" t="s">
        <v>276</v>
      </c>
      <c r="F246" t="s">
        <v>733</v>
      </c>
      <c r="G246" t="s">
        <v>733</v>
      </c>
      <c r="H246" t="s">
        <v>733</v>
      </c>
      <c r="I246" t="s">
        <v>733</v>
      </c>
      <c r="J246" t="s">
        <v>733</v>
      </c>
      <c r="K246" t="s">
        <v>733</v>
      </c>
      <c r="L246" t="s">
        <v>733</v>
      </c>
      <c r="M246" t="s">
        <v>733</v>
      </c>
      <c r="N246" t="s">
        <v>733</v>
      </c>
      <c r="O246" t="s">
        <v>733</v>
      </c>
      <c r="P246" t="s">
        <v>733</v>
      </c>
      <c r="Q246" t="s">
        <v>733</v>
      </c>
      <c r="R246" t="s">
        <v>733</v>
      </c>
    </row>
    <row r="247" spans="4:18">
      <c r="D247" s="3" t="s">
        <v>273</v>
      </c>
      <c r="E247" s="3" t="s">
        <v>277</v>
      </c>
      <c r="F247" t="s">
        <v>733</v>
      </c>
      <c r="G247" t="s">
        <v>733</v>
      </c>
      <c r="H247" t="s">
        <v>733</v>
      </c>
      <c r="I247" t="s">
        <v>733</v>
      </c>
      <c r="J247" t="s">
        <v>733</v>
      </c>
      <c r="K247" t="s">
        <v>733</v>
      </c>
      <c r="L247" t="s">
        <v>701</v>
      </c>
      <c r="M247" t="s">
        <v>701</v>
      </c>
      <c r="N247" t="s">
        <v>702</v>
      </c>
      <c r="O247" t="s">
        <v>702</v>
      </c>
      <c r="P247" t="s">
        <v>702</v>
      </c>
      <c r="Q247" t="s">
        <v>702</v>
      </c>
      <c r="R247" t="s">
        <v>702</v>
      </c>
    </row>
    <row r="248" spans="4:18">
      <c r="D248" s="3" t="s">
        <v>278</v>
      </c>
      <c r="E248" s="1" t="s">
        <v>279</v>
      </c>
      <c r="F248" t="s">
        <v>736</v>
      </c>
      <c r="G248" t="s">
        <v>734</v>
      </c>
      <c r="H248" t="s">
        <v>736</v>
      </c>
      <c r="I248" t="s">
        <v>736</v>
      </c>
      <c r="J248" t="s">
        <v>736</v>
      </c>
      <c r="K248" t="s">
        <v>736</v>
      </c>
      <c r="L248" t="s">
        <v>736</v>
      </c>
      <c r="M248" t="s">
        <v>534</v>
      </c>
      <c r="N248" t="s">
        <v>534</v>
      </c>
      <c r="O248" t="s">
        <v>534</v>
      </c>
      <c r="P248" t="s">
        <v>736</v>
      </c>
      <c r="Q248" t="s">
        <v>736</v>
      </c>
      <c r="R248" t="s">
        <v>736</v>
      </c>
    </row>
    <row r="249" spans="4:18">
      <c r="D249" s="3" t="s">
        <v>278</v>
      </c>
      <c r="E249" s="3" t="s">
        <v>280</v>
      </c>
      <c r="F249" t="s">
        <v>701</v>
      </c>
      <c r="G249" t="s">
        <v>701</v>
      </c>
      <c r="H249" t="s">
        <v>702</v>
      </c>
      <c r="I249" t="s">
        <v>702</v>
      </c>
      <c r="J249" t="s">
        <v>702</v>
      </c>
      <c r="K249" t="s">
        <v>702</v>
      </c>
      <c r="L249" t="s">
        <v>702</v>
      </c>
      <c r="M249" t="s">
        <v>702</v>
      </c>
      <c r="N249" t="s">
        <v>702</v>
      </c>
      <c r="O249" t="s">
        <v>701</v>
      </c>
      <c r="P249" t="s">
        <v>702</v>
      </c>
      <c r="Q249" t="s">
        <v>702</v>
      </c>
      <c r="R249" t="s">
        <v>702</v>
      </c>
    </row>
    <row r="250" spans="4:18">
      <c r="D250" s="3" t="s">
        <v>278</v>
      </c>
      <c r="E250" s="3" t="s">
        <v>281</v>
      </c>
      <c r="F250" t="s">
        <v>736</v>
      </c>
      <c r="G250" t="s">
        <v>736</v>
      </c>
      <c r="H250" t="s">
        <v>736</v>
      </c>
      <c r="I250" t="s">
        <v>736</v>
      </c>
      <c r="J250" t="s">
        <v>736</v>
      </c>
      <c r="K250" t="s">
        <v>736</v>
      </c>
      <c r="L250" t="s">
        <v>736</v>
      </c>
      <c r="M250" t="s">
        <v>736</v>
      </c>
      <c r="N250" t="s">
        <v>534</v>
      </c>
      <c r="O250" t="s">
        <v>534</v>
      </c>
      <c r="P250" t="s">
        <v>534</v>
      </c>
      <c r="Q250" t="s">
        <v>736</v>
      </c>
      <c r="R250" t="s">
        <v>736</v>
      </c>
    </row>
    <row r="251" spans="4:18">
      <c r="D251" s="3" t="s">
        <v>278</v>
      </c>
      <c r="E251" s="3" t="s">
        <v>282</v>
      </c>
      <c r="F251" t="s">
        <v>701</v>
      </c>
      <c r="G251" t="s">
        <v>701</v>
      </c>
      <c r="H251" t="s">
        <v>702</v>
      </c>
      <c r="I251" t="s">
        <v>736</v>
      </c>
      <c r="J251" t="s">
        <v>702</v>
      </c>
      <c r="K251" t="s">
        <v>736</v>
      </c>
      <c r="L251" t="s">
        <v>736</v>
      </c>
      <c r="M251" t="s">
        <v>736</v>
      </c>
      <c r="N251" t="s">
        <v>701</v>
      </c>
      <c r="O251" t="s">
        <v>732</v>
      </c>
      <c r="P251" t="s">
        <v>702</v>
      </c>
      <c r="Q251" t="s">
        <v>702</v>
      </c>
      <c r="R251" t="s">
        <v>702</v>
      </c>
    </row>
    <row r="252" spans="4:18">
      <c r="D252" s="3" t="s">
        <v>278</v>
      </c>
      <c r="E252" s="3" t="s">
        <v>283</v>
      </c>
      <c r="F252" t="s">
        <v>702</v>
      </c>
      <c r="G252" t="s">
        <v>702</v>
      </c>
      <c r="H252" t="s">
        <v>702</v>
      </c>
      <c r="I252" t="s">
        <v>702</v>
      </c>
      <c r="J252" t="s">
        <v>702</v>
      </c>
      <c r="K252" t="s">
        <v>702</v>
      </c>
      <c r="L252" t="s">
        <v>702</v>
      </c>
      <c r="M252" t="s">
        <v>702</v>
      </c>
      <c r="N252" t="s">
        <v>702</v>
      </c>
      <c r="O252" t="s">
        <v>702</v>
      </c>
      <c r="P252" t="s">
        <v>702</v>
      </c>
      <c r="Q252" t="s">
        <v>702</v>
      </c>
      <c r="R252" t="s">
        <v>702</v>
      </c>
    </row>
    <row r="253" spans="4:18">
      <c r="D253" s="3" t="s">
        <v>278</v>
      </c>
      <c r="E253" s="3" t="s">
        <v>284</v>
      </c>
      <c r="F253" t="s">
        <v>736</v>
      </c>
      <c r="G253" t="s">
        <v>534</v>
      </c>
      <c r="H253" t="s">
        <v>736</v>
      </c>
      <c r="I253" t="s">
        <v>736</v>
      </c>
      <c r="J253" t="s">
        <v>736</v>
      </c>
      <c r="K253" t="s">
        <v>736</v>
      </c>
      <c r="L253" t="s">
        <v>736</v>
      </c>
      <c r="M253" t="s">
        <v>735</v>
      </c>
      <c r="N253" t="s">
        <v>735</v>
      </c>
      <c r="O253" t="s">
        <v>735</v>
      </c>
      <c r="P253" t="s">
        <v>735</v>
      </c>
      <c r="Q253" t="s">
        <v>736</v>
      </c>
      <c r="R253" t="s">
        <v>736</v>
      </c>
    </row>
    <row r="254" spans="4:18">
      <c r="D254" s="3" t="s">
        <v>285</v>
      </c>
      <c r="E254" s="3" t="s">
        <v>286</v>
      </c>
      <c r="F254" t="s">
        <v>701</v>
      </c>
      <c r="G254" t="s">
        <v>701</v>
      </c>
      <c r="H254" t="s">
        <v>702</v>
      </c>
      <c r="I254" t="s">
        <v>702</v>
      </c>
      <c r="J254" t="s">
        <v>732</v>
      </c>
      <c r="K254" t="s">
        <v>702</v>
      </c>
      <c r="L254" t="s">
        <v>702</v>
      </c>
      <c r="M254" t="s">
        <v>702</v>
      </c>
      <c r="N254" t="s">
        <v>702</v>
      </c>
      <c r="O254" t="s">
        <v>702</v>
      </c>
      <c r="P254" t="s">
        <v>702</v>
      </c>
      <c r="Q254" t="s">
        <v>702</v>
      </c>
      <c r="R254" t="s">
        <v>702</v>
      </c>
    </row>
    <row r="255" spans="4:18">
      <c r="D255" s="3" t="s">
        <v>285</v>
      </c>
      <c r="E255" s="3" t="s">
        <v>287</v>
      </c>
      <c r="F255" t="s">
        <v>736</v>
      </c>
      <c r="G255" t="s">
        <v>736</v>
      </c>
      <c r="H255" t="s">
        <v>736</v>
      </c>
      <c r="I255" t="s">
        <v>701</v>
      </c>
      <c r="J255" t="s">
        <v>701</v>
      </c>
      <c r="K255" t="s">
        <v>701</v>
      </c>
      <c r="L255" t="s">
        <v>736</v>
      </c>
      <c r="M255" t="s">
        <v>736</v>
      </c>
      <c r="N255" t="s">
        <v>736</v>
      </c>
      <c r="O255" t="s">
        <v>702</v>
      </c>
      <c r="P255" t="s">
        <v>702</v>
      </c>
      <c r="Q255" t="s">
        <v>702</v>
      </c>
      <c r="R255" t="s">
        <v>736</v>
      </c>
    </row>
    <row r="256" spans="4:18">
      <c r="D256" s="3" t="s">
        <v>285</v>
      </c>
      <c r="E256" s="4" t="s">
        <v>288</v>
      </c>
      <c r="F256" t="s">
        <v>702</v>
      </c>
      <c r="G256" t="s">
        <v>702</v>
      </c>
      <c r="H256" t="s">
        <v>702</v>
      </c>
      <c r="I256" t="s">
        <v>702</v>
      </c>
      <c r="J256" t="s">
        <v>702</v>
      </c>
      <c r="K256" t="s">
        <v>702</v>
      </c>
      <c r="L256" t="s">
        <v>702</v>
      </c>
      <c r="M256" t="s">
        <v>702</v>
      </c>
      <c r="N256" t="s">
        <v>702</v>
      </c>
      <c r="O256" t="s">
        <v>702</v>
      </c>
      <c r="P256" t="s">
        <v>702</v>
      </c>
      <c r="Q256" t="s">
        <v>702</v>
      </c>
      <c r="R256" t="s">
        <v>702</v>
      </c>
    </row>
    <row r="257" spans="4:18">
      <c r="D257" s="3" t="s">
        <v>285</v>
      </c>
      <c r="E257" s="2" t="s">
        <v>289</v>
      </c>
      <c r="F257" t="s">
        <v>733</v>
      </c>
      <c r="G257" t="s">
        <v>733</v>
      </c>
      <c r="H257" t="s">
        <v>733</v>
      </c>
      <c r="I257" t="s">
        <v>733</v>
      </c>
      <c r="J257" t="s">
        <v>733</v>
      </c>
      <c r="K257" t="s">
        <v>733</v>
      </c>
      <c r="L257" t="s">
        <v>733</v>
      </c>
      <c r="M257" t="s">
        <v>733</v>
      </c>
      <c r="N257" t="s">
        <v>732</v>
      </c>
      <c r="O257" t="s">
        <v>732</v>
      </c>
      <c r="P257" t="s">
        <v>732</v>
      </c>
      <c r="Q257" t="s">
        <v>732</v>
      </c>
      <c r="R257" t="s">
        <v>733</v>
      </c>
    </row>
    <row r="258" spans="4:18" ht="22.8">
      <c r="D258" s="3" t="s">
        <v>285</v>
      </c>
      <c r="E258" s="2" t="s">
        <v>290</v>
      </c>
      <c r="F258" t="s">
        <v>701</v>
      </c>
      <c r="G258" t="s">
        <v>732</v>
      </c>
      <c r="H258" t="s">
        <v>732</v>
      </c>
      <c r="I258" t="s">
        <v>732</v>
      </c>
      <c r="J258" t="s">
        <v>732</v>
      </c>
      <c r="K258" t="s">
        <v>732</v>
      </c>
      <c r="L258" t="s">
        <v>732</v>
      </c>
      <c r="M258" t="s">
        <v>732</v>
      </c>
      <c r="N258" t="s">
        <v>732</v>
      </c>
      <c r="O258" t="s">
        <v>732</v>
      </c>
      <c r="P258" t="s">
        <v>732</v>
      </c>
      <c r="Q258" t="s">
        <v>701</v>
      </c>
      <c r="R258" t="s">
        <v>732</v>
      </c>
    </row>
    <row r="259" spans="4:18">
      <c r="D259" s="3" t="s">
        <v>285</v>
      </c>
      <c r="E259" s="2" t="s">
        <v>291</v>
      </c>
      <c r="F259" t="s">
        <v>702</v>
      </c>
      <c r="G259" t="s">
        <v>702</v>
      </c>
      <c r="H259" t="s">
        <v>702</v>
      </c>
      <c r="I259" t="s">
        <v>702</v>
      </c>
      <c r="J259" t="s">
        <v>702</v>
      </c>
      <c r="K259" t="s">
        <v>702</v>
      </c>
      <c r="L259" t="s">
        <v>702</v>
      </c>
      <c r="M259" t="s">
        <v>702</v>
      </c>
      <c r="N259" t="s">
        <v>702</v>
      </c>
      <c r="O259" t="s">
        <v>702</v>
      </c>
      <c r="P259" t="s">
        <v>702</v>
      </c>
      <c r="Q259" t="s">
        <v>702</v>
      </c>
      <c r="R259" t="s">
        <v>702</v>
      </c>
    </row>
    <row r="260" spans="4:18">
      <c r="D260" s="3" t="s">
        <v>285</v>
      </c>
      <c r="E260" s="2" t="s">
        <v>292</v>
      </c>
      <c r="F260" t="s">
        <v>534</v>
      </c>
      <c r="G260" t="s">
        <v>734</v>
      </c>
      <c r="H260" t="s">
        <v>734</v>
      </c>
      <c r="I260" t="s">
        <v>734</v>
      </c>
      <c r="J260" t="s">
        <v>734</v>
      </c>
      <c r="K260" t="s">
        <v>732</v>
      </c>
      <c r="L260" t="s">
        <v>732</v>
      </c>
      <c r="M260" t="s">
        <v>701</v>
      </c>
      <c r="N260" t="s">
        <v>702</v>
      </c>
      <c r="O260" t="s">
        <v>701</v>
      </c>
      <c r="P260" t="s">
        <v>534</v>
      </c>
      <c r="Q260" t="s">
        <v>701</v>
      </c>
      <c r="R260" t="s">
        <v>701</v>
      </c>
    </row>
    <row r="261" spans="4:18">
      <c r="D261" s="3" t="s">
        <v>285</v>
      </c>
      <c r="E261" s="2" t="s">
        <v>293</v>
      </c>
      <c r="F261" t="s">
        <v>701</v>
      </c>
      <c r="G261" t="s">
        <v>701</v>
      </c>
      <c r="H261" t="s">
        <v>701</v>
      </c>
      <c r="I261" t="s">
        <v>701</v>
      </c>
      <c r="J261" t="s">
        <v>732</v>
      </c>
      <c r="K261" t="s">
        <v>732</v>
      </c>
      <c r="L261" t="s">
        <v>732</v>
      </c>
      <c r="M261" t="s">
        <v>732</v>
      </c>
      <c r="N261" t="s">
        <v>732</v>
      </c>
      <c r="O261" t="s">
        <v>732</v>
      </c>
      <c r="P261" t="s">
        <v>732</v>
      </c>
      <c r="Q261" t="s">
        <v>732</v>
      </c>
      <c r="R261" t="s">
        <v>732</v>
      </c>
    </row>
    <row r="262" spans="4:18">
      <c r="D262" s="3" t="s">
        <v>285</v>
      </c>
      <c r="E262" s="2" t="s">
        <v>294</v>
      </c>
      <c r="F262" t="s">
        <v>732</v>
      </c>
      <c r="G262" t="s">
        <v>732</v>
      </c>
      <c r="H262" t="s">
        <v>732</v>
      </c>
      <c r="I262" t="s">
        <v>732</v>
      </c>
      <c r="J262" t="s">
        <v>732</v>
      </c>
      <c r="K262" t="s">
        <v>732</v>
      </c>
      <c r="L262" t="s">
        <v>732</v>
      </c>
      <c r="M262" t="s">
        <v>732</v>
      </c>
      <c r="N262" t="s">
        <v>732</v>
      </c>
      <c r="O262" t="s">
        <v>732</v>
      </c>
      <c r="P262" t="s">
        <v>732</v>
      </c>
      <c r="Q262" t="s">
        <v>732</v>
      </c>
      <c r="R262" t="s">
        <v>732</v>
      </c>
    </row>
    <row r="263" spans="4:18">
      <c r="D263" s="3" t="s">
        <v>285</v>
      </c>
      <c r="E263" s="2" t="s">
        <v>295</v>
      </c>
      <c r="F263" t="s">
        <v>736</v>
      </c>
      <c r="G263" t="s">
        <v>736</v>
      </c>
      <c r="H263" t="s">
        <v>702</v>
      </c>
      <c r="I263" t="s">
        <v>702</v>
      </c>
      <c r="J263" t="s">
        <v>702</v>
      </c>
      <c r="K263" t="s">
        <v>702</v>
      </c>
      <c r="L263" t="s">
        <v>702</v>
      </c>
      <c r="M263" t="s">
        <v>702</v>
      </c>
      <c r="N263" t="s">
        <v>702</v>
      </c>
      <c r="O263" t="s">
        <v>702</v>
      </c>
      <c r="P263" t="s">
        <v>702</v>
      </c>
      <c r="Q263" t="s">
        <v>736</v>
      </c>
      <c r="R263" t="s">
        <v>702</v>
      </c>
    </row>
    <row r="264" spans="4:18">
      <c r="D264" s="3" t="s">
        <v>285</v>
      </c>
      <c r="E264" s="2" t="s">
        <v>296</v>
      </c>
      <c r="F264" t="s">
        <v>702</v>
      </c>
      <c r="G264" t="s">
        <v>702</v>
      </c>
      <c r="H264" t="s">
        <v>702</v>
      </c>
      <c r="I264" t="s">
        <v>702</v>
      </c>
      <c r="J264" t="s">
        <v>702</v>
      </c>
      <c r="K264" t="s">
        <v>732</v>
      </c>
      <c r="L264" t="s">
        <v>732</v>
      </c>
      <c r="M264" t="s">
        <v>732</v>
      </c>
      <c r="N264" t="s">
        <v>732</v>
      </c>
      <c r="O264" t="s">
        <v>702</v>
      </c>
      <c r="P264" t="s">
        <v>702</v>
      </c>
      <c r="Q264" t="s">
        <v>702</v>
      </c>
      <c r="R264" t="s">
        <v>702</v>
      </c>
    </row>
    <row r="265" spans="4:18">
      <c r="D265" s="3" t="s">
        <v>285</v>
      </c>
      <c r="E265" s="2" t="s">
        <v>297</v>
      </c>
      <c r="F265" t="s">
        <v>701</v>
      </c>
      <c r="G265" t="s">
        <v>701</v>
      </c>
      <c r="H265" t="s">
        <v>701</v>
      </c>
      <c r="I265" t="s">
        <v>701</v>
      </c>
      <c r="J265" t="s">
        <v>701</v>
      </c>
      <c r="K265" t="s">
        <v>701</v>
      </c>
      <c r="L265" t="s">
        <v>701</v>
      </c>
      <c r="M265" t="s">
        <v>701</v>
      </c>
      <c r="N265" t="s">
        <v>702</v>
      </c>
      <c r="O265" t="s">
        <v>702</v>
      </c>
      <c r="P265" t="s">
        <v>702</v>
      </c>
      <c r="Q265" t="s">
        <v>702</v>
      </c>
      <c r="R265" t="s">
        <v>701</v>
      </c>
    </row>
    <row r="266" spans="4:18">
      <c r="D266" s="3" t="s">
        <v>285</v>
      </c>
      <c r="E266" s="2" t="s">
        <v>298</v>
      </c>
      <c r="F266" t="s">
        <v>736</v>
      </c>
      <c r="G266" t="s">
        <v>736</v>
      </c>
      <c r="H266" t="s">
        <v>702</v>
      </c>
      <c r="I266" t="s">
        <v>702</v>
      </c>
      <c r="J266" t="s">
        <v>702</v>
      </c>
      <c r="K266" t="s">
        <v>702</v>
      </c>
      <c r="L266" t="s">
        <v>702</v>
      </c>
      <c r="M266" t="s">
        <v>702</v>
      </c>
      <c r="N266" t="s">
        <v>702</v>
      </c>
      <c r="O266" t="s">
        <v>702</v>
      </c>
      <c r="P266" t="s">
        <v>702</v>
      </c>
      <c r="Q266" t="s">
        <v>736</v>
      </c>
      <c r="R266" t="s">
        <v>702</v>
      </c>
    </row>
    <row r="267" spans="4:18">
      <c r="D267" s="3" t="s">
        <v>285</v>
      </c>
      <c r="E267" s="2" t="s">
        <v>299</v>
      </c>
      <c r="F267" t="s">
        <v>701</v>
      </c>
      <c r="G267" t="s">
        <v>701</v>
      </c>
      <c r="H267" t="s">
        <v>732</v>
      </c>
      <c r="I267" t="s">
        <v>732</v>
      </c>
      <c r="J267" t="s">
        <v>732</v>
      </c>
      <c r="K267" t="s">
        <v>732</v>
      </c>
      <c r="L267" t="s">
        <v>732</v>
      </c>
      <c r="M267" t="s">
        <v>732</v>
      </c>
      <c r="N267" t="s">
        <v>732</v>
      </c>
      <c r="O267" t="s">
        <v>732</v>
      </c>
      <c r="P267" t="s">
        <v>701</v>
      </c>
      <c r="Q267" t="s">
        <v>701</v>
      </c>
      <c r="R267" t="s">
        <v>732</v>
      </c>
    </row>
    <row r="268" spans="4:18">
      <c r="D268" s="3" t="s">
        <v>285</v>
      </c>
      <c r="E268" s="2" t="s">
        <v>300</v>
      </c>
      <c r="F268" t="s">
        <v>702</v>
      </c>
      <c r="G268" t="s">
        <v>702</v>
      </c>
      <c r="H268" t="s">
        <v>732</v>
      </c>
      <c r="I268" t="s">
        <v>732</v>
      </c>
      <c r="J268" t="s">
        <v>732</v>
      </c>
      <c r="K268" t="s">
        <v>732</v>
      </c>
      <c r="L268" t="s">
        <v>702</v>
      </c>
      <c r="M268" t="s">
        <v>732</v>
      </c>
      <c r="N268" t="s">
        <v>732</v>
      </c>
      <c r="O268" t="s">
        <v>732</v>
      </c>
      <c r="P268" t="s">
        <v>702</v>
      </c>
      <c r="Q268" t="s">
        <v>702</v>
      </c>
      <c r="R268" t="s">
        <v>732</v>
      </c>
    </row>
    <row r="269" spans="4:18">
      <c r="D269" s="3" t="s">
        <v>285</v>
      </c>
      <c r="E269" s="2" t="s">
        <v>301</v>
      </c>
      <c r="F269" t="s">
        <v>702</v>
      </c>
      <c r="G269" t="s">
        <v>702</v>
      </c>
      <c r="H269" t="s">
        <v>702</v>
      </c>
      <c r="I269" t="s">
        <v>702</v>
      </c>
      <c r="J269" t="s">
        <v>702</v>
      </c>
      <c r="K269" t="s">
        <v>702</v>
      </c>
      <c r="L269" t="s">
        <v>702</v>
      </c>
      <c r="M269" t="s">
        <v>702</v>
      </c>
      <c r="N269" t="s">
        <v>702</v>
      </c>
      <c r="O269" t="s">
        <v>702</v>
      </c>
      <c r="P269" t="s">
        <v>702</v>
      </c>
      <c r="Q269" t="s">
        <v>702</v>
      </c>
      <c r="R269" t="s">
        <v>702</v>
      </c>
    </row>
    <row r="270" spans="4:18">
      <c r="D270" s="3" t="s">
        <v>285</v>
      </c>
      <c r="E270" s="4" t="s">
        <v>302</v>
      </c>
      <c r="F270" t="s">
        <v>701</v>
      </c>
      <c r="G270" t="s">
        <v>701</v>
      </c>
      <c r="H270" t="s">
        <v>701</v>
      </c>
      <c r="I270" t="s">
        <v>701</v>
      </c>
      <c r="J270" t="s">
        <v>702</v>
      </c>
      <c r="K270" t="s">
        <v>702</v>
      </c>
      <c r="L270" t="s">
        <v>702</v>
      </c>
      <c r="M270" t="s">
        <v>702</v>
      </c>
      <c r="N270" t="s">
        <v>732</v>
      </c>
      <c r="O270" t="s">
        <v>732</v>
      </c>
      <c r="P270" t="s">
        <v>702</v>
      </c>
      <c r="Q270" t="s">
        <v>702</v>
      </c>
      <c r="R270" t="s">
        <v>702</v>
      </c>
    </row>
    <row r="271" spans="4:18" ht="22.8">
      <c r="D271" s="2" t="s">
        <v>303</v>
      </c>
      <c r="E271" s="2" t="s">
        <v>304</v>
      </c>
      <c r="F271" t="s">
        <v>732</v>
      </c>
      <c r="G271" t="s">
        <v>732</v>
      </c>
      <c r="H271" t="s">
        <v>732</v>
      </c>
      <c r="I271" t="s">
        <v>732</v>
      </c>
      <c r="J271" t="s">
        <v>732</v>
      </c>
      <c r="K271" t="s">
        <v>732</v>
      </c>
      <c r="L271" t="s">
        <v>732</v>
      </c>
      <c r="M271" t="s">
        <v>732</v>
      </c>
      <c r="N271" t="s">
        <v>732</v>
      </c>
      <c r="O271" t="s">
        <v>732</v>
      </c>
      <c r="P271" t="s">
        <v>732</v>
      </c>
      <c r="Q271" t="s">
        <v>732</v>
      </c>
      <c r="R271" t="s">
        <v>732</v>
      </c>
    </row>
    <row r="272" spans="4:18">
      <c r="D272" s="2" t="s">
        <v>303</v>
      </c>
      <c r="E272" s="2" t="s">
        <v>305</v>
      </c>
      <c r="F272" t="s">
        <v>534</v>
      </c>
      <c r="G272" t="s">
        <v>534</v>
      </c>
      <c r="H272" t="s">
        <v>733</v>
      </c>
      <c r="I272" t="s">
        <v>733</v>
      </c>
      <c r="J272" t="s">
        <v>733</v>
      </c>
      <c r="K272" t="s">
        <v>735</v>
      </c>
      <c r="L272" t="s">
        <v>732</v>
      </c>
      <c r="M272" t="s">
        <v>732</v>
      </c>
      <c r="N272" t="s">
        <v>732</v>
      </c>
      <c r="O272" t="s">
        <v>732</v>
      </c>
      <c r="P272" t="s">
        <v>734</v>
      </c>
      <c r="Q272" t="s">
        <v>534</v>
      </c>
      <c r="R272" t="s">
        <v>735</v>
      </c>
    </row>
    <row r="273" spans="4:18">
      <c r="D273" s="3" t="s">
        <v>306</v>
      </c>
      <c r="E273" s="4" t="s">
        <v>307</v>
      </c>
      <c r="F273" t="s">
        <v>702</v>
      </c>
      <c r="G273" t="s">
        <v>702</v>
      </c>
      <c r="H273" t="s">
        <v>702</v>
      </c>
      <c r="I273" t="s">
        <v>702</v>
      </c>
      <c r="J273" t="s">
        <v>702</v>
      </c>
      <c r="K273" t="s">
        <v>702</v>
      </c>
      <c r="L273" t="s">
        <v>702</v>
      </c>
      <c r="M273" t="s">
        <v>702</v>
      </c>
      <c r="N273" t="s">
        <v>702</v>
      </c>
      <c r="O273" t="s">
        <v>702</v>
      </c>
      <c r="P273" t="s">
        <v>702</v>
      </c>
      <c r="Q273" t="s">
        <v>702</v>
      </c>
      <c r="R273" t="s">
        <v>702</v>
      </c>
    </row>
    <row r="274" spans="4:18">
      <c r="D274" s="3" t="s">
        <v>308</v>
      </c>
      <c r="E274" s="4" t="s">
        <v>309</v>
      </c>
      <c r="F274" t="s">
        <v>701</v>
      </c>
      <c r="G274" t="s">
        <v>701</v>
      </c>
      <c r="H274" t="s">
        <v>701</v>
      </c>
      <c r="I274" t="s">
        <v>736</v>
      </c>
      <c r="J274" t="s">
        <v>736</v>
      </c>
      <c r="K274" t="s">
        <v>736</v>
      </c>
      <c r="L274" t="s">
        <v>736</v>
      </c>
      <c r="M274" t="s">
        <v>736</v>
      </c>
      <c r="N274" t="s">
        <v>701</v>
      </c>
      <c r="O274" t="s">
        <v>701</v>
      </c>
      <c r="P274" t="s">
        <v>736</v>
      </c>
      <c r="Q274" t="s">
        <v>701</v>
      </c>
      <c r="R274" t="s">
        <v>736</v>
      </c>
    </row>
    <row r="275" spans="4:18">
      <c r="D275" s="3" t="s">
        <v>308</v>
      </c>
      <c r="E275" s="2" t="s">
        <v>310</v>
      </c>
      <c r="F275" t="s">
        <v>736</v>
      </c>
      <c r="G275" t="s">
        <v>734</v>
      </c>
      <c r="H275" t="s">
        <v>736</v>
      </c>
      <c r="I275" t="s">
        <v>736</v>
      </c>
      <c r="J275" t="s">
        <v>736</v>
      </c>
      <c r="K275" t="s">
        <v>736</v>
      </c>
      <c r="L275" t="s">
        <v>736</v>
      </c>
      <c r="M275" t="s">
        <v>736</v>
      </c>
      <c r="N275" t="s">
        <v>701</v>
      </c>
      <c r="O275" t="s">
        <v>534</v>
      </c>
      <c r="P275" t="s">
        <v>736</v>
      </c>
      <c r="Q275" t="s">
        <v>736</v>
      </c>
      <c r="R275" t="s">
        <v>736</v>
      </c>
    </row>
    <row r="276" spans="4:18">
      <c r="D276" s="3" t="s">
        <v>308</v>
      </c>
      <c r="E276" s="2" t="s">
        <v>186</v>
      </c>
      <c r="F276" t="s">
        <v>701</v>
      </c>
      <c r="G276" t="s">
        <v>701</v>
      </c>
      <c r="H276" t="s">
        <v>534</v>
      </c>
      <c r="I276" t="s">
        <v>702</v>
      </c>
      <c r="J276" t="s">
        <v>702</v>
      </c>
      <c r="K276" t="s">
        <v>736</v>
      </c>
      <c r="L276" t="s">
        <v>736</v>
      </c>
      <c r="M276" t="s">
        <v>736</v>
      </c>
      <c r="N276" t="s">
        <v>534</v>
      </c>
      <c r="O276" t="s">
        <v>534</v>
      </c>
      <c r="P276" t="s">
        <v>736</v>
      </c>
      <c r="Q276" t="s">
        <v>701</v>
      </c>
      <c r="R276" t="s">
        <v>736</v>
      </c>
    </row>
    <row r="277" spans="4:18">
      <c r="D277" s="3" t="s">
        <v>308</v>
      </c>
      <c r="E277" s="2" t="s">
        <v>311</v>
      </c>
      <c r="F277" t="s">
        <v>733</v>
      </c>
      <c r="G277" t="s">
        <v>733</v>
      </c>
      <c r="H277" t="s">
        <v>733</v>
      </c>
      <c r="I277" t="s">
        <v>702</v>
      </c>
      <c r="J277" t="s">
        <v>702</v>
      </c>
      <c r="K277" t="s">
        <v>702</v>
      </c>
      <c r="L277" t="s">
        <v>702</v>
      </c>
      <c r="M277" t="s">
        <v>702</v>
      </c>
      <c r="N277" t="s">
        <v>733</v>
      </c>
      <c r="O277" t="s">
        <v>733</v>
      </c>
      <c r="P277" t="s">
        <v>733</v>
      </c>
      <c r="Q277" t="s">
        <v>733</v>
      </c>
      <c r="R277" t="s">
        <v>733</v>
      </c>
    </row>
    <row r="278" spans="4:18">
      <c r="D278" s="3" t="s">
        <v>308</v>
      </c>
      <c r="E278" s="2" t="s">
        <v>312</v>
      </c>
      <c r="F278" t="s">
        <v>701</v>
      </c>
      <c r="G278" t="s">
        <v>701</v>
      </c>
      <c r="H278" t="s">
        <v>701</v>
      </c>
      <c r="I278" t="s">
        <v>702</v>
      </c>
      <c r="J278" t="s">
        <v>702</v>
      </c>
      <c r="K278" t="s">
        <v>702</v>
      </c>
      <c r="L278" t="s">
        <v>702</v>
      </c>
      <c r="M278" t="s">
        <v>702</v>
      </c>
      <c r="N278" t="s">
        <v>701</v>
      </c>
      <c r="O278" t="s">
        <v>701</v>
      </c>
      <c r="P278" t="s">
        <v>701</v>
      </c>
      <c r="Q278" t="s">
        <v>701</v>
      </c>
      <c r="R278" t="s">
        <v>702</v>
      </c>
    </row>
    <row r="279" spans="4:18">
      <c r="D279" s="3" t="s">
        <v>308</v>
      </c>
      <c r="E279" s="2" t="s">
        <v>703</v>
      </c>
      <c r="F279" t="s">
        <v>733</v>
      </c>
      <c r="G279" t="s">
        <v>733</v>
      </c>
      <c r="H279" t="s">
        <v>733</v>
      </c>
      <c r="I279" t="s">
        <v>733</v>
      </c>
      <c r="J279" t="s">
        <v>733</v>
      </c>
      <c r="K279" t="s">
        <v>733</v>
      </c>
      <c r="L279" t="s">
        <v>733</v>
      </c>
      <c r="M279" t="s">
        <v>733</v>
      </c>
      <c r="N279" t="s">
        <v>733</v>
      </c>
      <c r="O279" t="s">
        <v>733</v>
      </c>
      <c r="P279" t="s">
        <v>733</v>
      </c>
      <c r="Q279" t="s">
        <v>733</v>
      </c>
      <c r="R279" t="s">
        <v>733</v>
      </c>
    </row>
    <row r="280" spans="4:18">
      <c r="D280" s="3" t="s">
        <v>313</v>
      </c>
      <c r="E280" s="4" t="s">
        <v>314</v>
      </c>
      <c r="F280" t="s">
        <v>732</v>
      </c>
      <c r="G280" t="s">
        <v>732</v>
      </c>
      <c r="H280" t="s">
        <v>732</v>
      </c>
      <c r="I280" t="s">
        <v>732</v>
      </c>
      <c r="J280" t="s">
        <v>701</v>
      </c>
      <c r="K280" t="s">
        <v>701</v>
      </c>
      <c r="L280" t="s">
        <v>701</v>
      </c>
      <c r="M280" t="s">
        <v>701</v>
      </c>
      <c r="N280" t="s">
        <v>701</v>
      </c>
      <c r="O280" t="s">
        <v>732</v>
      </c>
      <c r="P280" t="s">
        <v>732</v>
      </c>
      <c r="Q280" t="s">
        <v>732</v>
      </c>
      <c r="R280" t="s">
        <v>732</v>
      </c>
    </row>
    <row r="281" spans="4:18">
      <c r="D281" s="3" t="s">
        <v>313</v>
      </c>
      <c r="E281" s="2" t="s">
        <v>315</v>
      </c>
      <c r="F281" t="s">
        <v>736</v>
      </c>
      <c r="G281" t="s">
        <v>736</v>
      </c>
      <c r="H281" t="s">
        <v>736</v>
      </c>
      <c r="I281" t="s">
        <v>736</v>
      </c>
      <c r="J281" t="s">
        <v>736</v>
      </c>
      <c r="K281" t="s">
        <v>736</v>
      </c>
      <c r="L281" t="s">
        <v>736</v>
      </c>
      <c r="M281" t="s">
        <v>736</v>
      </c>
      <c r="N281" t="s">
        <v>736</v>
      </c>
      <c r="O281" t="s">
        <v>736</v>
      </c>
      <c r="P281" t="s">
        <v>736</v>
      </c>
      <c r="Q281" t="s">
        <v>736</v>
      </c>
      <c r="R281" t="s">
        <v>736</v>
      </c>
    </row>
    <row r="282" spans="4:18">
      <c r="D282" s="3" t="s">
        <v>313</v>
      </c>
      <c r="E282" s="2" t="s">
        <v>316</v>
      </c>
      <c r="F282" t="s">
        <v>702</v>
      </c>
      <c r="G282" t="s">
        <v>702</v>
      </c>
      <c r="H282" t="s">
        <v>702</v>
      </c>
      <c r="I282" t="s">
        <v>736</v>
      </c>
      <c r="J282" t="s">
        <v>736</v>
      </c>
      <c r="K282" t="s">
        <v>736</v>
      </c>
      <c r="L282" t="s">
        <v>736</v>
      </c>
      <c r="M282" t="s">
        <v>736</v>
      </c>
      <c r="N282" t="s">
        <v>701</v>
      </c>
      <c r="O282" t="s">
        <v>702</v>
      </c>
      <c r="P282" t="s">
        <v>702</v>
      </c>
      <c r="Q282" t="s">
        <v>702</v>
      </c>
      <c r="R282" t="s">
        <v>702</v>
      </c>
    </row>
    <row r="283" spans="4:18">
      <c r="D283" s="3" t="s">
        <v>313</v>
      </c>
      <c r="E283" s="2" t="s">
        <v>317</v>
      </c>
      <c r="F283" t="s">
        <v>534</v>
      </c>
      <c r="G283" t="s">
        <v>534</v>
      </c>
      <c r="H283" t="s">
        <v>534</v>
      </c>
      <c r="I283" t="s">
        <v>534</v>
      </c>
      <c r="J283" t="s">
        <v>736</v>
      </c>
      <c r="K283" t="s">
        <v>736</v>
      </c>
      <c r="L283" t="s">
        <v>736</v>
      </c>
      <c r="M283" t="s">
        <v>736</v>
      </c>
      <c r="N283" t="s">
        <v>736</v>
      </c>
      <c r="O283" t="s">
        <v>736</v>
      </c>
      <c r="P283" t="s">
        <v>736</v>
      </c>
      <c r="Q283" t="s">
        <v>736</v>
      </c>
      <c r="R283" t="s">
        <v>736</v>
      </c>
    </row>
    <row r="284" spans="4:18">
      <c r="D284" s="3" t="s">
        <v>313</v>
      </c>
      <c r="E284" s="2" t="s">
        <v>318</v>
      </c>
      <c r="F284" t="s">
        <v>702</v>
      </c>
      <c r="G284" t="s">
        <v>702</v>
      </c>
      <c r="H284" t="s">
        <v>702</v>
      </c>
      <c r="I284" t="s">
        <v>702</v>
      </c>
      <c r="J284" t="s">
        <v>702</v>
      </c>
      <c r="K284" t="s">
        <v>702</v>
      </c>
      <c r="L284" t="s">
        <v>702</v>
      </c>
      <c r="M284" t="s">
        <v>702</v>
      </c>
      <c r="N284" t="s">
        <v>702</v>
      </c>
      <c r="O284" t="s">
        <v>702</v>
      </c>
      <c r="P284" t="s">
        <v>702</v>
      </c>
      <c r="Q284" t="s">
        <v>702</v>
      </c>
      <c r="R284" t="s">
        <v>702</v>
      </c>
    </row>
    <row r="285" spans="4:18">
      <c r="D285" s="3" t="s">
        <v>313</v>
      </c>
      <c r="E285" s="2" t="s">
        <v>319</v>
      </c>
      <c r="F285" t="s">
        <v>734</v>
      </c>
      <c r="G285" t="s">
        <v>734</v>
      </c>
      <c r="H285" t="s">
        <v>734</v>
      </c>
      <c r="I285" t="s">
        <v>734</v>
      </c>
      <c r="J285" t="s">
        <v>734</v>
      </c>
      <c r="K285" t="s">
        <v>734</v>
      </c>
      <c r="L285" t="s">
        <v>734</v>
      </c>
      <c r="M285" t="s">
        <v>734</v>
      </c>
      <c r="N285" t="s">
        <v>734</v>
      </c>
      <c r="O285" t="s">
        <v>734</v>
      </c>
      <c r="P285" t="s">
        <v>734</v>
      </c>
      <c r="Q285" t="s">
        <v>734</v>
      </c>
      <c r="R285" t="s">
        <v>734</v>
      </c>
    </row>
    <row r="286" spans="4:18">
      <c r="D286" s="4" t="s">
        <v>320</v>
      </c>
      <c r="E286" s="2" t="s">
        <v>321</v>
      </c>
      <c r="F286" t="s">
        <v>733</v>
      </c>
      <c r="G286" t="s">
        <v>733</v>
      </c>
      <c r="H286" t="s">
        <v>732</v>
      </c>
      <c r="I286" t="s">
        <v>733</v>
      </c>
      <c r="J286" t="s">
        <v>732</v>
      </c>
      <c r="K286" t="s">
        <v>736</v>
      </c>
      <c r="L286" t="s">
        <v>736</v>
      </c>
      <c r="M286" t="s">
        <v>732</v>
      </c>
      <c r="N286" t="s">
        <v>732</v>
      </c>
      <c r="O286" t="s">
        <v>732</v>
      </c>
      <c r="P286" t="s">
        <v>732</v>
      </c>
      <c r="Q286" t="s">
        <v>732</v>
      </c>
      <c r="R286" t="s">
        <v>732</v>
      </c>
    </row>
    <row r="287" spans="4:18">
      <c r="D287" s="4" t="s">
        <v>320</v>
      </c>
      <c r="E287" s="2" t="s">
        <v>270</v>
      </c>
      <c r="F287" t="s">
        <v>734</v>
      </c>
      <c r="G287" t="s">
        <v>701</v>
      </c>
      <c r="H287" t="s">
        <v>734</v>
      </c>
      <c r="I287" t="s">
        <v>734</v>
      </c>
      <c r="J287" t="s">
        <v>702</v>
      </c>
      <c r="K287" t="s">
        <v>702</v>
      </c>
      <c r="L287" t="s">
        <v>736</v>
      </c>
      <c r="M287" t="s">
        <v>702</v>
      </c>
      <c r="N287" t="s">
        <v>701</v>
      </c>
      <c r="O287" t="s">
        <v>701</v>
      </c>
      <c r="P287" t="s">
        <v>701</v>
      </c>
      <c r="Q287" t="s">
        <v>734</v>
      </c>
      <c r="R287" t="s">
        <v>734</v>
      </c>
    </row>
    <row r="288" spans="4:18">
      <c r="D288" s="4" t="s">
        <v>320</v>
      </c>
      <c r="E288" s="2" t="s">
        <v>322</v>
      </c>
      <c r="F288" t="s">
        <v>733</v>
      </c>
      <c r="G288" t="s">
        <v>733</v>
      </c>
      <c r="H288" t="s">
        <v>733</v>
      </c>
      <c r="I288" t="s">
        <v>733</v>
      </c>
      <c r="J288" t="s">
        <v>733</v>
      </c>
      <c r="K288" t="s">
        <v>733</v>
      </c>
      <c r="L288" t="s">
        <v>733</v>
      </c>
      <c r="M288" t="s">
        <v>733</v>
      </c>
      <c r="N288" t="s">
        <v>733</v>
      </c>
      <c r="O288" t="s">
        <v>733</v>
      </c>
      <c r="P288" t="s">
        <v>733</v>
      </c>
      <c r="Q288" t="s">
        <v>734</v>
      </c>
      <c r="R288" t="s">
        <v>733</v>
      </c>
    </row>
    <row r="289" spans="4:18">
      <c r="D289" s="4" t="s">
        <v>320</v>
      </c>
      <c r="E289" s="2" t="s">
        <v>323</v>
      </c>
      <c r="F289" t="s">
        <v>736</v>
      </c>
      <c r="G289" t="s">
        <v>736</v>
      </c>
      <c r="H289" t="s">
        <v>736</v>
      </c>
      <c r="I289" t="s">
        <v>736</v>
      </c>
      <c r="J289" t="s">
        <v>736</v>
      </c>
      <c r="K289" t="s">
        <v>736</v>
      </c>
      <c r="L289" t="s">
        <v>736</v>
      </c>
      <c r="M289" t="s">
        <v>736</v>
      </c>
      <c r="N289" t="s">
        <v>736</v>
      </c>
      <c r="O289" t="s">
        <v>736</v>
      </c>
      <c r="P289" t="s">
        <v>736</v>
      </c>
      <c r="Q289" t="s">
        <v>736</v>
      </c>
      <c r="R289" t="s">
        <v>736</v>
      </c>
    </row>
    <row r="290" spans="4:18">
      <c r="D290" s="2" t="s">
        <v>324</v>
      </c>
      <c r="E290" s="2" t="s">
        <v>325</v>
      </c>
      <c r="F290" t="s">
        <v>734</v>
      </c>
      <c r="G290" t="s">
        <v>734</v>
      </c>
      <c r="H290" t="s">
        <v>736</v>
      </c>
      <c r="I290" t="s">
        <v>736</v>
      </c>
      <c r="J290" t="s">
        <v>534</v>
      </c>
      <c r="K290" t="s">
        <v>534</v>
      </c>
      <c r="L290" t="s">
        <v>534</v>
      </c>
      <c r="M290" t="s">
        <v>534</v>
      </c>
      <c r="N290" t="s">
        <v>534</v>
      </c>
      <c r="O290" t="s">
        <v>534</v>
      </c>
      <c r="P290" t="s">
        <v>736</v>
      </c>
      <c r="Q290" t="s">
        <v>736</v>
      </c>
      <c r="R290" t="s">
        <v>736</v>
      </c>
    </row>
    <row r="291" spans="4:18">
      <c r="D291" s="2" t="s">
        <v>324</v>
      </c>
      <c r="E291" s="2" t="s">
        <v>326</v>
      </c>
      <c r="F291" t="s">
        <v>733</v>
      </c>
      <c r="G291" t="s">
        <v>733</v>
      </c>
      <c r="H291" t="s">
        <v>733</v>
      </c>
      <c r="I291" t="s">
        <v>702</v>
      </c>
      <c r="J291" t="s">
        <v>702</v>
      </c>
      <c r="K291" t="s">
        <v>702</v>
      </c>
      <c r="L291" t="s">
        <v>702</v>
      </c>
      <c r="M291" t="s">
        <v>702</v>
      </c>
      <c r="N291" t="s">
        <v>702</v>
      </c>
      <c r="O291" t="s">
        <v>702</v>
      </c>
      <c r="P291" t="s">
        <v>702</v>
      </c>
      <c r="Q291" t="s">
        <v>702</v>
      </c>
      <c r="R291" t="s">
        <v>702</v>
      </c>
    </row>
    <row r="292" spans="4:18">
      <c r="D292" s="2" t="s">
        <v>324</v>
      </c>
      <c r="E292" s="2" t="s">
        <v>327</v>
      </c>
      <c r="F292" t="s">
        <v>733</v>
      </c>
      <c r="G292" t="s">
        <v>733</v>
      </c>
      <c r="H292" t="s">
        <v>733</v>
      </c>
      <c r="I292" t="s">
        <v>702</v>
      </c>
      <c r="J292" t="s">
        <v>702</v>
      </c>
      <c r="K292" t="s">
        <v>702</v>
      </c>
      <c r="L292" t="s">
        <v>702</v>
      </c>
      <c r="M292" t="s">
        <v>702</v>
      </c>
      <c r="N292" t="s">
        <v>702</v>
      </c>
      <c r="O292" t="s">
        <v>702</v>
      </c>
      <c r="P292" t="s">
        <v>702</v>
      </c>
      <c r="Q292" t="s">
        <v>733</v>
      </c>
      <c r="R292" t="s">
        <v>702</v>
      </c>
    </row>
    <row r="293" spans="4:18">
      <c r="D293" s="2" t="s">
        <v>324</v>
      </c>
      <c r="E293" s="2" t="s">
        <v>328</v>
      </c>
      <c r="F293" t="s">
        <v>733</v>
      </c>
      <c r="G293" t="s">
        <v>733</v>
      </c>
      <c r="H293" t="s">
        <v>733</v>
      </c>
      <c r="I293" t="s">
        <v>701</v>
      </c>
      <c r="J293" t="s">
        <v>534</v>
      </c>
      <c r="K293" t="s">
        <v>534</v>
      </c>
      <c r="L293" t="s">
        <v>736</v>
      </c>
      <c r="M293" t="s">
        <v>736</v>
      </c>
      <c r="N293" t="s">
        <v>736</v>
      </c>
      <c r="O293" t="s">
        <v>736</v>
      </c>
      <c r="P293" t="s">
        <v>733</v>
      </c>
      <c r="Q293" t="s">
        <v>733</v>
      </c>
      <c r="R293" t="s">
        <v>736</v>
      </c>
    </row>
    <row r="294" spans="4:18">
      <c r="D294" s="2" t="s">
        <v>329</v>
      </c>
      <c r="E294" s="2" t="s">
        <v>330</v>
      </c>
      <c r="F294" t="s">
        <v>736</v>
      </c>
      <c r="G294" t="s">
        <v>736</v>
      </c>
      <c r="H294" t="s">
        <v>736</v>
      </c>
      <c r="I294" t="s">
        <v>736</v>
      </c>
      <c r="J294" t="s">
        <v>736</v>
      </c>
      <c r="K294" t="s">
        <v>736</v>
      </c>
      <c r="L294" t="s">
        <v>736</v>
      </c>
      <c r="M294" t="s">
        <v>736</v>
      </c>
      <c r="N294" t="s">
        <v>736</v>
      </c>
      <c r="O294" t="s">
        <v>736</v>
      </c>
      <c r="P294" t="s">
        <v>736</v>
      </c>
      <c r="Q294" t="s">
        <v>736</v>
      </c>
      <c r="R294" t="s">
        <v>736</v>
      </c>
    </row>
    <row r="295" spans="4:18">
      <c r="D295" s="2" t="s">
        <v>329</v>
      </c>
      <c r="E295" s="2" t="s">
        <v>331</v>
      </c>
      <c r="F295" t="s">
        <v>733</v>
      </c>
      <c r="G295" t="s">
        <v>733</v>
      </c>
      <c r="H295" t="s">
        <v>733</v>
      </c>
      <c r="I295" t="s">
        <v>733</v>
      </c>
      <c r="J295" t="s">
        <v>733</v>
      </c>
      <c r="K295" t="s">
        <v>733</v>
      </c>
      <c r="L295" t="s">
        <v>733</v>
      </c>
      <c r="M295" t="s">
        <v>733</v>
      </c>
      <c r="N295" t="s">
        <v>733</v>
      </c>
      <c r="O295" t="s">
        <v>734</v>
      </c>
      <c r="P295" t="s">
        <v>733</v>
      </c>
      <c r="Q295" t="s">
        <v>733</v>
      </c>
      <c r="R295" t="s">
        <v>733</v>
      </c>
    </row>
    <row r="296" spans="4:18">
      <c r="D296" s="2" t="s">
        <v>329</v>
      </c>
      <c r="E296" s="2" t="s">
        <v>332</v>
      </c>
      <c r="F296" t="s">
        <v>736</v>
      </c>
      <c r="G296" t="s">
        <v>736</v>
      </c>
      <c r="H296" t="s">
        <v>736</v>
      </c>
      <c r="I296" t="s">
        <v>736</v>
      </c>
      <c r="J296" t="s">
        <v>736</v>
      </c>
      <c r="K296" t="s">
        <v>736</v>
      </c>
      <c r="L296" t="s">
        <v>736</v>
      </c>
      <c r="M296" t="s">
        <v>736</v>
      </c>
      <c r="N296" t="s">
        <v>736</v>
      </c>
      <c r="O296" t="s">
        <v>736</v>
      </c>
      <c r="P296" t="s">
        <v>736</v>
      </c>
      <c r="Q296" t="s">
        <v>736</v>
      </c>
      <c r="R296" t="s">
        <v>736</v>
      </c>
    </row>
    <row r="297" spans="4:18">
      <c r="D297" s="2" t="s">
        <v>329</v>
      </c>
      <c r="E297" s="2" t="s">
        <v>333</v>
      </c>
      <c r="F297" t="s">
        <v>733</v>
      </c>
      <c r="G297" t="s">
        <v>733</v>
      </c>
      <c r="H297" t="s">
        <v>733</v>
      </c>
      <c r="I297" t="s">
        <v>733</v>
      </c>
      <c r="J297" t="s">
        <v>733</v>
      </c>
      <c r="K297" t="s">
        <v>733</v>
      </c>
      <c r="L297" t="s">
        <v>733</v>
      </c>
      <c r="M297" t="s">
        <v>733</v>
      </c>
      <c r="N297" t="s">
        <v>733</v>
      </c>
      <c r="O297" t="s">
        <v>733</v>
      </c>
      <c r="P297" t="s">
        <v>733</v>
      </c>
      <c r="Q297" t="s">
        <v>733</v>
      </c>
      <c r="R297" t="s">
        <v>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9" tint="-0.249977111117893"/>
  </sheetPr>
  <dimension ref="A1:R304"/>
  <sheetViews>
    <sheetView topLeftCell="A4" workbookViewId="0">
      <selection activeCell="B5" sqref="B5"/>
    </sheetView>
  </sheetViews>
  <sheetFormatPr defaultRowHeight="14.4"/>
  <cols>
    <col min="1" max="1" width="10.44140625" customWidth="1"/>
    <col min="3" max="4" width="13.44140625" customWidth="1"/>
    <col min="5" max="5" width="14.88671875" customWidth="1"/>
    <col min="6" max="6" width="11.88671875" customWidth="1"/>
    <col min="7" max="7" width="12.6640625" customWidth="1"/>
    <col min="8" max="8" width="13" customWidth="1"/>
    <col min="9" max="9" width="15.21875" customWidth="1"/>
    <col min="10" max="10" width="12.6640625" hidden="1" customWidth="1"/>
    <col min="11" max="11" width="19.44140625" hidden="1" customWidth="1"/>
    <col min="12" max="12" width="21.5546875" hidden="1" customWidth="1"/>
    <col min="13" max="15" width="13" customWidth="1"/>
    <col min="16" max="16" width="15.5546875" customWidth="1"/>
    <col min="17" max="17" width="11.44140625" customWidth="1"/>
    <col min="18" max="18" width="11.109375" customWidth="1"/>
  </cols>
  <sheetData>
    <row r="1" spans="1:18" ht="46.8" customHeight="1">
      <c r="E1" s="14" t="s">
        <v>338</v>
      </c>
      <c r="F1" s="14" t="s">
        <v>339</v>
      </c>
      <c r="G1" s="14" t="s">
        <v>340</v>
      </c>
      <c r="H1" s="14" t="s">
        <v>344</v>
      </c>
      <c r="I1" s="14" t="s">
        <v>345</v>
      </c>
      <c r="J1" s="14" t="s">
        <v>346</v>
      </c>
      <c r="K1" s="14" t="s">
        <v>347</v>
      </c>
      <c r="L1" s="14" t="s">
        <v>348</v>
      </c>
      <c r="M1" s="14" t="s">
        <v>724</v>
      </c>
      <c r="N1" s="14" t="s">
        <v>730</v>
      </c>
      <c r="O1" s="14" t="s">
        <v>731</v>
      </c>
      <c r="P1" s="29" t="s">
        <v>725</v>
      </c>
      <c r="Q1" s="14" t="s">
        <v>726</v>
      </c>
      <c r="R1" s="14" t="s">
        <v>727</v>
      </c>
    </row>
    <row r="2" spans="1:18">
      <c r="A2" s="25" t="s">
        <v>720</v>
      </c>
      <c r="B2" t="str">
        <f>VLOOKUP('Gale Dash'!E16,stateabreviation,2,FALSE)</f>
        <v>WI</v>
      </c>
      <c r="E2" s="8" t="s">
        <v>334</v>
      </c>
      <c r="F2" s="9" t="s">
        <v>336</v>
      </c>
      <c r="G2" s="10">
        <v>35801</v>
      </c>
      <c r="H2" s="10">
        <v>34.700000000000003</v>
      </c>
      <c r="I2" s="10">
        <v>-86.62</v>
      </c>
      <c r="J2" s="9"/>
      <c r="K2" s="9"/>
      <c r="L2" s="10"/>
      <c r="M2" s="26">
        <f t="shared" ref="M2:M65" si="0">ACOS(COS(RADIANS(90-$B$5))*COS(RADIANS(90-H2))+SIN(RADIANS(90-$B$5))*SIN(RADIANS(90-H2))*COS(RADIANS($B$6-I2)))*6371</f>
        <v>936.76045122414178</v>
      </c>
      <c r="N2" s="33" t="s">
        <v>334</v>
      </c>
      <c r="O2" s="34" t="s">
        <v>336</v>
      </c>
      <c r="P2" s="30"/>
      <c r="Q2" s="30">
        <f>$B$5-Table1[[#This Row],[Latitude]]</f>
        <v>8.36</v>
      </c>
      <c r="R2" s="30">
        <f>$B$6-Table1[[#This Row],[Longitude]]</f>
        <v>-1.3399999999999892</v>
      </c>
    </row>
    <row r="3" spans="1:18">
      <c r="A3" s="25" t="s">
        <v>721</v>
      </c>
      <c r="B3" t="str">
        <f>'Gale Dash'!G16</f>
        <v>Milwaukee</v>
      </c>
      <c r="E3" s="8" t="s">
        <v>341</v>
      </c>
      <c r="F3" s="10" t="s">
        <v>336</v>
      </c>
      <c r="G3" s="10">
        <v>36601</v>
      </c>
      <c r="H3" s="10">
        <v>30.68</v>
      </c>
      <c r="I3" s="10">
        <v>-88.04</v>
      </c>
      <c r="J3" s="10" t="s">
        <v>342</v>
      </c>
      <c r="K3" s="10" t="s">
        <v>337</v>
      </c>
      <c r="L3" s="10">
        <v>512</v>
      </c>
      <c r="M3" s="27">
        <f t="shared" si="0"/>
        <v>1376.6113935926267</v>
      </c>
      <c r="N3" s="33" t="s">
        <v>341</v>
      </c>
      <c r="O3" s="23" t="s">
        <v>336</v>
      </c>
      <c r="P3" s="31"/>
      <c r="Q3" s="31">
        <f>$B$5-Table1[[#This Row],[Latitude]]</f>
        <v>12.380000000000003</v>
      </c>
      <c r="R3" s="31">
        <f>$B$6-Table1[[#This Row],[Longitude]]</f>
        <v>8.0000000000012506E-2</v>
      </c>
    </row>
    <row r="4" spans="1:18">
      <c r="E4" s="8" t="s">
        <v>343</v>
      </c>
      <c r="F4" s="10" t="s">
        <v>336</v>
      </c>
      <c r="G4" s="10">
        <v>36101</v>
      </c>
      <c r="H4" s="10">
        <v>32.35</v>
      </c>
      <c r="I4" s="10">
        <v>-86.28</v>
      </c>
      <c r="J4" s="10" t="s">
        <v>342</v>
      </c>
      <c r="K4" s="10" t="s">
        <v>337</v>
      </c>
      <c r="L4" s="10">
        <v>466</v>
      </c>
      <c r="M4" s="27">
        <f t="shared" si="0"/>
        <v>1199.9593619037898</v>
      </c>
      <c r="N4" s="33" t="s">
        <v>343</v>
      </c>
      <c r="O4" s="23" t="s">
        <v>336</v>
      </c>
      <c r="P4" s="31"/>
      <c r="Q4" s="31">
        <f>$B$5-Table1[[#This Row],[Latitude]]</f>
        <v>10.71</v>
      </c>
      <c r="R4" s="31">
        <f>$B$6-Table1[[#This Row],[Longitude]]</f>
        <v>-1.6799999999999926</v>
      </c>
    </row>
    <row r="5" spans="1:18">
      <c r="A5" s="25" t="s">
        <v>722</v>
      </c>
      <c r="B5">
        <f t="array" ref="B5">INDEX(Table1[[City]:[Longitude]],MATCH(B3&amp;B2,Table1[City]&amp;Table1[State],0),4)</f>
        <v>43.06</v>
      </c>
      <c r="E5" s="8" t="s">
        <v>349</v>
      </c>
      <c r="F5" s="10" t="s">
        <v>336</v>
      </c>
      <c r="G5" s="10">
        <v>36360</v>
      </c>
      <c r="H5" s="10">
        <v>31.43</v>
      </c>
      <c r="I5" s="10">
        <v>-85.64</v>
      </c>
      <c r="J5" s="10" t="s">
        <v>335</v>
      </c>
      <c r="K5" s="10" t="s">
        <v>337</v>
      </c>
      <c r="L5" s="10">
        <v>14902</v>
      </c>
      <c r="M5" s="27">
        <f t="shared" si="0"/>
        <v>1309.2487336068932</v>
      </c>
      <c r="N5" s="33" t="s">
        <v>349</v>
      </c>
      <c r="O5" s="23" t="s">
        <v>336</v>
      </c>
      <c r="P5" s="31"/>
      <c r="Q5" s="31">
        <f>$B$5-Table1[[#This Row],[Latitude]]</f>
        <v>11.630000000000003</v>
      </c>
      <c r="R5" s="31">
        <f>$B$6-Table1[[#This Row],[Longitude]]</f>
        <v>-2.3199999999999932</v>
      </c>
    </row>
    <row r="6" spans="1:18">
      <c r="A6" s="25" t="s">
        <v>723</v>
      </c>
      <c r="B6">
        <f t="array" ref="B6">INDEX(Table1[[City]:[Longitude]],MATCH(B3&amp;B2,Table1[City]&amp;Table1[State],0),5)</f>
        <v>-87.96</v>
      </c>
      <c r="E6" s="8" t="s">
        <v>350</v>
      </c>
      <c r="F6" s="10" t="s">
        <v>336</v>
      </c>
      <c r="G6" s="10">
        <v>36362</v>
      </c>
      <c r="H6" s="10">
        <v>31.34</v>
      </c>
      <c r="I6" s="10">
        <v>-85.71</v>
      </c>
      <c r="J6" s="10" t="s">
        <v>335</v>
      </c>
      <c r="K6" s="10" t="s">
        <v>337</v>
      </c>
      <c r="L6" s="10">
        <v>3288</v>
      </c>
      <c r="M6" s="27">
        <f t="shared" si="0"/>
        <v>1318.2090292325829</v>
      </c>
      <c r="N6" s="33" t="s">
        <v>350</v>
      </c>
      <c r="O6" s="23" t="s">
        <v>336</v>
      </c>
      <c r="P6" s="31"/>
      <c r="Q6" s="31">
        <f>$B$5-Table1[[#This Row],[Latitude]]</f>
        <v>11.720000000000002</v>
      </c>
      <c r="R6" s="31">
        <f>$B$6-Table1[[#This Row],[Longitude]]</f>
        <v>-2.25</v>
      </c>
    </row>
    <row r="7" spans="1:18">
      <c r="C7" s="25" t="s">
        <v>338</v>
      </c>
      <c r="D7" s="25" t="s">
        <v>339</v>
      </c>
      <c r="E7" s="8" t="s">
        <v>351</v>
      </c>
      <c r="F7" s="10" t="s">
        <v>352</v>
      </c>
      <c r="G7" s="10">
        <v>99501</v>
      </c>
      <c r="H7" s="10">
        <v>61.22</v>
      </c>
      <c r="I7" s="10">
        <v>-149.85</v>
      </c>
      <c r="J7" s="10" t="s">
        <v>335</v>
      </c>
      <c r="K7" s="10" t="s">
        <v>337</v>
      </c>
      <c r="L7" s="10">
        <v>11113</v>
      </c>
      <c r="M7" s="27">
        <f t="shared" si="0"/>
        <v>4466.3953269317462</v>
      </c>
      <c r="N7" s="33" t="s">
        <v>351</v>
      </c>
      <c r="O7" s="23" t="s">
        <v>352</v>
      </c>
      <c r="P7" s="31"/>
      <c r="Q7" s="31">
        <f>$B$5-Table1[[#This Row],[Latitude]]</f>
        <v>-18.159999999999997</v>
      </c>
      <c r="R7" s="31">
        <f>$B$6-Table1[[#This Row],[Longitude]]</f>
        <v>61.89</v>
      </c>
    </row>
    <row r="8" spans="1:18" ht="15" thickBot="1">
      <c r="B8">
        <f>SMALL(Table1[Distance],1)</f>
        <v>9.4935297966003418E-5</v>
      </c>
      <c r="C8" t="str">
        <f t="shared" ref="C8:C37" si="1">VLOOKUP(B8,distancelookup,2,FALSE)</f>
        <v>MILWAUKEE</v>
      </c>
      <c r="D8" t="str">
        <f t="shared" ref="D8:D37" si="2">VLOOKUP(B8,distancelookup,3,FALSE)</f>
        <v>WI</v>
      </c>
      <c r="E8" s="8" t="s">
        <v>353</v>
      </c>
      <c r="F8" s="10" t="s">
        <v>352</v>
      </c>
      <c r="G8" s="10">
        <v>99723</v>
      </c>
      <c r="H8" s="10">
        <v>71.28</v>
      </c>
      <c r="I8" s="10">
        <v>-156.78</v>
      </c>
      <c r="J8" s="10" t="s">
        <v>342</v>
      </c>
      <c r="K8" s="10" t="s">
        <v>337</v>
      </c>
      <c r="L8" s="10">
        <v>3328</v>
      </c>
      <c r="M8" s="27">
        <f t="shared" si="0"/>
        <v>4781.2580964717872</v>
      </c>
      <c r="N8" s="33" t="s">
        <v>353</v>
      </c>
      <c r="O8" s="23" t="s">
        <v>352</v>
      </c>
      <c r="P8" s="31"/>
      <c r="Q8" s="31">
        <f>$B$5-Table1[[#This Row],[Latitude]]</f>
        <v>-28.22</v>
      </c>
      <c r="R8" s="31">
        <f>$B$6-Table1[[#This Row],[Longitude]]</f>
        <v>68.820000000000007</v>
      </c>
    </row>
    <row r="9" spans="1:18">
      <c r="A9" s="25" t="s">
        <v>729</v>
      </c>
      <c r="B9" s="39">
        <f>SMALL(Table1[Distance],2)</f>
        <v>115.36014869924843</v>
      </c>
      <c r="C9" s="40" t="str">
        <f t="shared" si="1"/>
        <v>MADISON</v>
      </c>
      <c r="D9" s="41" t="str">
        <f t="shared" si="2"/>
        <v>WI</v>
      </c>
      <c r="E9" s="10" t="s">
        <v>354</v>
      </c>
      <c r="F9" s="10" t="s">
        <v>352</v>
      </c>
      <c r="G9" s="10">
        <v>99571</v>
      </c>
      <c r="H9" s="10">
        <v>55.92</v>
      </c>
      <c r="I9" s="10">
        <v>-160.29</v>
      </c>
      <c r="J9" s="10" t="s">
        <v>342</v>
      </c>
      <c r="K9" s="10" t="s">
        <v>337</v>
      </c>
      <c r="L9" s="9"/>
      <c r="M9" s="27">
        <f t="shared" si="0"/>
        <v>5158.0832125142097</v>
      </c>
      <c r="N9" s="33" t="s">
        <v>354</v>
      </c>
      <c r="O9" s="23" t="s">
        <v>352</v>
      </c>
      <c r="P9" s="31"/>
      <c r="Q9" s="31">
        <f>$B$5-Table1[[#This Row],[Latitude]]</f>
        <v>-12.86</v>
      </c>
      <c r="R9" s="31">
        <f>$B$6-Table1[[#This Row],[Longitude]]</f>
        <v>72.33</v>
      </c>
    </row>
    <row r="10" spans="1:18">
      <c r="B10" s="42">
        <f>SMALL(Table1[Distance],3)</f>
        <v>117.89225206292508</v>
      </c>
      <c r="C10" s="43" t="str">
        <f t="shared" si="1"/>
        <v>ELK GROVE VILLAGE</v>
      </c>
      <c r="D10" s="44" t="str">
        <f t="shared" si="2"/>
        <v>IL</v>
      </c>
      <c r="E10" s="10" t="s">
        <v>355</v>
      </c>
      <c r="F10" s="10" t="s">
        <v>352</v>
      </c>
      <c r="G10" s="10">
        <v>99701</v>
      </c>
      <c r="H10" s="10">
        <v>64.81</v>
      </c>
      <c r="I10" s="10">
        <v>-147.72</v>
      </c>
      <c r="J10" s="10" t="s">
        <v>335</v>
      </c>
      <c r="K10" s="10" t="s">
        <v>337</v>
      </c>
      <c r="L10" s="10">
        <v>12139</v>
      </c>
      <c r="M10" s="27">
        <f t="shared" si="0"/>
        <v>4363.838678316155</v>
      </c>
      <c r="N10" s="33" t="s">
        <v>355</v>
      </c>
      <c r="O10" s="23" t="s">
        <v>352</v>
      </c>
      <c r="P10" s="31"/>
      <c r="Q10" s="31">
        <f>$B$5-Table1[[#This Row],[Latitude]]</f>
        <v>-21.75</v>
      </c>
      <c r="R10" s="31">
        <f>$B$6-Table1[[#This Row],[Longitude]]</f>
        <v>59.760000000000005</v>
      </c>
    </row>
    <row r="11" spans="1:18">
      <c r="B11" s="42">
        <f>SMALL(Table1[Distance],4)</f>
        <v>125.71967440954941</v>
      </c>
      <c r="C11" s="43" t="str">
        <f t="shared" si="1"/>
        <v>ROCKFORD</v>
      </c>
      <c r="D11" s="44" t="str">
        <f t="shared" si="2"/>
        <v>IL</v>
      </c>
      <c r="E11" s="10" t="s">
        <v>356</v>
      </c>
      <c r="F11" s="10" t="s">
        <v>352</v>
      </c>
      <c r="G11" s="10">
        <v>99801</v>
      </c>
      <c r="H11" s="10">
        <v>58.58</v>
      </c>
      <c r="I11" s="10">
        <v>-134.77000000000001</v>
      </c>
      <c r="J11" s="10" t="s">
        <v>335</v>
      </c>
      <c r="K11" s="10" t="s">
        <v>337</v>
      </c>
      <c r="L11" s="10">
        <v>18213</v>
      </c>
      <c r="M11" s="27">
        <f t="shared" si="0"/>
        <v>3614.4862860819967</v>
      </c>
      <c r="N11" s="33" t="s">
        <v>356</v>
      </c>
      <c r="O11" s="23" t="s">
        <v>352</v>
      </c>
      <c r="P11" s="31"/>
      <c r="Q11" s="31">
        <f>$B$5-Table1[[#This Row],[Latitude]]</f>
        <v>-15.519999999999996</v>
      </c>
      <c r="R11" s="31">
        <f>$B$6-Table1[[#This Row],[Longitude]]</f>
        <v>46.810000000000016</v>
      </c>
    </row>
    <row r="12" spans="1:18">
      <c r="B12" s="42">
        <f>SMALL(Table1[Distance],5)</f>
        <v>139.87822493613766</v>
      </c>
      <c r="C12" s="43" t="str">
        <f t="shared" si="1"/>
        <v>MUSKEGON</v>
      </c>
      <c r="D12" s="44" t="str">
        <f t="shared" si="2"/>
        <v>MI</v>
      </c>
      <c r="E12" s="10" t="s">
        <v>357</v>
      </c>
      <c r="F12" s="10" t="s">
        <v>352</v>
      </c>
      <c r="G12" s="10">
        <v>99615</v>
      </c>
      <c r="H12" s="10">
        <v>57.79</v>
      </c>
      <c r="I12" s="10">
        <v>-152.4</v>
      </c>
      <c r="J12" s="10" t="s">
        <v>335</v>
      </c>
      <c r="K12" s="10" t="s">
        <v>337</v>
      </c>
      <c r="L12" s="10">
        <v>11442</v>
      </c>
      <c r="M12" s="27">
        <f t="shared" si="0"/>
        <v>4645.6499951515334</v>
      </c>
      <c r="N12" s="33" t="s">
        <v>357</v>
      </c>
      <c r="O12" s="23" t="s">
        <v>352</v>
      </c>
      <c r="P12" s="31"/>
      <c r="Q12" s="31">
        <f>$B$5-Table1[[#This Row],[Latitude]]</f>
        <v>-14.729999999999997</v>
      </c>
      <c r="R12" s="31">
        <f>$B$6-Table1[[#This Row],[Longitude]]</f>
        <v>64.440000000000012</v>
      </c>
    </row>
    <row r="13" spans="1:18">
      <c r="B13" s="42">
        <f>SMALL(Table1[Distance],6)</f>
        <v>147.69303726353061</v>
      </c>
      <c r="C13" s="43" t="str">
        <f t="shared" si="1"/>
        <v>BURBANK</v>
      </c>
      <c r="D13" s="44" t="str">
        <f t="shared" si="2"/>
        <v>IL</v>
      </c>
      <c r="E13" s="10" t="s">
        <v>358</v>
      </c>
      <c r="F13" s="10" t="s">
        <v>352</v>
      </c>
      <c r="G13" s="10">
        <v>99762</v>
      </c>
      <c r="H13" s="10">
        <v>64.709999999999994</v>
      </c>
      <c r="I13" s="10">
        <v>-164.62</v>
      </c>
      <c r="J13" s="10" t="s">
        <v>342</v>
      </c>
      <c r="K13" s="10" t="s">
        <v>337</v>
      </c>
      <c r="L13" s="10">
        <v>3049</v>
      </c>
      <c r="M13" s="27">
        <f t="shared" si="0"/>
        <v>5161.8765294344967</v>
      </c>
      <c r="N13" s="33" t="s">
        <v>358</v>
      </c>
      <c r="O13" s="23" t="s">
        <v>352</v>
      </c>
      <c r="P13" s="31"/>
      <c r="Q13" s="31">
        <f>$B$5-Table1[[#This Row],[Latitude]]</f>
        <v>-21.649999999999991</v>
      </c>
      <c r="R13" s="31">
        <f>$B$6-Table1[[#This Row],[Longitude]]</f>
        <v>76.660000000000011</v>
      </c>
    </row>
    <row r="14" spans="1:18">
      <c r="B14" s="42">
        <f>SMALL(Table1[Distance],7)</f>
        <v>162.3525287692222</v>
      </c>
      <c r="C14" s="43" t="str">
        <f t="shared" si="1"/>
        <v>GREEN BAY</v>
      </c>
      <c r="D14" s="44" t="str">
        <f t="shared" si="2"/>
        <v>WI</v>
      </c>
      <c r="E14" s="10" t="s">
        <v>359</v>
      </c>
      <c r="F14" s="10" t="s">
        <v>360</v>
      </c>
      <c r="G14" s="10">
        <v>86001</v>
      </c>
      <c r="H14" s="10">
        <v>35.229999999999997</v>
      </c>
      <c r="I14" s="10">
        <v>-111.72</v>
      </c>
      <c r="J14" s="10" t="s">
        <v>335</v>
      </c>
      <c r="K14" s="10" t="s">
        <v>337</v>
      </c>
      <c r="L14" s="10">
        <v>27443</v>
      </c>
      <c r="M14" s="27">
        <f t="shared" si="0"/>
        <v>2216.4639304724465</v>
      </c>
      <c r="N14" s="33" t="s">
        <v>359</v>
      </c>
      <c r="O14" s="23" t="s">
        <v>360</v>
      </c>
      <c r="P14" s="31"/>
      <c r="Q14" s="31">
        <f>$B$5-Table1[[#This Row],[Latitude]]</f>
        <v>7.8300000000000054</v>
      </c>
      <c r="R14" s="31">
        <f>$B$6-Table1[[#This Row],[Longitude]]</f>
        <v>23.760000000000005</v>
      </c>
    </row>
    <row r="15" spans="1:18">
      <c r="B15" s="42">
        <f>SMALL(Table1[Distance],8)</f>
        <v>174.1420222985472</v>
      </c>
      <c r="C15" s="43" t="str">
        <f t="shared" si="1"/>
        <v>HIGHLAND</v>
      </c>
      <c r="D15" s="44" t="str">
        <f t="shared" si="2"/>
        <v>IN</v>
      </c>
      <c r="E15" s="10" t="s">
        <v>361</v>
      </c>
      <c r="F15" s="10" t="s">
        <v>360</v>
      </c>
      <c r="G15" s="10">
        <v>85001</v>
      </c>
      <c r="H15" s="10">
        <v>33.450000000000003</v>
      </c>
      <c r="I15" s="10">
        <v>-112.06</v>
      </c>
      <c r="J15" s="10" t="s">
        <v>342</v>
      </c>
      <c r="K15" s="10" t="s">
        <v>337</v>
      </c>
      <c r="L15" s="10">
        <v>459</v>
      </c>
      <c r="M15" s="27">
        <f t="shared" si="0"/>
        <v>2348.4198880967192</v>
      </c>
      <c r="N15" s="33" t="s">
        <v>361</v>
      </c>
      <c r="O15" s="23" t="s">
        <v>360</v>
      </c>
      <c r="P15" s="31"/>
      <c r="Q15" s="31">
        <f>$B$5-Table1[[#This Row],[Latitude]]</f>
        <v>9.61</v>
      </c>
      <c r="R15" s="31">
        <f>$B$6-Table1[[#This Row],[Longitude]]</f>
        <v>24.100000000000009</v>
      </c>
    </row>
    <row r="16" spans="1:18">
      <c r="B16" s="42">
        <f>SMALL(Table1[Distance],9)</f>
        <v>176.58321354289859</v>
      </c>
      <c r="C16" s="43" t="str">
        <f t="shared" si="1"/>
        <v>SAWYER</v>
      </c>
      <c r="D16" s="44" t="str">
        <f t="shared" si="2"/>
        <v>MI</v>
      </c>
      <c r="E16" s="10" t="s">
        <v>362</v>
      </c>
      <c r="F16" s="10" t="s">
        <v>360</v>
      </c>
      <c r="G16" s="10">
        <v>85701</v>
      </c>
      <c r="H16" s="10">
        <v>32.21</v>
      </c>
      <c r="I16" s="10">
        <v>-110.96</v>
      </c>
      <c r="J16" s="10" t="s">
        <v>335</v>
      </c>
      <c r="K16" s="10" t="s">
        <v>337</v>
      </c>
      <c r="L16" s="10">
        <v>3370</v>
      </c>
      <c r="M16" s="27">
        <f t="shared" si="0"/>
        <v>2345.7455353563337</v>
      </c>
      <c r="N16" s="33" t="s">
        <v>362</v>
      </c>
      <c r="O16" s="23" t="s">
        <v>360</v>
      </c>
      <c r="P16" s="31"/>
      <c r="Q16" s="31">
        <f>$B$5-Table1[[#This Row],[Latitude]]</f>
        <v>10.850000000000001</v>
      </c>
      <c r="R16" s="31">
        <f>$B$6-Table1[[#This Row],[Longitude]]</f>
        <v>23</v>
      </c>
    </row>
    <row r="17" spans="2:18">
      <c r="B17" s="42">
        <f>SMALL(Table1[Distance],10)</f>
        <v>188.14800099764415</v>
      </c>
      <c r="C17" s="43" t="str">
        <f t="shared" si="1"/>
        <v>GRAND RAPIDS</v>
      </c>
      <c r="D17" s="44" t="str">
        <f t="shared" si="2"/>
        <v>MI</v>
      </c>
      <c r="E17" s="10" t="s">
        <v>363</v>
      </c>
      <c r="F17" s="10" t="s">
        <v>360</v>
      </c>
      <c r="G17" s="10">
        <v>86047</v>
      </c>
      <c r="H17" s="10">
        <v>35.1</v>
      </c>
      <c r="I17" s="10">
        <v>-110.64</v>
      </c>
      <c r="J17" s="10" t="s">
        <v>335</v>
      </c>
      <c r="K17" s="10" t="s">
        <v>337</v>
      </c>
      <c r="L17" s="10">
        <v>9122</v>
      </c>
      <c r="M17" s="27">
        <f t="shared" si="0"/>
        <v>2139.4995163037338</v>
      </c>
      <c r="N17" s="33" t="s">
        <v>363</v>
      </c>
      <c r="O17" s="23" t="s">
        <v>360</v>
      </c>
      <c r="P17" s="31"/>
      <c r="Q17" s="31">
        <f>$B$5-Table1[[#This Row],[Latitude]]</f>
        <v>7.9600000000000009</v>
      </c>
      <c r="R17" s="31">
        <f>$B$6-Table1[[#This Row],[Longitude]]</f>
        <v>22.680000000000007</v>
      </c>
    </row>
    <row r="18" spans="2:18">
      <c r="B18" s="42">
        <f>SMALL(Table1[Distance],11)</f>
        <v>231.33005337497266</v>
      </c>
      <c r="C18" s="43" t="str">
        <f t="shared" si="1"/>
        <v>DUBUQUE</v>
      </c>
      <c r="D18" s="44" t="str">
        <f t="shared" si="2"/>
        <v>IA</v>
      </c>
      <c r="E18" s="10" t="s">
        <v>364</v>
      </c>
      <c r="F18" s="10" t="s">
        <v>360</v>
      </c>
      <c r="G18" s="10">
        <v>85364</v>
      </c>
      <c r="H18" s="10">
        <v>32.68</v>
      </c>
      <c r="I18" s="10">
        <v>-114.66</v>
      </c>
      <c r="J18" s="10" t="s">
        <v>335</v>
      </c>
      <c r="K18" s="10" t="s">
        <v>337</v>
      </c>
      <c r="L18" s="10">
        <v>51977</v>
      </c>
      <c r="M18" s="27">
        <f t="shared" si="0"/>
        <v>2597.0561044677584</v>
      </c>
      <c r="N18" s="33" t="s">
        <v>364</v>
      </c>
      <c r="O18" s="23" t="s">
        <v>360</v>
      </c>
      <c r="P18" s="31"/>
      <c r="Q18" s="31">
        <f>$B$5-Table1[[#This Row],[Latitude]]</f>
        <v>10.380000000000003</v>
      </c>
      <c r="R18" s="31">
        <f>$B$6-Table1[[#This Row],[Longitude]]</f>
        <v>26.700000000000003</v>
      </c>
    </row>
    <row r="19" spans="2:18">
      <c r="B19" s="42">
        <f>SMALL(Table1[Distance],12)</f>
        <v>271.75054196785703</v>
      </c>
      <c r="C19" s="43" t="str">
        <f t="shared" si="1"/>
        <v>MOLINE</v>
      </c>
      <c r="D19" s="44" t="str">
        <f t="shared" si="2"/>
        <v>IL</v>
      </c>
      <c r="E19" s="10" t="s">
        <v>365</v>
      </c>
      <c r="F19" s="10" t="s">
        <v>366</v>
      </c>
      <c r="G19" s="10">
        <v>72315</v>
      </c>
      <c r="H19" s="10">
        <v>35.93</v>
      </c>
      <c r="I19" s="10">
        <v>-89.92</v>
      </c>
      <c r="J19" s="10" t="s">
        <v>335</v>
      </c>
      <c r="K19" s="10" t="s">
        <v>337</v>
      </c>
      <c r="L19" s="10">
        <v>16578</v>
      </c>
      <c r="M19" s="27">
        <f t="shared" si="0"/>
        <v>810.39262223186006</v>
      </c>
      <c r="N19" s="33" t="s">
        <v>365</v>
      </c>
      <c r="O19" s="23" t="s">
        <v>366</v>
      </c>
      <c r="P19" s="31"/>
      <c r="Q19" s="31">
        <f>$B$5-Table1[[#This Row],[Latitude]]</f>
        <v>7.1300000000000026</v>
      </c>
      <c r="R19" s="31">
        <f>$B$6-Table1[[#This Row],[Longitude]]</f>
        <v>1.960000000000008</v>
      </c>
    </row>
    <row r="20" spans="2:18">
      <c r="B20" s="42">
        <f>SMALL(Table1[Distance],13)</f>
        <v>277.18588268279342</v>
      </c>
      <c r="C20" s="43" t="str">
        <f t="shared" si="1"/>
        <v>LA CROSSE</v>
      </c>
      <c r="D20" s="44" t="str">
        <f t="shared" si="2"/>
        <v>WI</v>
      </c>
      <c r="E20" s="10" t="s">
        <v>367</v>
      </c>
      <c r="F20" s="10" t="s">
        <v>366</v>
      </c>
      <c r="G20" s="10">
        <v>72901</v>
      </c>
      <c r="H20" s="10">
        <v>35.36</v>
      </c>
      <c r="I20" s="10">
        <v>-94.38</v>
      </c>
      <c r="J20" s="10" t="s">
        <v>335</v>
      </c>
      <c r="K20" s="10" t="s">
        <v>337</v>
      </c>
      <c r="L20" s="10">
        <v>14409</v>
      </c>
      <c r="M20" s="27">
        <f t="shared" si="0"/>
        <v>1018.5899100605062</v>
      </c>
      <c r="N20" s="33" t="s">
        <v>367</v>
      </c>
      <c r="O20" s="23" t="s">
        <v>366</v>
      </c>
      <c r="P20" s="31"/>
      <c r="Q20" s="31">
        <f>$B$5-Table1[[#This Row],[Latitude]]</f>
        <v>7.7000000000000028</v>
      </c>
      <c r="R20" s="31">
        <f>$B$6-Table1[[#This Row],[Longitude]]</f>
        <v>6.4200000000000017</v>
      </c>
    </row>
    <row r="21" spans="2:18">
      <c r="B21" s="42">
        <f>SMALL(Table1[Distance],14)</f>
        <v>280.70016351376341</v>
      </c>
      <c r="C21" s="43" t="str">
        <f t="shared" si="1"/>
        <v>LANSING</v>
      </c>
      <c r="D21" s="44" t="str">
        <f t="shared" si="2"/>
        <v>MI</v>
      </c>
      <c r="E21" s="10" t="s">
        <v>368</v>
      </c>
      <c r="F21" s="10" t="s">
        <v>366</v>
      </c>
      <c r="G21" s="10">
        <v>72204</v>
      </c>
      <c r="H21" s="10">
        <v>34.72</v>
      </c>
      <c r="I21" s="10">
        <v>-92.35</v>
      </c>
      <c r="J21" s="10" t="s">
        <v>335</v>
      </c>
      <c r="K21" s="10" t="s">
        <v>337</v>
      </c>
      <c r="L21" s="10">
        <v>22064</v>
      </c>
      <c r="M21" s="27">
        <f t="shared" si="0"/>
        <v>1001.7921690340803</v>
      </c>
      <c r="N21" s="33" t="s">
        <v>368</v>
      </c>
      <c r="O21" s="23" t="s">
        <v>366</v>
      </c>
      <c r="P21" s="31"/>
      <c r="Q21" s="31">
        <f>$B$5-Table1[[#This Row],[Latitude]]</f>
        <v>8.3400000000000034</v>
      </c>
      <c r="R21" s="31">
        <f>$B$6-Table1[[#This Row],[Longitude]]</f>
        <v>4.3900000000000006</v>
      </c>
    </row>
    <row r="22" spans="2:18">
      <c r="B22" s="42">
        <f>SMALL(Table1[Distance],15)</f>
        <v>291.48550794775173</v>
      </c>
      <c r="C22" s="43" t="str">
        <f t="shared" si="1"/>
        <v>PEORIA</v>
      </c>
      <c r="D22" s="44" t="str">
        <f t="shared" si="2"/>
        <v>IL</v>
      </c>
      <c r="E22" s="10" t="s">
        <v>369</v>
      </c>
      <c r="F22" s="10" t="s">
        <v>366</v>
      </c>
      <c r="G22" s="10">
        <v>72116</v>
      </c>
      <c r="H22" s="10">
        <v>34.78</v>
      </c>
      <c r="I22" s="10">
        <v>-92.25</v>
      </c>
      <c r="J22" s="10" t="s">
        <v>335</v>
      </c>
      <c r="K22" s="10" t="s">
        <v>337</v>
      </c>
      <c r="L22" s="10">
        <v>18455</v>
      </c>
      <c r="M22" s="27">
        <f t="shared" si="0"/>
        <v>992.31333694638954</v>
      </c>
      <c r="N22" s="33" t="s">
        <v>369</v>
      </c>
      <c r="O22" s="23" t="s">
        <v>366</v>
      </c>
      <c r="P22" s="31"/>
      <c r="Q22" s="31">
        <f>$B$5-Table1[[#This Row],[Latitude]]</f>
        <v>8.2800000000000011</v>
      </c>
      <c r="R22" s="31">
        <f>$B$6-Table1[[#This Row],[Longitude]]</f>
        <v>4.2900000000000063</v>
      </c>
    </row>
    <row r="23" spans="2:18">
      <c r="B23" s="42">
        <f>SMALL(Table1[Distance],16)</f>
        <v>301.14572277549524</v>
      </c>
      <c r="C23" s="43" t="str">
        <f t="shared" si="1"/>
        <v>PERU</v>
      </c>
      <c r="D23" s="44" t="str">
        <f t="shared" si="2"/>
        <v>IN</v>
      </c>
      <c r="E23" s="10" t="s">
        <v>370</v>
      </c>
      <c r="F23" s="10" t="s">
        <v>371</v>
      </c>
      <c r="G23" s="10">
        <v>94501</v>
      </c>
      <c r="H23" s="10">
        <v>37.770000000000003</v>
      </c>
      <c r="I23" s="10">
        <v>-122.27</v>
      </c>
      <c r="J23" s="10" t="s">
        <v>335</v>
      </c>
      <c r="K23" s="10" t="s">
        <v>337</v>
      </c>
      <c r="L23" s="10">
        <v>48387</v>
      </c>
      <c r="M23" s="27">
        <f t="shared" si="0"/>
        <v>2942.2038819025365</v>
      </c>
      <c r="N23" s="33" t="s">
        <v>370</v>
      </c>
      <c r="O23" s="23" t="s">
        <v>371</v>
      </c>
      <c r="P23" s="31"/>
      <c r="Q23" s="31">
        <f>$B$5-Table1[[#This Row],[Latitude]]</f>
        <v>5.2899999999999991</v>
      </c>
      <c r="R23" s="31">
        <f>$B$6-Table1[[#This Row],[Longitude]]</f>
        <v>34.31</v>
      </c>
    </row>
    <row r="24" spans="2:18">
      <c r="B24" s="42">
        <f>SMALL(Table1[Distance],17)</f>
        <v>307.30310755503399</v>
      </c>
      <c r="C24" s="43" t="str">
        <f t="shared" si="1"/>
        <v>RANTOUL</v>
      </c>
      <c r="D24" s="44" t="str">
        <f t="shared" si="2"/>
        <v>IL</v>
      </c>
      <c r="E24" s="10" t="s">
        <v>372</v>
      </c>
      <c r="F24" s="10" t="s">
        <v>371</v>
      </c>
      <c r="G24" s="10">
        <v>92404</v>
      </c>
      <c r="H24" s="10">
        <v>34.17</v>
      </c>
      <c r="I24" s="10">
        <v>-117.24</v>
      </c>
      <c r="J24" s="10" t="s">
        <v>335</v>
      </c>
      <c r="K24" s="10" t="s">
        <v>337</v>
      </c>
      <c r="L24" s="10">
        <v>37086</v>
      </c>
      <c r="M24" s="27">
        <f t="shared" si="0"/>
        <v>2712.0653452610604</v>
      </c>
      <c r="N24" s="33" t="s">
        <v>372</v>
      </c>
      <c r="O24" s="23" t="s">
        <v>371</v>
      </c>
      <c r="P24" s="31"/>
      <c r="Q24" s="31">
        <f>$B$5-Table1[[#This Row],[Latitude]]</f>
        <v>8.89</v>
      </c>
      <c r="R24" s="31">
        <f>$B$6-Table1[[#This Row],[Longitude]]</f>
        <v>29.28</v>
      </c>
    </row>
    <row r="25" spans="2:18">
      <c r="B25" s="42">
        <f>SMALL(Table1[Distance],18)</f>
        <v>321.73903904579288</v>
      </c>
      <c r="C25" s="43" t="str">
        <f t="shared" si="1"/>
        <v>FORT WAYNE</v>
      </c>
      <c r="D25" s="44" t="str">
        <f t="shared" si="2"/>
        <v>IN</v>
      </c>
      <c r="E25" s="10" t="s">
        <v>373</v>
      </c>
      <c r="F25" s="10" t="s">
        <v>371</v>
      </c>
      <c r="G25" s="10">
        <v>93381</v>
      </c>
      <c r="H25" s="10">
        <v>35.369999999999997</v>
      </c>
      <c r="I25" s="10">
        <v>-119.01</v>
      </c>
      <c r="J25" s="10" t="s">
        <v>335</v>
      </c>
      <c r="K25" s="10" t="s">
        <v>337</v>
      </c>
      <c r="L25" s="9"/>
      <c r="M25" s="27">
        <f t="shared" si="0"/>
        <v>2789.9095122205417</v>
      </c>
      <c r="N25" s="33" t="s">
        <v>373</v>
      </c>
      <c r="O25" s="23" t="s">
        <v>371</v>
      </c>
      <c r="P25" s="31"/>
      <c r="Q25" s="31">
        <f>$B$5-Table1[[#This Row],[Latitude]]</f>
        <v>7.6900000000000048</v>
      </c>
      <c r="R25" s="31">
        <f>$B$6-Table1[[#This Row],[Longitude]]</f>
        <v>31.050000000000011</v>
      </c>
    </row>
    <row r="26" spans="2:18">
      <c r="B26" s="42">
        <f>SMALL(Table1[Distance],19)</f>
        <v>347.01335839697879</v>
      </c>
      <c r="C26" s="43" t="str">
        <f t="shared" si="1"/>
        <v>FLINT</v>
      </c>
      <c r="D26" s="44" t="str">
        <f t="shared" si="2"/>
        <v>MI</v>
      </c>
      <c r="E26" s="10" t="s">
        <v>374</v>
      </c>
      <c r="F26" s="10" t="s">
        <v>371</v>
      </c>
      <c r="G26" s="10">
        <v>93514</v>
      </c>
      <c r="H26" s="10">
        <v>37.5</v>
      </c>
      <c r="I26" s="10">
        <v>-118.31</v>
      </c>
      <c r="J26" s="10" t="s">
        <v>335</v>
      </c>
      <c r="K26" s="10" t="s">
        <v>337</v>
      </c>
      <c r="L26" s="10">
        <v>10011</v>
      </c>
      <c r="M26" s="27">
        <f t="shared" si="0"/>
        <v>2632.245689987762</v>
      </c>
      <c r="N26" s="33" t="s">
        <v>374</v>
      </c>
      <c r="O26" s="23" t="s">
        <v>371</v>
      </c>
      <c r="P26" s="31"/>
      <c r="Q26" s="31">
        <f>$B$5-Table1[[#This Row],[Latitude]]</f>
        <v>5.5600000000000023</v>
      </c>
      <c r="R26" s="31">
        <f>$B$6-Table1[[#This Row],[Longitude]]</f>
        <v>30.350000000000009</v>
      </c>
    </row>
    <row r="27" spans="2:18">
      <c r="B27" s="42">
        <f>SMALL(Table1[Distance],20)</f>
        <v>363.82928007904269</v>
      </c>
      <c r="C27" s="43" t="str">
        <f t="shared" si="1"/>
        <v>WATERLOO</v>
      </c>
      <c r="D27" s="44" t="str">
        <f t="shared" si="2"/>
        <v>IA</v>
      </c>
      <c r="E27" s="10" t="s">
        <v>375</v>
      </c>
      <c r="F27" s="10" t="s">
        <v>371</v>
      </c>
      <c r="G27" s="10">
        <v>92055</v>
      </c>
      <c r="H27" s="10">
        <v>33.29</v>
      </c>
      <c r="I27" s="10">
        <v>-117.3</v>
      </c>
      <c r="J27" s="10" t="s">
        <v>335</v>
      </c>
      <c r="K27" s="10" t="s">
        <v>337</v>
      </c>
      <c r="L27" s="10">
        <v>6130</v>
      </c>
      <c r="M27" s="27">
        <f t="shared" si="0"/>
        <v>2767.0703762828757</v>
      </c>
      <c r="N27" s="33" t="s">
        <v>375</v>
      </c>
      <c r="O27" s="23" t="s">
        <v>371</v>
      </c>
      <c r="P27" s="31"/>
      <c r="Q27" s="31">
        <f>$B$5-Table1[[#This Row],[Latitude]]</f>
        <v>9.7700000000000031</v>
      </c>
      <c r="R27" s="31">
        <f>$B$6-Table1[[#This Row],[Longitude]]</f>
        <v>29.340000000000003</v>
      </c>
    </row>
    <row r="28" spans="2:18">
      <c r="B28" s="42">
        <f>SMALL(Table1[Distance],21)</f>
        <v>378.53460029378641</v>
      </c>
      <c r="C28" s="43" t="str">
        <f t="shared" si="1"/>
        <v>ROCHESTER</v>
      </c>
      <c r="D28" s="44" t="str">
        <f t="shared" si="2"/>
        <v>MN</v>
      </c>
      <c r="E28" s="10" t="s">
        <v>376</v>
      </c>
      <c r="F28" s="10" t="s">
        <v>371</v>
      </c>
      <c r="G28" s="10">
        <v>93523</v>
      </c>
      <c r="H28" s="10">
        <v>34.96</v>
      </c>
      <c r="I28" s="10">
        <v>-117.87</v>
      </c>
      <c r="J28" s="10" t="s">
        <v>335</v>
      </c>
      <c r="K28" s="10" t="s">
        <v>337</v>
      </c>
      <c r="L28" s="10">
        <v>2354</v>
      </c>
      <c r="M28" s="27">
        <f t="shared" si="0"/>
        <v>2719.5328849466655</v>
      </c>
      <c r="N28" s="33" t="s">
        <v>376</v>
      </c>
      <c r="O28" s="23" t="s">
        <v>371</v>
      </c>
      <c r="P28" s="31"/>
      <c r="Q28" s="31">
        <f>$B$5-Table1[[#This Row],[Latitude]]</f>
        <v>8.1000000000000014</v>
      </c>
      <c r="R28" s="31">
        <f>$B$6-Table1[[#This Row],[Longitude]]</f>
        <v>29.910000000000011</v>
      </c>
    </row>
    <row r="29" spans="2:18">
      <c r="B29" s="42">
        <f>SMALL(Table1[Distance],22)</f>
        <v>390.66395128122849</v>
      </c>
      <c r="C29" s="43" t="str">
        <f t="shared" si="1"/>
        <v>MARQUETTE</v>
      </c>
      <c r="D29" s="44" t="str">
        <f t="shared" si="2"/>
        <v>MI</v>
      </c>
      <c r="E29" s="10" t="s">
        <v>377</v>
      </c>
      <c r="F29" s="10" t="s">
        <v>371</v>
      </c>
      <c r="G29" s="10">
        <v>95501</v>
      </c>
      <c r="H29" s="10">
        <v>40.799999999999997</v>
      </c>
      <c r="I29" s="10">
        <v>-124.15</v>
      </c>
      <c r="J29" s="10" t="s">
        <v>335</v>
      </c>
      <c r="K29" s="10" t="s">
        <v>337</v>
      </c>
      <c r="L29" s="10">
        <v>14321</v>
      </c>
      <c r="M29" s="27">
        <f t="shared" si="0"/>
        <v>2981.0836637267153</v>
      </c>
      <c r="N29" s="33" t="s">
        <v>377</v>
      </c>
      <c r="O29" s="23" t="s">
        <v>371</v>
      </c>
      <c r="P29" s="31"/>
      <c r="Q29" s="31">
        <f>$B$5-Table1[[#This Row],[Latitude]]</f>
        <v>2.2600000000000051</v>
      </c>
      <c r="R29" s="31">
        <f>$B$6-Table1[[#This Row],[Longitude]]</f>
        <v>36.190000000000012</v>
      </c>
    </row>
    <row r="30" spans="2:18">
      <c r="B30" s="42">
        <f>SMALL(Table1[Distance],23)</f>
        <v>390.67253428762154</v>
      </c>
      <c r="C30" s="43" t="str">
        <f t="shared" si="1"/>
        <v>SPRINGFIELD</v>
      </c>
      <c r="D30" s="44" t="str">
        <f t="shared" si="2"/>
        <v>IL</v>
      </c>
      <c r="E30" s="10" t="s">
        <v>378</v>
      </c>
      <c r="F30" s="10" t="s">
        <v>371</v>
      </c>
      <c r="G30" s="10">
        <v>94533</v>
      </c>
      <c r="H30" s="10">
        <v>38.28</v>
      </c>
      <c r="I30" s="10">
        <v>-122</v>
      </c>
      <c r="J30" s="10" t="s">
        <v>335</v>
      </c>
      <c r="K30" s="10" t="s">
        <v>337</v>
      </c>
      <c r="L30" s="10">
        <v>51145</v>
      </c>
      <c r="M30" s="27">
        <f t="shared" si="0"/>
        <v>2899.0647644472556</v>
      </c>
      <c r="N30" s="33" t="s">
        <v>378</v>
      </c>
      <c r="O30" s="23" t="s">
        <v>371</v>
      </c>
      <c r="P30" s="31"/>
      <c r="Q30" s="31">
        <f>$B$5-Table1[[#This Row],[Latitude]]</f>
        <v>4.7800000000000011</v>
      </c>
      <c r="R30" s="31">
        <f>$B$6-Table1[[#This Row],[Longitude]]</f>
        <v>34.040000000000006</v>
      </c>
    </row>
    <row r="31" spans="2:18">
      <c r="B31" s="42">
        <f>SMALL(Table1[Distance],24)</f>
        <v>392.04318524966703</v>
      </c>
      <c r="C31" s="43" t="str">
        <f t="shared" si="1"/>
        <v>TOLEDO</v>
      </c>
      <c r="D31" s="44" t="str">
        <f t="shared" si="2"/>
        <v>OH</v>
      </c>
      <c r="E31" s="10" t="s">
        <v>379</v>
      </c>
      <c r="F31" s="10" t="s">
        <v>371</v>
      </c>
      <c r="G31" s="10">
        <v>93702</v>
      </c>
      <c r="H31" s="10">
        <v>36.74</v>
      </c>
      <c r="I31" s="10">
        <v>-119.75</v>
      </c>
      <c r="J31" s="10" t="s">
        <v>335</v>
      </c>
      <c r="K31" s="10" t="s">
        <v>337</v>
      </c>
      <c r="L31" s="10">
        <v>27772</v>
      </c>
      <c r="M31" s="27">
        <f t="shared" si="0"/>
        <v>2783.1838155235373</v>
      </c>
      <c r="N31" s="33" t="s">
        <v>379</v>
      </c>
      <c r="O31" s="23" t="s">
        <v>371</v>
      </c>
      <c r="P31" s="31"/>
      <c r="Q31" s="31">
        <f>$B$5-Table1[[#This Row],[Latitude]]</f>
        <v>6.32</v>
      </c>
      <c r="R31" s="31">
        <f>$B$6-Table1[[#This Row],[Longitude]]</f>
        <v>31.790000000000006</v>
      </c>
    </row>
    <row r="32" spans="2:18">
      <c r="B32" s="42">
        <f>SMALL(Table1[Distance],25)</f>
        <v>396.0356967976528</v>
      </c>
      <c r="C32" s="43" t="str">
        <f t="shared" si="1"/>
        <v>INDIANAPOLIS</v>
      </c>
      <c r="D32" s="44" t="str">
        <f t="shared" si="2"/>
        <v>IN</v>
      </c>
      <c r="E32" s="10" t="s">
        <v>380</v>
      </c>
      <c r="F32" s="10" t="s">
        <v>371</v>
      </c>
      <c r="G32" s="10">
        <v>90845</v>
      </c>
      <c r="H32" s="10">
        <v>33.770000000000003</v>
      </c>
      <c r="I32" s="10">
        <v>-118.18</v>
      </c>
      <c r="J32" s="10" t="s">
        <v>381</v>
      </c>
      <c r="K32" s="10" t="s">
        <v>337</v>
      </c>
      <c r="L32" s="9"/>
      <c r="M32" s="27">
        <f t="shared" si="0"/>
        <v>2809.3488337415083</v>
      </c>
      <c r="N32" s="33" t="s">
        <v>380</v>
      </c>
      <c r="O32" s="23" t="s">
        <v>371</v>
      </c>
      <c r="P32" s="31"/>
      <c r="Q32" s="31">
        <f>$B$5-Table1[[#This Row],[Latitude]]</f>
        <v>9.2899999999999991</v>
      </c>
      <c r="R32" s="31">
        <f>$B$6-Table1[[#This Row],[Longitude]]</f>
        <v>30.220000000000013</v>
      </c>
    </row>
    <row r="33" spans="2:18">
      <c r="B33" s="42">
        <f>SMALL(Table1[Distance],26)</f>
        <v>401.4497209973577</v>
      </c>
      <c r="C33" s="43" t="str">
        <f t="shared" si="1"/>
        <v>Oscada</v>
      </c>
      <c r="D33" s="44" t="str">
        <f t="shared" si="2"/>
        <v>MI</v>
      </c>
      <c r="E33" s="10" t="s">
        <v>382</v>
      </c>
      <c r="F33" s="10" t="s">
        <v>371</v>
      </c>
      <c r="G33" s="10">
        <v>90245</v>
      </c>
      <c r="H33" s="10">
        <v>33.909999999999997</v>
      </c>
      <c r="I33" s="10">
        <v>-118.4</v>
      </c>
      <c r="J33" s="10" t="s">
        <v>335</v>
      </c>
      <c r="K33" s="10" t="s">
        <v>337</v>
      </c>
      <c r="L33" s="10">
        <v>15421</v>
      </c>
      <c r="M33" s="27">
        <f t="shared" si="0"/>
        <v>2819.0227918972605</v>
      </c>
      <c r="N33" s="33" t="s">
        <v>382</v>
      </c>
      <c r="O33" s="23" t="s">
        <v>371</v>
      </c>
      <c r="P33" s="31"/>
      <c r="Q33" s="31">
        <f>$B$5-Table1[[#This Row],[Latitude]]</f>
        <v>9.1500000000000057</v>
      </c>
      <c r="R33" s="31">
        <f>$B$6-Table1[[#This Row],[Longitude]]</f>
        <v>30.440000000000012</v>
      </c>
    </row>
    <row r="34" spans="2:18">
      <c r="B34" s="42">
        <f>SMALL(Table1[Distance],27)</f>
        <v>404.09930389265429</v>
      </c>
      <c r="C34" s="43" t="str">
        <f t="shared" si="1"/>
        <v>DETROIT</v>
      </c>
      <c r="D34" s="44" t="str">
        <f t="shared" si="2"/>
        <v>MI</v>
      </c>
      <c r="E34" s="10" t="s">
        <v>383</v>
      </c>
      <c r="F34" s="10" t="s">
        <v>371</v>
      </c>
      <c r="G34" s="10">
        <v>90001</v>
      </c>
      <c r="H34" s="10">
        <v>33.97</v>
      </c>
      <c r="I34" s="10">
        <v>-118.24</v>
      </c>
      <c r="J34" s="10" t="s">
        <v>335</v>
      </c>
      <c r="K34" s="10" t="s">
        <v>337</v>
      </c>
      <c r="L34" s="10">
        <v>36200</v>
      </c>
      <c r="M34" s="27">
        <f t="shared" si="0"/>
        <v>2802.9084979711361</v>
      </c>
      <c r="N34" s="33" t="s">
        <v>383</v>
      </c>
      <c r="O34" s="23" t="s">
        <v>371</v>
      </c>
      <c r="P34" s="31"/>
      <c r="Q34" s="31">
        <f>$B$5-Table1[[#This Row],[Latitude]]</f>
        <v>9.0900000000000034</v>
      </c>
      <c r="R34" s="31">
        <f>$B$6-Table1[[#This Row],[Longitude]]</f>
        <v>30.28</v>
      </c>
    </row>
    <row r="35" spans="2:18">
      <c r="B35" s="42">
        <f>SMALL(Table1[Distance],28)</f>
        <v>425.29053146705803</v>
      </c>
      <c r="C35" s="43" t="str">
        <f t="shared" si="1"/>
        <v>ALPENA</v>
      </c>
      <c r="D35" s="44" t="str">
        <f t="shared" si="2"/>
        <v>MI</v>
      </c>
      <c r="E35" s="10" t="s">
        <v>384</v>
      </c>
      <c r="F35" s="10" t="s">
        <v>371</v>
      </c>
      <c r="G35" s="10">
        <v>95901</v>
      </c>
      <c r="H35" s="10">
        <v>39.15</v>
      </c>
      <c r="I35" s="10">
        <v>-121.47</v>
      </c>
      <c r="J35" s="10" t="s">
        <v>335</v>
      </c>
      <c r="K35" s="10" t="s">
        <v>337</v>
      </c>
      <c r="L35" s="10">
        <v>22529</v>
      </c>
      <c r="M35" s="27">
        <f t="shared" si="0"/>
        <v>2821.9593251195593</v>
      </c>
      <c r="N35" s="33" t="s">
        <v>384</v>
      </c>
      <c r="O35" s="23" t="s">
        <v>371</v>
      </c>
      <c r="P35" s="31"/>
      <c r="Q35" s="31">
        <f>$B$5-Table1[[#This Row],[Latitude]]</f>
        <v>3.9100000000000037</v>
      </c>
      <c r="R35" s="31">
        <f>$B$6-Table1[[#This Row],[Longitude]]</f>
        <v>33.510000000000005</v>
      </c>
    </row>
    <row r="36" spans="2:18">
      <c r="B36" s="42">
        <f>SMALL(Table1[Distance],29)</f>
        <v>461.20189311510495</v>
      </c>
      <c r="C36" s="43" t="str">
        <f t="shared" si="1"/>
        <v>COLUMBUS</v>
      </c>
      <c r="D36" s="44" t="str">
        <f t="shared" si="2"/>
        <v>IN</v>
      </c>
      <c r="E36" s="10" t="s">
        <v>385</v>
      </c>
      <c r="F36" s="10" t="s">
        <v>371</v>
      </c>
      <c r="G36" s="10">
        <v>93940</v>
      </c>
      <c r="H36" s="10">
        <v>36.6</v>
      </c>
      <c r="I36" s="10">
        <v>-121.88</v>
      </c>
      <c r="J36" s="10" t="s">
        <v>335</v>
      </c>
      <c r="K36" s="10" t="s">
        <v>337</v>
      </c>
      <c r="L36" s="10">
        <v>22581</v>
      </c>
      <c r="M36" s="27">
        <f t="shared" si="0"/>
        <v>2962.4413798885453</v>
      </c>
      <c r="N36" s="33" t="s">
        <v>385</v>
      </c>
      <c r="O36" s="23" t="s">
        <v>371</v>
      </c>
      <c r="P36" s="31"/>
      <c r="Q36" s="31">
        <f>$B$5-Table1[[#This Row],[Latitude]]</f>
        <v>6.4600000000000009</v>
      </c>
      <c r="R36" s="31">
        <f>$B$6-Table1[[#This Row],[Longitude]]</f>
        <v>33.92</v>
      </c>
    </row>
    <row r="37" spans="2:18" ht="15" thickBot="1">
      <c r="B37" s="45">
        <f>SMALL(Table1[Distance],30)</f>
        <v>473.463261987495</v>
      </c>
      <c r="C37" s="46" t="str">
        <f t="shared" si="1"/>
        <v>MINNEAPOLIS</v>
      </c>
      <c r="D37" s="47" t="str">
        <f t="shared" si="2"/>
        <v>MN</v>
      </c>
      <c r="E37" s="10" t="s">
        <v>386</v>
      </c>
      <c r="F37" s="10" t="s">
        <v>371</v>
      </c>
      <c r="G37" s="10">
        <v>94040</v>
      </c>
      <c r="H37" s="10">
        <v>37.380000000000003</v>
      </c>
      <c r="I37" s="10">
        <v>-122.08</v>
      </c>
      <c r="J37" s="10" t="s">
        <v>335</v>
      </c>
      <c r="K37" s="10" t="s">
        <v>337</v>
      </c>
      <c r="L37" s="10">
        <v>26205</v>
      </c>
      <c r="M37" s="27">
        <f t="shared" si="0"/>
        <v>2943.5723300275572</v>
      </c>
      <c r="N37" s="33" t="s">
        <v>386</v>
      </c>
      <c r="O37" s="23" t="s">
        <v>371</v>
      </c>
      <c r="P37" s="31"/>
      <c r="Q37" s="31">
        <f>$B$5-Table1[[#This Row],[Latitude]]</f>
        <v>5.68</v>
      </c>
      <c r="R37" s="31">
        <f>$B$6-Table1[[#This Row],[Longitude]]</f>
        <v>34.120000000000005</v>
      </c>
    </row>
    <row r="38" spans="2:18">
      <c r="E38" s="8" t="s">
        <v>387</v>
      </c>
      <c r="F38" s="10" t="s">
        <v>371</v>
      </c>
      <c r="G38" s="10">
        <v>93550</v>
      </c>
      <c r="H38" s="10">
        <v>34.520000000000003</v>
      </c>
      <c r="I38" s="10">
        <v>-118.08</v>
      </c>
      <c r="J38" s="10" t="s">
        <v>335</v>
      </c>
      <c r="K38" s="10" t="s">
        <v>337</v>
      </c>
      <c r="L38" s="10">
        <v>48104</v>
      </c>
      <c r="M38" s="27">
        <f t="shared" si="0"/>
        <v>2759.8895383015724</v>
      </c>
      <c r="N38" s="33" t="s">
        <v>387</v>
      </c>
      <c r="O38" s="23" t="s">
        <v>371</v>
      </c>
      <c r="P38" s="31"/>
      <c r="Q38" s="31">
        <f>$B$5-Table1[[#This Row],[Latitude]]</f>
        <v>8.5399999999999991</v>
      </c>
      <c r="R38" s="31">
        <f>$B$6-Table1[[#This Row],[Longitude]]</f>
        <v>30.120000000000005</v>
      </c>
    </row>
    <row r="39" spans="2:18">
      <c r="E39" s="8" t="s">
        <v>388</v>
      </c>
      <c r="F39" s="10" t="s">
        <v>371</v>
      </c>
      <c r="G39" s="10">
        <v>96080</v>
      </c>
      <c r="H39" s="10">
        <v>40.130000000000003</v>
      </c>
      <c r="I39" s="10">
        <v>-122.43</v>
      </c>
      <c r="J39" s="10" t="s">
        <v>335</v>
      </c>
      <c r="K39" s="10" t="s">
        <v>337</v>
      </c>
      <c r="L39" s="10">
        <v>21073</v>
      </c>
      <c r="M39" s="27">
        <f t="shared" si="0"/>
        <v>2864.5766612565667</v>
      </c>
      <c r="N39" s="33" t="s">
        <v>388</v>
      </c>
      <c r="O39" s="23" t="s">
        <v>371</v>
      </c>
      <c r="P39" s="31"/>
      <c r="Q39" s="31">
        <f>$B$5-Table1[[#This Row],[Latitude]]</f>
        <v>2.9299999999999997</v>
      </c>
      <c r="R39" s="31">
        <f>$B$6-Table1[[#This Row],[Longitude]]</f>
        <v>34.470000000000013</v>
      </c>
    </row>
    <row r="40" spans="2:18">
      <c r="E40" s="8" t="s">
        <v>389</v>
      </c>
      <c r="F40" s="10" t="s">
        <v>371</v>
      </c>
      <c r="G40" s="10">
        <v>96001</v>
      </c>
      <c r="H40" s="10">
        <v>40.6</v>
      </c>
      <c r="I40" s="10">
        <v>-122.46</v>
      </c>
      <c r="J40" s="10" t="s">
        <v>335</v>
      </c>
      <c r="K40" s="10" t="s">
        <v>337</v>
      </c>
      <c r="L40" s="10">
        <v>23744</v>
      </c>
      <c r="M40" s="27">
        <f t="shared" si="0"/>
        <v>2851.3147578577627</v>
      </c>
      <c r="N40" s="33" t="s">
        <v>389</v>
      </c>
      <c r="O40" s="23" t="s">
        <v>371</v>
      </c>
      <c r="P40" s="31"/>
      <c r="Q40" s="31">
        <f>$B$5-Table1[[#This Row],[Latitude]]</f>
        <v>2.4600000000000009</v>
      </c>
      <c r="R40" s="31">
        <f>$B$6-Table1[[#This Row],[Longitude]]</f>
        <v>34.5</v>
      </c>
    </row>
    <row r="41" spans="2:18">
      <c r="E41" s="8" t="s">
        <v>390</v>
      </c>
      <c r="F41" s="10" t="s">
        <v>371</v>
      </c>
      <c r="G41" s="10">
        <v>92503</v>
      </c>
      <c r="H41" s="10">
        <v>33.89</v>
      </c>
      <c r="I41" s="10">
        <v>-117.44</v>
      </c>
      <c r="J41" s="10" t="s">
        <v>335</v>
      </c>
      <c r="K41" s="10" t="s">
        <v>337</v>
      </c>
      <c r="L41" s="10">
        <v>61219</v>
      </c>
      <c r="M41" s="27">
        <f t="shared" si="0"/>
        <v>2743.6889637129157</v>
      </c>
      <c r="N41" s="33" t="s">
        <v>390</v>
      </c>
      <c r="O41" s="23" t="s">
        <v>371</v>
      </c>
      <c r="P41" s="31"/>
      <c r="Q41" s="31">
        <f>$B$5-Table1[[#This Row],[Latitude]]</f>
        <v>9.1700000000000017</v>
      </c>
      <c r="R41" s="31">
        <f>$B$6-Table1[[#This Row],[Longitude]]</f>
        <v>29.480000000000004</v>
      </c>
    </row>
    <row r="42" spans="2:18">
      <c r="E42" s="8" t="s">
        <v>391</v>
      </c>
      <c r="F42" s="10" t="s">
        <v>371</v>
      </c>
      <c r="G42" s="10">
        <v>94209</v>
      </c>
      <c r="H42" s="10">
        <v>38.58</v>
      </c>
      <c r="I42" s="10">
        <v>-121.49</v>
      </c>
      <c r="J42" s="10" t="s">
        <v>342</v>
      </c>
      <c r="K42" s="10" t="s">
        <v>337</v>
      </c>
      <c r="L42" s="9"/>
      <c r="M42" s="27">
        <f t="shared" si="0"/>
        <v>2845.5899990462581</v>
      </c>
      <c r="N42" s="33" t="s">
        <v>391</v>
      </c>
      <c r="O42" s="23" t="s">
        <v>371</v>
      </c>
      <c r="P42" s="31"/>
      <c r="Q42" s="31">
        <f>$B$5-Table1[[#This Row],[Latitude]]</f>
        <v>4.480000000000004</v>
      </c>
      <c r="R42" s="31">
        <f>$B$6-Table1[[#This Row],[Longitude]]</f>
        <v>33.53</v>
      </c>
    </row>
    <row r="43" spans="2:18">
      <c r="E43" s="8" t="s">
        <v>392</v>
      </c>
      <c r="F43" s="10" t="s">
        <v>371</v>
      </c>
      <c r="G43" s="10">
        <v>92105</v>
      </c>
      <c r="H43" s="10">
        <v>32.729999999999997</v>
      </c>
      <c r="I43" s="10">
        <v>-117.08</v>
      </c>
      <c r="J43" s="10" t="s">
        <v>335</v>
      </c>
      <c r="K43" s="10" t="s">
        <v>337</v>
      </c>
      <c r="L43" s="10">
        <v>45433</v>
      </c>
      <c r="M43" s="27">
        <f t="shared" si="0"/>
        <v>2782.9582510395817</v>
      </c>
      <c r="N43" s="33" t="s">
        <v>392</v>
      </c>
      <c r="O43" s="23" t="s">
        <v>371</v>
      </c>
      <c r="P43" s="31"/>
      <c r="Q43" s="31">
        <f>$B$5-Table1[[#This Row],[Latitude]]</f>
        <v>10.330000000000005</v>
      </c>
      <c r="R43" s="31">
        <f>$B$6-Table1[[#This Row],[Longitude]]</f>
        <v>29.120000000000005</v>
      </c>
    </row>
    <row r="44" spans="2:18">
      <c r="E44" s="8" t="s">
        <v>393</v>
      </c>
      <c r="F44" s="10" t="s">
        <v>371</v>
      </c>
      <c r="G44" s="10">
        <v>92672</v>
      </c>
      <c r="H44" s="10">
        <v>33.42</v>
      </c>
      <c r="I44" s="10">
        <v>-117.62</v>
      </c>
      <c r="J44" s="10" t="s">
        <v>335</v>
      </c>
      <c r="K44" s="10" t="s">
        <v>337</v>
      </c>
      <c r="L44" s="10">
        <v>29908</v>
      </c>
      <c r="M44" s="27">
        <f t="shared" si="0"/>
        <v>2784.8486476871631</v>
      </c>
      <c r="N44" s="33" t="s">
        <v>393</v>
      </c>
      <c r="O44" s="23" t="s">
        <v>371</v>
      </c>
      <c r="P44" s="31"/>
      <c r="Q44" s="31">
        <f>$B$5-Table1[[#This Row],[Latitude]]</f>
        <v>9.64</v>
      </c>
      <c r="R44" s="31">
        <f>$B$6-Table1[[#This Row],[Longitude]]</f>
        <v>29.660000000000011</v>
      </c>
    </row>
    <row r="45" spans="2:18">
      <c r="E45" s="8" t="s">
        <v>394</v>
      </c>
      <c r="F45" s="10" t="s">
        <v>371</v>
      </c>
      <c r="G45" s="10">
        <v>94102</v>
      </c>
      <c r="H45" s="10">
        <v>37.770000000000003</v>
      </c>
      <c r="I45" s="10">
        <v>-122.41</v>
      </c>
      <c r="J45" s="10" t="s">
        <v>335</v>
      </c>
      <c r="K45" s="10" t="s">
        <v>337</v>
      </c>
      <c r="L45" s="10">
        <v>16733</v>
      </c>
      <c r="M45" s="27">
        <f t="shared" si="0"/>
        <v>2953.5778273723336</v>
      </c>
      <c r="N45" s="33" t="s">
        <v>394</v>
      </c>
      <c r="O45" s="23" t="s">
        <v>371</v>
      </c>
      <c r="P45" s="31"/>
      <c r="Q45" s="31">
        <f>$B$5-Table1[[#This Row],[Latitude]]</f>
        <v>5.2899999999999991</v>
      </c>
      <c r="R45" s="31">
        <f>$B$6-Table1[[#This Row],[Longitude]]</f>
        <v>34.450000000000003</v>
      </c>
    </row>
    <row r="46" spans="2:18">
      <c r="E46" s="8" t="s">
        <v>395</v>
      </c>
      <c r="F46" s="10" t="s">
        <v>371</v>
      </c>
      <c r="G46" s="10">
        <v>92701</v>
      </c>
      <c r="H46" s="10">
        <v>33.75</v>
      </c>
      <c r="I46" s="10">
        <v>-117.85</v>
      </c>
      <c r="J46" s="10" t="s">
        <v>335</v>
      </c>
      <c r="K46" s="10" t="s">
        <v>337</v>
      </c>
      <c r="L46" s="10">
        <v>35900</v>
      </c>
      <c r="M46" s="27">
        <f t="shared" si="0"/>
        <v>2784.2151002010091</v>
      </c>
      <c r="N46" s="33" t="s">
        <v>395</v>
      </c>
      <c r="O46" s="23" t="s">
        <v>371</v>
      </c>
      <c r="P46" s="31"/>
      <c r="Q46" s="31">
        <f>$B$5-Table1[[#This Row],[Latitude]]</f>
        <v>9.3100000000000023</v>
      </c>
      <c r="R46" s="31">
        <f>$B$6-Table1[[#This Row],[Longitude]]</f>
        <v>29.89</v>
      </c>
    </row>
    <row r="47" spans="2:18">
      <c r="E47" s="8" t="s">
        <v>396</v>
      </c>
      <c r="F47" s="10" t="s">
        <v>371</v>
      </c>
      <c r="G47" s="10">
        <v>93101</v>
      </c>
      <c r="H47" s="10">
        <v>34.409999999999997</v>
      </c>
      <c r="I47" s="10">
        <v>-119.7</v>
      </c>
      <c r="J47" s="10" t="s">
        <v>335</v>
      </c>
      <c r="K47" s="10" t="s">
        <v>337</v>
      </c>
      <c r="L47" s="10">
        <v>21615</v>
      </c>
      <c r="M47" s="27">
        <f t="shared" si="0"/>
        <v>2895.7020367644459</v>
      </c>
      <c r="N47" s="33" t="s">
        <v>396</v>
      </c>
      <c r="O47" s="23" t="s">
        <v>371</v>
      </c>
      <c r="P47" s="31"/>
      <c r="Q47" s="31">
        <f>$B$5-Table1[[#This Row],[Latitude]]</f>
        <v>8.6500000000000057</v>
      </c>
      <c r="R47" s="31">
        <f>$B$6-Table1[[#This Row],[Longitude]]</f>
        <v>31.740000000000009</v>
      </c>
    </row>
    <row r="48" spans="2:18">
      <c r="E48" s="8" t="s">
        <v>397</v>
      </c>
      <c r="F48" s="10" t="s">
        <v>371</v>
      </c>
      <c r="G48" s="10">
        <v>93455</v>
      </c>
      <c r="H48" s="10">
        <v>34.82</v>
      </c>
      <c r="I48" s="10">
        <v>-120.41</v>
      </c>
      <c r="J48" s="10" t="s">
        <v>335</v>
      </c>
      <c r="K48" s="10" t="s">
        <v>337</v>
      </c>
      <c r="L48" s="10">
        <v>33212</v>
      </c>
      <c r="M48" s="27">
        <f t="shared" si="0"/>
        <v>2931.1146219231423</v>
      </c>
      <c r="N48" s="33" t="s">
        <v>397</v>
      </c>
      <c r="O48" s="23" t="s">
        <v>371</v>
      </c>
      <c r="P48" s="31"/>
      <c r="Q48" s="31">
        <f>$B$5-Table1[[#This Row],[Latitude]]</f>
        <v>8.240000000000002</v>
      </c>
      <c r="R48" s="31">
        <f>$B$6-Table1[[#This Row],[Longitude]]</f>
        <v>32.450000000000003</v>
      </c>
    </row>
    <row r="49" spans="5:18">
      <c r="E49" s="8" t="s">
        <v>398</v>
      </c>
      <c r="F49" s="10" t="s">
        <v>371</v>
      </c>
      <c r="G49" s="10">
        <v>95206</v>
      </c>
      <c r="H49" s="10">
        <v>37.9</v>
      </c>
      <c r="I49" s="10">
        <v>-121.4</v>
      </c>
      <c r="J49" s="10" t="s">
        <v>335</v>
      </c>
      <c r="K49" s="10" t="s">
        <v>337</v>
      </c>
      <c r="L49" s="10">
        <v>44874</v>
      </c>
      <c r="M49" s="27">
        <f t="shared" si="0"/>
        <v>2866.033827395248</v>
      </c>
      <c r="N49" s="33" t="s">
        <v>398</v>
      </c>
      <c r="O49" s="23" t="s">
        <v>371</v>
      </c>
      <c r="P49" s="31"/>
      <c r="Q49" s="31">
        <f>$B$5-Table1[[#This Row],[Latitude]]</f>
        <v>5.1600000000000037</v>
      </c>
      <c r="R49" s="31">
        <f>$B$6-Table1[[#This Row],[Longitude]]</f>
        <v>33.440000000000012</v>
      </c>
    </row>
    <row r="50" spans="5:18">
      <c r="E50" s="8" t="s">
        <v>399</v>
      </c>
      <c r="F50" s="10" t="s">
        <v>400</v>
      </c>
      <c r="G50" s="10">
        <v>81101</v>
      </c>
      <c r="H50" s="10">
        <v>37.46</v>
      </c>
      <c r="I50" s="10">
        <v>-105.87</v>
      </c>
      <c r="J50" s="10" t="s">
        <v>335</v>
      </c>
      <c r="K50" s="10" t="s">
        <v>337</v>
      </c>
      <c r="L50" s="10">
        <v>10239</v>
      </c>
      <c r="M50" s="27">
        <f t="shared" si="0"/>
        <v>1638.2029676320715</v>
      </c>
      <c r="N50" s="33" t="s">
        <v>399</v>
      </c>
      <c r="O50" s="23" t="s">
        <v>400</v>
      </c>
      <c r="P50" s="31"/>
      <c r="Q50" s="31">
        <f>$B$5-Table1[[#This Row],[Latitude]]</f>
        <v>5.6000000000000014</v>
      </c>
      <c r="R50" s="31">
        <f>$B$6-Table1[[#This Row],[Longitude]]</f>
        <v>17.910000000000011</v>
      </c>
    </row>
    <row r="51" spans="5:18">
      <c r="E51" s="8" t="s">
        <v>401</v>
      </c>
      <c r="F51" s="10" t="s">
        <v>400</v>
      </c>
      <c r="G51" s="10">
        <v>80906</v>
      </c>
      <c r="H51" s="10">
        <v>38.86</v>
      </c>
      <c r="I51" s="10">
        <v>-104.76</v>
      </c>
      <c r="J51" s="10" t="s">
        <v>335</v>
      </c>
      <c r="K51" s="10" t="s">
        <v>337</v>
      </c>
      <c r="L51" s="10">
        <v>31430</v>
      </c>
      <c r="M51" s="27">
        <f t="shared" si="0"/>
        <v>1482.9533539355161</v>
      </c>
      <c r="N51" s="33" t="s">
        <v>401</v>
      </c>
      <c r="O51" s="23" t="s">
        <v>400</v>
      </c>
      <c r="P51" s="31"/>
      <c r="Q51" s="31">
        <f>$B$5-Table1[[#This Row],[Latitude]]</f>
        <v>4.2000000000000028</v>
      </c>
      <c r="R51" s="31">
        <f>$B$6-Table1[[#This Row],[Longitude]]</f>
        <v>16.800000000000011</v>
      </c>
    </row>
    <row r="52" spans="5:18">
      <c r="E52" s="8" t="s">
        <v>402</v>
      </c>
      <c r="F52" s="10" t="s">
        <v>400</v>
      </c>
      <c r="G52" s="10">
        <v>80210</v>
      </c>
      <c r="H52" s="10">
        <v>39.76</v>
      </c>
      <c r="I52" s="10">
        <v>-104.87</v>
      </c>
      <c r="J52" s="10" t="s">
        <v>335</v>
      </c>
      <c r="K52" s="10" t="s">
        <v>337</v>
      </c>
      <c r="L52" s="10">
        <v>24620</v>
      </c>
      <c r="M52" s="27">
        <f t="shared" si="0"/>
        <v>1454.3728813681405</v>
      </c>
      <c r="N52" s="33" t="s">
        <v>402</v>
      </c>
      <c r="O52" s="23" t="s">
        <v>400</v>
      </c>
      <c r="P52" s="31"/>
      <c r="Q52" s="31">
        <f>$B$5-Table1[[#This Row],[Latitude]]</f>
        <v>3.3000000000000043</v>
      </c>
      <c r="R52" s="31">
        <f>$B$6-Table1[[#This Row],[Longitude]]</f>
        <v>16.910000000000011</v>
      </c>
    </row>
    <row r="53" spans="5:18">
      <c r="E53" s="8" t="s">
        <v>403</v>
      </c>
      <c r="F53" s="10" t="s">
        <v>400</v>
      </c>
      <c r="G53" s="10">
        <v>81501</v>
      </c>
      <c r="H53" s="10">
        <v>39.08</v>
      </c>
      <c r="I53" s="10">
        <v>-108.55</v>
      </c>
      <c r="J53" s="10" t="s">
        <v>335</v>
      </c>
      <c r="K53" s="10" t="s">
        <v>337</v>
      </c>
      <c r="L53" s="10">
        <v>14845</v>
      </c>
      <c r="M53" s="27">
        <f t="shared" si="0"/>
        <v>1776.8914404285022</v>
      </c>
      <c r="N53" s="33" t="s">
        <v>403</v>
      </c>
      <c r="O53" s="23" t="s">
        <v>400</v>
      </c>
      <c r="P53" s="31"/>
      <c r="Q53" s="31">
        <f>$B$5-Table1[[#This Row],[Latitude]]</f>
        <v>3.980000000000004</v>
      </c>
      <c r="R53" s="31">
        <f>$B$6-Table1[[#This Row],[Longitude]]</f>
        <v>20.590000000000003</v>
      </c>
    </row>
    <row r="54" spans="5:18">
      <c r="E54" s="8" t="s">
        <v>404</v>
      </c>
      <c r="F54" s="10" t="s">
        <v>400</v>
      </c>
      <c r="G54" s="10">
        <v>81005</v>
      </c>
      <c r="H54" s="10">
        <v>38.270000000000003</v>
      </c>
      <c r="I54" s="10">
        <v>-104.62</v>
      </c>
      <c r="J54" s="10" t="s">
        <v>335</v>
      </c>
      <c r="K54" s="10" t="s">
        <v>337</v>
      </c>
      <c r="L54" s="10">
        <v>24381</v>
      </c>
      <c r="M54" s="27">
        <f t="shared" si="0"/>
        <v>1499.5372331686556</v>
      </c>
      <c r="N54" s="33" t="s">
        <v>404</v>
      </c>
      <c r="O54" s="23" t="s">
        <v>400</v>
      </c>
      <c r="P54" s="31"/>
      <c r="Q54" s="31">
        <f>$B$5-Table1[[#This Row],[Latitude]]</f>
        <v>4.7899999999999991</v>
      </c>
      <c r="R54" s="31">
        <f>$B$6-Table1[[#This Row],[Longitude]]</f>
        <v>16.660000000000011</v>
      </c>
    </row>
    <row r="55" spans="5:18">
      <c r="E55" s="8" t="s">
        <v>405</v>
      </c>
      <c r="F55" s="10" t="s">
        <v>406</v>
      </c>
      <c r="G55" s="10">
        <v>6606</v>
      </c>
      <c r="H55" s="10">
        <v>41.18</v>
      </c>
      <c r="I55" s="10">
        <v>-73.19</v>
      </c>
      <c r="J55" s="10" t="s">
        <v>335</v>
      </c>
      <c r="K55" s="10" t="s">
        <v>337</v>
      </c>
      <c r="L55" s="10">
        <v>34905</v>
      </c>
      <c r="M55" s="27">
        <f t="shared" si="0"/>
        <v>1234.3187727905954</v>
      </c>
      <c r="N55" s="33" t="s">
        <v>405</v>
      </c>
      <c r="O55" s="23" t="s">
        <v>406</v>
      </c>
      <c r="P55" s="31"/>
      <c r="Q55" s="31">
        <f>$B$5-Table1[[#This Row],[Latitude]]</f>
        <v>1.8800000000000026</v>
      </c>
      <c r="R55" s="31">
        <f>$B$6-Table1[[#This Row],[Longitude]]</f>
        <v>-14.769999999999996</v>
      </c>
    </row>
    <row r="56" spans="5:18">
      <c r="E56" s="8" t="s">
        <v>407</v>
      </c>
      <c r="F56" s="10" t="s">
        <v>406</v>
      </c>
      <c r="G56" s="10">
        <v>6106</v>
      </c>
      <c r="H56" s="10">
        <v>41.76</v>
      </c>
      <c r="I56" s="10">
        <v>-72.680000000000007</v>
      </c>
      <c r="J56" s="10" t="s">
        <v>335</v>
      </c>
      <c r="K56" s="10" t="s">
        <v>337</v>
      </c>
      <c r="L56" s="10">
        <v>24425</v>
      </c>
      <c r="M56" s="27">
        <f t="shared" si="0"/>
        <v>1261.0003843220104</v>
      </c>
      <c r="N56" s="33" t="s">
        <v>407</v>
      </c>
      <c r="O56" s="23" t="s">
        <v>406</v>
      </c>
      <c r="P56" s="31"/>
      <c r="Q56" s="31">
        <f>$B$5-Table1[[#This Row],[Latitude]]</f>
        <v>1.3000000000000043</v>
      </c>
      <c r="R56" s="31">
        <f>$B$6-Table1[[#This Row],[Longitude]]</f>
        <v>-15.279999999999987</v>
      </c>
    </row>
    <row r="57" spans="5:18">
      <c r="E57" s="8" t="s">
        <v>409</v>
      </c>
      <c r="F57" s="10" t="s">
        <v>410</v>
      </c>
      <c r="G57" s="10">
        <v>19901</v>
      </c>
      <c r="H57" s="10">
        <v>39.15</v>
      </c>
      <c r="I57" s="10">
        <v>-75.510000000000005</v>
      </c>
      <c r="J57" s="10" t="s">
        <v>335</v>
      </c>
      <c r="K57" s="10" t="s">
        <v>337</v>
      </c>
      <c r="L57" s="10">
        <v>24829</v>
      </c>
      <c r="M57" s="27">
        <f t="shared" si="0"/>
        <v>1128.6800940821593</v>
      </c>
      <c r="N57" s="33" t="s">
        <v>409</v>
      </c>
      <c r="O57" s="23" t="s">
        <v>410</v>
      </c>
      <c r="P57" s="31"/>
      <c r="Q57" s="31">
        <f>$B$5-Table1[[#This Row],[Latitude]]</f>
        <v>3.9100000000000037</v>
      </c>
      <c r="R57" s="31">
        <f>$B$6-Table1[[#This Row],[Longitude]]</f>
        <v>-12.449999999999989</v>
      </c>
    </row>
    <row r="58" spans="5:18">
      <c r="E58" s="8" t="s">
        <v>411</v>
      </c>
      <c r="F58" s="10" t="s">
        <v>410</v>
      </c>
      <c r="G58" s="10">
        <v>19808</v>
      </c>
      <c r="H58" s="10">
        <v>39.729999999999997</v>
      </c>
      <c r="I58" s="10">
        <v>-75.53</v>
      </c>
      <c r="J58" s="10" t="s">
        <v>335</v>
      </c>
      <c r="K58" s="10" t="s">
        <v>337</v>
      </c>
      <c r="L58" s="10">
        <v>33228</v>
      </c>
      <c r="M58" s="27">
        <f t="shared" si="0"/>
        <v>1099.6840168136857</v>
      </c>
      <c r="N58" s="33" t="s">
        <v>411</v>
      </c>
      <c r="O58" s="23" t="s">
        <v>410</v>
      </c>
      <c r="P58" s="31"/>
      <c r="Q58" s="31">
        <f>$B$5-Table1[[#This Row],[Latitude]]</f>
        <v>3.3300000000000054</v>
      </c>
      <c r="R58" s="31">
        <f>$B$6-Table1[[#This Row],[Longitude]]</f>
        <v>-12.429999999999993</v>
      </c>
    </row>
    <row r="59" spans="5:18">
      <c r="E59" s="8" t="s">
        <v>313</v>
      </c>
      <c r="F59" s="10" t="s">
        <v>413</v>
      </c>
      <c r="G59" s="10">
        <v>20011</v>
      </c>
      <c r="H59" s="10">
        <v>38.89</v>
      </c>
      <c r="I59" s="10">
        <v>-77.03</v>
      </c>
      <c r="J59" s="10" t="s">
        <v>335</v>
      </c>
      <c r="K59" s="10" t="s">
        <v>337</v>
      </c>
      <c r="L59" s="10">
        <v>46009</v>
      </c>
      <c r="M59" s="27">
        <f t="shared" si="0"/>
        <v>1026.9684820690682</v>
      </c>
      <c r="N59" s="33" t="s">
        <v>313</v>
      </c>
      <c r="O59" s="23" t="s">
        <v>413</v>
      </c>
      <c r="P59" s="31"/>
      <c r="Q59" s="31">
        <f>$B$5-Table1[[#This Row],[Latitude]]</f>
        <v>4.1700000000000017</v>
      </c>
      <c r="R59" s="31">
        <f>$B$6-Table1[[#This Row],[Longitude]]</f>
        <v>-10.929999999999993</v>
      </c>
    </row>
    <row r="60" spans="5:18">
      <c r="E60" s="8" t="s">
        <v>412</v>
      </c>
      <c r="F60" s="10" t="s">
        <v>413</v>
      </c>
      <c r="G60" s="10">
        <v>20398</v>
      </c>
      <c r="H60" s="10">
        <v>38.89</v>
      </c>
      <c r="I60" s="10">
        <v>-77.03</v>
      </c>
      <c r="J60" s="10" t="s">
        <v>335</v>
      </c>
      <c r="K60" s="10" t="s">
        <v>337</v>
      </c>
      <c r="L60" s="9"/>
      <c r="M60" s="27">
        <f t="shared" si="0"/>
        <v>1026.9684820690682</v>
      </c>
      <c r="N60" s="33" t="s">
        <v>412</v>
      </c>
      <c r="O60" s="23" t="s">
        <v>413</v>
      </c>
      <c r="P60" s="31"/>
      <c r="Q60" s="31">
        <f>$B$5-Table1[[#This Row],[Latitude]]</f>
        <v>4.1700000000000017</v>
      </c>
      <c r="R60" s="31">
        <f>$B$6-Table1[[#This Row],[Longitude]]</f>
        <v>-10.929999999999993</v>
      </c>
    </row>
    <row r="61" spans="5:18">
      <c r="E61" s="8" t="s">
        <v>414</v>
      </c>
      <c r="F61" s="10" t="s">
        <v>415</v>
      </c>
      <c r="G61" s="10">
        <v>32320</v>
      </c>
      <c r="H61" s="10">
        <v>29.72</v>
      </c>
      <c r="I61" s="10">
        <v>-84.99</v>
      </c>
      <c r="J61" s="10" t="s">
        <v>335</v>
      </c>
      <c r="K61" s="10" t="s">
        <v>337</v>
      </c>
      <c r="L61" s="10">
        <v>2116</v>
      </c>
      <c r="M61" s="27">
        <f t="shared" si="0"/>
        <v>1506.6939709309586</v>
      </c>
      <c r="N61" s="33" t="s">
        <v>414</v>
      </c>
      <c r="O61" s="23" t="s">
        <v>415</v>
      </c>
      <c r="P61" s="31"/>
      <c r="Q61" s="31">
        <f>$B$5-Table1[[#This Row],[Latitude]]</f>
        <v>13.340000000000003</v>
      </c>
      <c r="R61" s="31">
        <f>$B$6-Table1[[#This Row],[Longitude]]</f>
        <v>-2.9699999999999989</v>
      </c>
    </row>
    <row r="62" spans="5:18">
      <c r="E62" s="8" t="s">
        <v>416</v>
      </c>
      <c r="F62" s="10" t="s">
        <v>415</v>
      </c>
      <c r="G62" s="10">
        <v>32114</v>
      </c>
      <c r="H62" s="10">
        <v>29.19</v>
      </c>
      <c r="I62" s="10">
        <v>-81.05</v>
      </c>
      <c r="J62" s="10" t="s">
        <v>335</v>
      </c>
      <c r="K62" s="10" t="s">
        <v>337</v>
      </c>
      <c r="L62" s="10">
        <v>18774</v>
      </c>
      <c r="M62" s="27">
        <f t="shared" si="0"/>
        <v>1660.9392303969166</v>
      </c>
      <c r="N62" s="33" t="s">
        <v>416</v>
      </c>
      <c r="O62" s="23" t="s">
        <v>415</v>
      </c>
      <c r="P62" s="31"/>
      <c r="Q62" s="31">
        <f>$B$5-Table1[[#This Row],[Latitude]]</f>
        <v>13.870000000000001</v>
      </c>
      <c r="R62" s="31">
        <f>$B$6-Table1[[#This Row],[Longitude]]</f>
        <v>-6.9099999999999966</v>
      </c>
    </row>
    <row r="63" spans="5:18">
      <c r="E63" s="8" t="s">
        <v>417</v>
      </c>
      <c r="F63" s="10" t="s">
        <v>415</v>
      </c>
      <c r="G63" s="10">
        <v>32931</v>
      </c>
      <c r="H63" s="10">
        <v>28.33</v>
      </c>
      <c r="I63" s="10">
        <v>-80.62</v>
      </c>
      <c r="J63" s="10" t="s">
        <v>335</v>
      </c>
      <c r="K63" s="10" t="s">
        <v>337</v>
      </c>
      <c r="L63" s="10">
        <v>11185</v>
      </c>
      <c r="M63" s="27">
        <f t="shared" si="0"/>
        <v>1765.1294040509065</v>
      </c>
      <c r="N63" s="33" t="s">
        <v>417</v>
      </c>
      <c r="O63" s="23" t="s">
        <v>415</v>
      </c>
      <c r="P63" s="31"/>
      <c r="Q63" s="31">
        <f>$B$5-Table1[[#This Row],[Latitude]]</f>
        <v>14.730000000000004</v>
      </c>
      <c r="R63" s="31">
        <f>$B$6-Table1[[#This Row],[Longitude]]</f>
        <v>-7.3399999999999892</v>
      </c>
    </row>
    <row r="64" spans="5:18">
      <c r="E64" s="8" t="s">
        <v>418</v>
      </c>
      <c r="F64" s="10" t="s">
        <v>415</v>
      </c>
      <c r="G64" s="10">
        <v>33901</v>
      </c>
      <c r="H64" s="10">
        <v>26.63</v>
      </c>
      <c r="I64" s="10">
        <v>-81.849999999999994</v>
      </c>
      <c r="J64" s="10" t="s">
        <v>335</v>
      </c>
      <c r="K64" s="10" t="s">
        <v>337</v>
      </c>
      <c r="L64" s="10">
        <v>13876</v>
      </c>
      <c r="M64" s="27">
        <f t="shared" si="0"/>
        <v>1908.7258758503804</v>
      </c>
      <c r="N64" s="33" t="s">
        <v>418</v>
      </c>
      <c r="O64" s="23" t="s">
        <v>415</v>
      </c>
      <c r="P64" s="31"/>
      <c r="Q64" s="31">
        <f>$B$5-Table1[[#This Row],[Latitude]]</f>
        <v>16.430000000000003</v>
      </c>
      <c r="R64" s="31">
        <f>$B$6-Table1[[#This Row],[Longitude]]</f>
        <v>-6.1099999999999994</v>
      </c>
    </row>
    <row r="65" spans="5:18">
      <c r="E65" s="8" t="s">
        <v>419</v>
      </c>
      <c r="F65" s="10" t="s">
        <v>415</v>
      </c>
      <c r="G65" s="10">
        <v>32605</v>
      </c>
      <c r="H65" s="10">
        <v>29.67</v>
      </c>
      <c r="I65" s="10">
        <v>-82.33</v>
      </c>
      <c r="J65" s="10" t="s">
        <v>335</v>
      </c>
      <c r="K65" s="10" t="s">
        <v>337</v>
      </c>
      <c r="L65" s="10">
        <v>18977</v>
      </c>
      <c r="M65" s="27">
        <f t="shared" si="0"/>
        <v>1570.9338250303965</v>
      </c>
      <c r="N65" s="33" t="s">
        <v>419</v>
      </c>
      <c r="O65" s="23" t="s">
        <v>415</v>
      </c>
      <c r="P65" s="31"/>
      <c r="Q65" s="31">
        <f>$B$5-Table1[[#This Row],[Latitude]]</f>
        <v>13.39</v>
      </c>
      <c r="R65" s="31">
        <f>$B$6-Table1[[#This Row],[Longitude]]</f>
        <v>-5.6299999999999955</v>
      </c>
    </row>
    <row r="66" spans="5:18">
      <c r="E66" s="8" t="s">
        <v>420</v>
      </c>
      <c r="F66" s="10" t="s">
        <v>415</v>
      </c>
      <c r="G66" s="10">
        <v>32205</v>
      </c>
      <c r="H66" s="10">
        <v>30.33</v>
      </c>
      <c r="I66" s="10">
        <v>-81.650000000000006</v>
      </c>
      <c r="J66" s="10" t="s">
        <v>335</v>
      </c>
      <c r="K66" s="10" t="s">
        <v>337</v>
      </c>
      <c r="L66" s="10">
        <v>21738</v>
      </c>
      <c r="M66" s="27">
        <f t="shared" ref="M66:M129" si="3">ACOS(COS(RADIANS(90-$B$5))*COS(RADIANS(90-H66))+SIN(RADIANS(90-$B$5))*SIN(RADIANS(90-H66))*COS(RADIANS($B$6-I66)))*6371</f>
        <v>1522.0344952647856</v>
      </c>
      <c r="N66" s="33" t="s">
        <v>420</v>
      </c>
      <c r="O66" s="23" t="s">
        <v>415</v>
      </c>
      <c r="P66" s="31"/>
      <c r="Q66" s="31">
        <f>$B$5-Table1[[#This Row],[Latitude]]</f>
        <v>12.730000000000004</v>
      </c>
      <c r="R66" s="31">
        <f>$B$6-Table1[[#This Row],[Longitude]]</f>
        <v>-6.3099999999999881</v>
      </c>
    </row>
    <row r="67" spans="5:18">
      <c r="E67" s="8" t="s">
        <v>421</v>
      </c>
      <c r="F67" s="10" t="s">
        <v>415</v>
      </c>
      <c r="G67" s="10">
        <v>33040</v>
      </c>
      <c r="H67" s="10">
        <v>24.55</v>
      </c>
      <c r="I67" s="10">
        <v>-81.78</v>
      </c>
      <c r="J67" s="10" t="s">
        <v>335</v>
      </c>
      <c r="K67" s="10" t="s">
        <v>337</v>
      </c>
      <c r="L67" s="10">
        <v>24190</v>
      </c>
      <c r="M67" s="27">
        <f t="shared" si="3"/>
        <v>2134.3671208347478</v>
      </c>
      <c r="N67" s="33" t="s">
        <v>421</v>
      </c>
      <c r="O67" s="23" t="s">
        <v>415</v>
      </c>
      <c r="P67" s="31"/>
      <c r="Q67" s="31">
        <f>$B$5-Table1[[#This Row],[Latitude]]</f>
        <v>18.510000000000002</v>
      </c>
      <c r="R67" s="31">
        <f>$B$6-Table1[[#This Row],[Longitude]]</f>
        <v>-6.1799999999999926</v>
      </c>
    </row>
    <row r="68" spans="5:18">
      <c r="E68" s="8" t="s">
        <v>422</v>
      </c>
      <c r="F68" s="10" t="s">
        <v>415</v>
      </c>
      <c r="G68" s="10">
        <v>33126</v>
      </c>
      <c r="H68" s="10">
        <v>25.77</v>
      </c>
      <c r="I68" s="10">
        <v>-80.290000000000006</v>
      </c>
      <c r="J68" s="10" t="s">
        <v>335</v>
      </c>
      <c r="K68" s="10" t="s">
        <v>337</v>
      </c>
      <c r="L68" s="10">
        <v>36254</v>
      </c>
      <c r="M68" s="27">
        <f t="shared" si="3"/>
        <v>2044.9788148997616</v>
      </c>
      <c r="N68" s="33" t="s">
        <v>422</v>
      </c>
      <c r="O68" s="23" t="s">
        <v>415</v>
      </c>
      <c r="P68" s="31"/>
      <c r="Q68" s="31">
        <f>$B$5-Table1[[#This Row],[Latitude]]</f>
        <v>17.290000000000003</v>
      </c>
      <c r="R68" s="31">
        <f>$B$6-Table1[[#This Row],[Longitude]]</f>
        <v>-7.6699999999999875</v>
      </c>
    </row>
    <row r="69" spans="5:18">
      <c r="E69" s="8" t="s">
        <v>423</v>
      </c>
      <c r="F69" s="10" t="s">
        <v>415</v>
      </c>
      <c r="G69" s="10">
        <v>32807</v>
      </c>
      <c r="H69" s="10">
        <v>28.5</v>
      </c>
      <c r="I69" s="10">
        <v>-81.37</v>
      </c>
      <c r="J69" s="10" t="s">
        <v>335</v>
      </c>
      <c r="K69" s="10" t="s">
        <v>337</v>
      </c>
      <c r="L69" s="10">
        <v>23638</v>
      </c>
      <c r="M69" s="27">
        <f t="shared" si="3"/>
        <v>1723.2353766131923</v>
      </c>
      <c r="N69" s="33" t="s">
        <v>423</v>
      </c>
      <c r="O69" s="23" t="s">
        <v>415</v>
      </c>
      <c r="P69" s="31"/>
      <c r="Q69" s="31">
        <f>$B$5-Table1[[#This Row],[Latitude]]</f>
        <v>14.560000000000002</v>
      </c>
      <c r="R69" s="31">
        <f>$B$6-Table1[[#This Row],[Longitude]]</f>
        <v>-6.5899999999999892</v>
      </c>
    </row>
    <row r="70" spans="5:18">
      <c r="E70" s="8" t="s">
        <v>424</v>
      </c>
      <c r="F70" s="10" t="s">
        <v>415</v>
      </c>
      <c r="G70" s="10">
        <v>32401</v>
      </c>
      <c r="H70" s="10">
        <v>30.17</v>
      </c>
      <c r="I70" s="10">
        <v>-85.67</v>
      </c>
      <c r="J70" s="10" t="s">
        <v>335</v>
      </c>
      <c r="K70" s="10" t="s">
        <v>337</v>
      </c>
      <c r="L70" s="10">
        <v>17014</v>
      </c>
      <c r="M70" s="27">
        <f t="shared" si="3"/>
        <v>1447.6390766495351</v>
      </c>
      <c r="N70" s="33" t="s">
        <v>424</v>
      </c>
      <c r="O70" s="23" t="s">
        <v>415</v>
      </c>
      <c r="P70" s="31"/>
      <c r="Q70" s="31">
        <f>$B$5-Table1[[#This Row],[Latitude]]</f>
        <v>12.89</v>
      </c>
      <c r="R70" s="31">
        <f>$B$6-Table1[[#This Row],[Longitude]]</f>
        <v>-2.289999999999992</v>
      </c>
    </row>
    <row r="71" spans="5:18">
      <c r="E71" s="8" t="s">
        <v>425</v>
      </c>
      <c r="F71" s="10" t="s">
        <v>415</v>
      </c>
      <c r="G71" s="10">
        <v>32503</v>
      </c>
      <c r="H71" s="10">
        <v>30.44</v>
      </c>
      <c r="I71" s="10">
        <v>-87.18</v>
      </c>
      <c r="J71" s="10" t="s">
        <v>335</v>
      </c>
      <c r="K71" s="10" t="s">
        <v>337</v>
      </c>
      <c r="L71" s="10">
        <v>23321</v>
      </c>
      <c r="M71" s="27">
        <f t="shared" si="3"/>
        <v>1404.9810647926799</v>
      </c>
      <c r="N71" s="33" t="s">
        <v>425</v>
      </c>
      <c r="O71" s="23" t="s">
        <v>415</v>
      </c>
      <c r="P71" s="31"/>
      <c r="Q71" s="31">
        <f>$B$5-Table1[[#This Row],[Latitude]]</f>
        <v>12.620000000000001</v>
      </c>
      <c r="R71" s="31">
        <f>$B$6-Table1[[#This Row],[Longitude]]</f>
        <v>-0.77999999999998693</v>
      </c>
    </row>
    <row r="72" spans="5:18">
      <c r="E72" s="8" t="s">
        <v>426</v>
      </c>
      <c r="F72" s="10" t="s">
        <v>415</v>
      </c>
      <c r="G72" s="10">
        <v>32303</v>
      </c>
      <c r="H72" s="10">
        <v>30.45</v>
      </c>
      <c r="I72" s="10">
        <v>-84.28</v>
      </c>
      <c r="J72" s="10" t="s">
        <v>335</v>
      </c>
      <c r="K72" s="10" t="s">
        <v>337</v>
      </c>
      <c r="L72" s="10">
        <v>33545</v>
      </c>
      <c r="M72" s="27">
        <f t="shared" si="3"/>
        <v>1439.5777240280509</v>
      </c>
      <c r="N72" s="33" t="s">
        <v>426</v>
      </c>
      <c r="O72" s="23" t="s">
        <v>415</v>
      </c>
      <c r="P72" s="31"/>
      <c r="Q72" s="31">
        <f>$B$5-Table1[[#This Row],[Latitude]]</f>
        <v>12.610000000000003</v>
      </c>
      <c r="R72" s="31">
        <f>$B$6-Table1[[#This Row],[Longitude]]</f>
        <v>-3.6799999999999926</v>
      </c>
    </row>
    <row r="73" spans="5:18">
      <c r="E73" s="8" t="s">
        <v>427</v>
      </c>
      <c r="F73" s="10" t="s">
        <v>415</v>
      </c>
      <c r="G73" s="10">
        <v>33604</v>
      </c>
      <c r="H73" s="10">
        <v>27.95</v>
      </c>
      <c r="I73" s="10">
        <v>-82.48</v>
      </c>
      <c r="J73" s="10" t="s">
        <v>335</v>
      </c>
      <c r="K73" s="10" t="s">
        <v>337</v>
      </c>
      <c r="L73" s="10">
        <v>26805</v>
      </c>
      <c r="M73" s="27">
        <f t="shared" si="3"/>
        <v>1750.8012145297237</v>
      </c>
      <c r="N73" s="33" t="s">
        <v>427</v>
      </c>
      <c r="O73" s="23" t="s">
        <v>415</v>
      </c>
      <c r="P73" s="31"/>
      <c r="Q73" s="31">
        <f>$B$5-Table1[[#This Row],[Latitude]]</f>
        <v>15.110000000000003</v>
      </c>
      <c r="R73" s="31">
        <f>$B$6-Table1[[#This Row],[Longitude]]</f>
        <v>-5.4799999999999898</v>
      </c>
    </row>
    <row r="74" spans="5:18">
      <c r="E74" s="8" t="s">
        <v>428</v>
      </c>
      <c r="F74" s="10" t="s">
        <v>415</v>
      </c>
      <c r="G74" s="10">
        <v>32960</v>
      </c>
      <c r="H74" s="10">
        <v>27.64</v>
      </c>
      <c r="I74" s="10">
        <v>-80.39</v>
      </c>
      <c r="J74" s="10" t="s">
        <v>335</v>
      </c>
      <c r="K74" s="10" t="s">
        <v>337</v>
      </c>
      <c r="L74" s="10">
        <v>14214</v>
      </c>
      <c r="M74" s="27">
        <f t="shared" si="3"/>
        <v>1844.9660348829143</v>
      </c>
      <c r="N74" s="33" t="s">
        <v>428</v>
      </c>
      <c r="O74" s="23" t="s">
        <v>415</v>
      </c>
      <c r="P74" s="31"/>
      <c r="Q74" s="31">
        <f>$B$5-Table1[[#This Row],[Latitude]]</f>
        <v>15.420000000000002</v>
      </c>
      <c r="R74" s="31">
        <f>$B$6-Table1[[#This Row],[Longitude]]</f>
        <v>-7.5699999999999932</v>
      </c>
    </row>
    <row r="75" spans="5:18">
      <c r="E75" s="8" t="s">
        <v>429</v>
      </c>
      <c r="F75" s="10" t="s">
        <v>415</v>
      </c>
      <c r="G75" s="10">
        <v>33404</v>
      </c>
      <c r="H75" s="10">
        <v>26.74</v>
      </c>
      <c r="I75" s="10">
        <v>-80.12</v>
      </c>
      <c r="J75" s="10" t="s">
        <v>335</v>
      </c>
      <c r="K75" s="10" t="s">
        <v>337</v>
      </c>
      <c r="L75" s="10">
        <v>20858</v>
      </c>
      <c r="M75" s="27">
        <f t="shared" si="3"/>
        <v>1948.2135019389925</v>
      </c>
      <c r="N75" s="33" t="s">
        <v>429</v>
      </c>
      <c r="O75" s="23" t="s">
        <v>415</v>
      </c>
      <c r="P75" s="31"/>
      <c r="Q75" s="31">
        <f>$B$5-Table1[[#This Row],[Latitude]]</f>
        <v>16.320000000000004</v>
      </c>
      <c r="R75" s="31">
        <f>$B$6-Table1[[#This Row],[Longitude]]</f>
        <v>-7.8399999999999892</v>
      </c>
    </row>
    <row r="76" spans="5:18">
      <c r="E76" s="8" t="s">
        <v>430</v>
      </c>
      <c r="F76" s="10" t="s">
        <v>431</v>
      </c>
      <c r="G76" s="10">
        <v>31705</v>
      </c>
      <c r="H76" s="10">
        <v>31.57</v>
      </c>
      <c r="I76" s="10">
        <v>-84.17</v>
      </c>
      <c r="J76" s="10" t="s">
        <v>335</v>
      </c>
      <c r="K76" s="10" t="s">
        <v>337</v>
      </c>
      <c r="L76" s="10">
        <v>23055</v>
      </c>
      <c r="M76" s="27">
        <f t="shared" si="3"/>
        <v>1320.4640985576809</v>
      </c>
      <c r="N76" s="33" t="s">
        <v>430</v>
      </c>
      <c r="O76" s="23" t="s">
        <v>431</v>
      </c>
      <c r="P76" s="31"/>
      <c r="Q76" s="31">
        <f>$B$5-Table1[[#This Row],[Latitude]]</f>
        <v>11.490000000000002</v>
      </c>
      <c r="R76" s="31">
        <f>$B$6-Table1[[#This Row],[Longitude]]</f>
        <v>-3.789999999999992</v>
      </c>
    </row>
    <row r="77" spans="5:18">
      <c r="E77" s="8" t="s">
        <v>432</v>
      </c>
      <c r="F77" s="10" t="s">
        <v>431</v>
      </c>
      <c r="G77" s="10">
        <v>30606</v>
      </c>
      <c r="H77" s="10">
        <v>33.950000000000003</v>
      </c>
      <c r="I77" s="10">
        <v>-83.39</v>
      </c>
      <c r="J77" s="10" t="s">
        <v>335</v>
      </c>
      <c r="K77" s="10" t="s">
        <v>337</v>
      </c>
      <c r="L77" s="10">
        <v>26938</v>
      </c>
      <c r="M77" s="27">
        <f t="shared" si="3"/>
        <v>1087.7851111438417</v>
      </c>
      <c r="N77" s="33" t="s">
        <v>432</v>
      </c>
      <c r="O77" s="23" t="s">
        <v>431</v>
      </c>
      <c r="P77" s="31"/>
      <c r="Q77" s="31">
        <f>$B$5-Table1[[#This Row],[Latitude]]</f>
        <v>9.11</v>
      </c>
      <c r="R77" s="31">
        <f>$B$6-Table1[[#This Row],[Longitude]]</f>
        <v>-4.5699999999999932</v>
      </c>
    </row>
    <row r="78" spans="5:18">
      <c r="E78" s="8" t="s">
        <v>433</v>
      </c>
      <c r="F78" s="10" t="s">
        <v>431</v>
      </c>
      <c r="G78" s="10">
        <v>30303</v>
      </c>
      <c r="H78" s="10">
        <v>33.75</v>
      </c>
      <c r="I78" s="10">
        <v>-84.39</v>
      </c>
      <c r="J78" s="10" t="s">
        <v>335</v>
      </c>
      <c r="K78" s="10" t="s">
        <v>337</v>
      </c>
      <c r="L78" s="10">
        <v>33905</v>
      </c>
      <c r="M78" s="27">
        <f t="shared" si="3"/>
        <v>1080.6629778294102</v>
      </c>
      <c r="N78" s="33" t="s">
        <v>433</v>
      </c>
      <c r="O78" s="23" t="s">
        <v>431</v>
      </c>
      <c r="P78" s="31"/>
      <c r="Q78" s="31">
        <f>$B$5-Table1[[#This Row],[Latitude]]</f>
        <v>9.3100000000000023</v>
      </c>
      <c r="R78" s="31">
        <f>$B$6-Table1[[#This Row],[Longitude]]</f>
        <v>-3.5699999999999932</v>
      </c>
    </row>
    <row r="79" spans="5:18">
      <c r="E79" s="8" t="s">
        <v>434</v>
      </c>
      <c r="F79" s="10" t="s">
        <v>431</v>
      </c>
      <c r="G79" s="10">
        <v>30911</v>
      </c>
      <c r="H79" s="10">
        <v>33.47</v>
      </c>
      <c r="I79" s="10">
        <v>-81.96</v>
      </c>
      <c r="J79" s="10" t="s">
        <v>335</v>
      </c>
      <c r="K79" s="10" t="s">
        <v>337</v>
      </c>
      <c r="L79" s="9"/>
      <c r="M79" s="27">
        <f t="shared" si="3"/>
        <v>1187.2598294094757</v>
      </c>
      <c r="N79" s="33" t="s">
        <v>434</v>
      </c>
      <c r="O79" s="23" t="s">
        <v>431</v>
      </c>
      <c r="P79" s="31"/>
      <c r="Q79" s="31">
        <f>$B$5-Table1[[#This Row],[Latitude]]</f>
        <v>9.5900000000000034</v>
      </c>
      <c r="R79" s="31">
        <f>$B$6-Table1[[#This Row],[Longitude]]</f>
        <v>-6</v>
      </c>
    </row>
    <row r="80" spans="5:18">
      <c r="E80" s="8" t="s">
        <v>435</v>
      </c>
      <c r="F80" s="10" t="s">
        <v>431</v>
      </c>
      <c r="G80" s="10">
        <v>31520</v>
      </c>
      <c r="H80" s="10">
        <v>31.15</v>
      </c>
      <c r="I80" s="10">
        <v>-81.48</v>
      </c>
      <c r="J80" s="10" t="s">
        <v>335</v>
      </c>
      <c r="K80" s="10" t="s">
        <v>337</v>
      </c>
      <c r="L80" s="10">
        <v>15272</v>
      </c>
      <c r="M80" s="27">
        <f t="shared" si="3"/>
        <v>1442.4688367799454</v>
      </c>
      <c r="N80" s="33" t="s">
        <v>435</v>
      </c>
      <c r="O80" s="23" t="s">
        <v>431</v>
      </c>
      <c r="P80" s="31"/>
      <c r="Q80" s="31">
        <f>$B$5-Table1[[#This Row],[Latitude]]</f>
        <v>11.910000000000004</v>
      </c>
      <c r="R80" s="31">
        <f>$B$6-Table1[[#This Row],[Longitude]]</f>
        <v>-6.4799999999999898</v>
      </c>
    </row>
    <row r="81" spans="5:18">
      <c r="E81" s="8" t="s">
        <v>436</v>
      </c>
      <c r="F81" s="10" t="s">
        <v>431</v>
      </c>
      <c r="G81" s="10">
        <v>31904</v>
      </c>
      <c r="H81" s="10">
        <v>32.51</v>
      </c>
      <c r="I81" s="10">
        <v>-84.87</v>
      </c>
      <c r="J81" s="10" t="s">
        <v>335</v>
      </c>
      <c r="K81" s="10" t="s">
        <v>337</v>
      </c>
      <c r="L81" s="10">
        <v>25126</v>
      </c>
      <c r="M81" s="27">
        <f t="shared" si="3"/>
        <v>1203.8788639174395</v>
      </c>
      <c r="N81" s="33" t="s">
        <v>436</v>
      </c>
      <c r="O81" s="23" t="s">
        <v>431</v>
      </c>
      <c r="P81" s="31"/>
      <c r="Q81" s="31">
        <f>$B$5-Table1[[#This Row],[Latitude]]</f>
        <v>10.550000000000004</v>
      </c>
      <c r="R81" s="31">
        <f>$B$6-Table1[[#This Row],[Longitude]]</f>
        <v>-3.0899999999999892</v>
      </c>
    </row>
    <row r="82" spans="5:18">
      <c r="E82" s="8" t="s">
        <v>437</v>
      </c>
      <c r="F82" s="10" t="s">
        <v>431</v>
      </c>
      <c r="G82" s="10">
        <v>31204</v>
      </c>
      <c r="H82" s="10">
        <v>32.83</v>
      </c>
      <c r="I82" s="10">
        <v>-83.65</v>
      </c>
      <c r="J82" s="10" t="s">
        <v>335</v>
      </c>
      <c r="K82" s="10" t="s">
        <v>337</v>
      </c>
      <c r="L82" s="10">
        <v>22690</v>
      </c>
      <c r="M82" s="27">
        <f t="shared" si="3"/>
        <v>1198.2063902758021</v>
      </c>
      <c r="N82" s="33" t="s">
        <v>437</v>
      </c>
      <c r="O82" s="23" t="s">
        <v>431</v>
      </c>
      <c r="P82" s="31"/>
      <c r="Q82" s="31">
        <f>$B$5-Table1[[#This Row],[Latitude]]</f>
        <v>10.230000000000004</v>
      </c>
      <c r="R82" s="31">
        <f>$B$6-Table1[[#This Row],[Longitude]]</f>
        <v>-4.3099999999999881</v>
      </c>
    </row>
    <row r="83" spans="5:18">
      <c r="E83" s="8" t="s">
        <v>438</v>
      </c>
      <c r="F83" s="10" t="s">
        <v>431</v>
      </c>
      <c r="G83" s="10">
        <v>31406</v>
      </c>
      <c r="H83" s="10">
        <v>32.08</v>
      </c>
      <c r="I83" s="10">
        <v>-81.099999999999994</v>
      </c>
      <c r="J83" s="10" t="s">
        <v>335</v>
      </c>
      <c r="K83" s="10" t="s">
        <v>337</v>
      </c>
      <c r="L83" s="10">
        <v>26193</v>
      </c>
      <c r="M83" s="27">
        <f t="shared" si="3"/>
        <v>1361.2175276259793</v>
      </c>
      <c r="N83" s="33" t="s">
        <v>438</v>
      </c>
      <c r="O83" s="23" t="s">
        <v>431</v>
      </c>
      <c r="P83" s="31"/>
      <c r="Q83" s="31">
        <f>$B$5-Table1[[#This Row],[Latitude]]</f>
        <v>10.980000000000004</v>
      </c>
      <c r="R83" s="31">
        <f>$B$6-Table1[[#This Row],[Longitude]]</f>
        <v>-6.8599999999999994</v>
      </c>
    </row>
    <row r="84" spans="5:18">
      <c r="E84" s="8" t="s">
        <v>439</v>
      </c>
      <c r="F84" s="10" t="s">
        <v>431</v>
      </c>
      <c r="G84" s="10">
        <v>31602</v>
      </c>
      <c r="H84" s="10">
        <v>30.84</v>
      </c>
      <c r="I84" s="10">
        <v>-83.27</v>
      </c>
      <c r="J84" s="10" t="s">
        <v>335</v>
      </c>
      <c r="K84" s="10" t="s">
        <v>337</v>
      </c>
      <c r="L84" s="10">
        <v>23173</v>
      </c>
      <c r="M84" s="27">
        <f t="shared" si="3"/>
        <v>1420.6408751195333</v>
      </c>
      <c r="N84" s="33" t="s">
        <v>439</v>
      </c>
      <c r="O84" s="23" t="s">
        <v>431</v>
      </c>
      <c r="P84" s="31"/>
      <c r="Q84" s="31">
        <f>$B$5-Table1[[#This Row],[Latitude]]</f>
        <v>12.220000000000002</v>
      </c>
      <c r="R84" s="31">
        <f>$B$6-Table1[[#This Row],[Longitude]]</f>
        <v>-4.6899999999999977</v>
      </c>
    </row>
    <row r="85" spans="5:18">
      <c r="E85" s="11" t="s">
        <v>440</v>
      </c>
      <c r="F85" s="10" t="s">
        <v>441</v>
      </c>
      <c r="G85" s="10">
        <v>96863</v>
      </c>
      <c r="H85" s="10">
        <v>21.43</v>
      </c>
      <c r="I85" s="10">
        <v>-157.74</v>
      </c>
      <c r="J85" s="10" t="s">
        <v>335</v>
      </c>
      <c r="K85" s="10" t="s">
        <v>337</v>
      </c>
      <c r="L85" s="10">
        <v>2556</v>
      </c>
      <c r="M85" s="27">
        <f t="shared" si="3"/>
        <v>6784.951884145572</v>
      </c>
      <c r="N85" s="35" t="s">
        <v>440</v>
      </c>
      <c r="O85" s="23" t="s">
        <v>441</v>
      </c>
      <c r="P85" s="31"/>
      <c r="Q85" s="31">
        <f>$B$5-Table1[[#This Row],[Latitude]]</f>
        <v>21.630000000000003</v>
      </c>
      <c r="R85" s="31">
        <f>$B$6-Table1[[#This Row],[Longitude]]</f>
        <v>69.780000000000015</v>
      </c>
    </row>
    <row r="86" spans="5:18">
      <c r="E86" s="8" t="s">
        <v>442</v>
      </c>
      <c r="F86" s="10" t="s">
        <v>441</v>
      </c>
      <c r="G86" s="10">
        <v>96720</v>
      </c>
      <c r="H86" s="10">
        <v>19.690000000000001</v>
      </c>
      <c r="I86" s="10">
        <v>-155.08000000000001</v>
      </c>
      <c r="J86" s="10" t="s">
        <v>335</v>
      </c>
      <c r="K86" s="10" t="s">
        <v>337</v>
      </c>
      <c r="L86" s="10">
        <v>37207</v>
      </c>
      <c r="M86" s="27">
        <f t="shared" si="3"/>
        <v>6690.0094925758131</v>
      </c>
      <c r="N86" s="33" t="s">
        <v>442</v>
      </c>
      <c r="O86" s="23" t="s">
        <v>441</v>
      </c>
      <c r="P86" s="31"/>
      <c r="Q86" s="31">
        <f>$B$5-Table1[[#This Row],[Latitude]]</f>
        <v>23.37</v>
      </c>
      <c r="R86" s="31">
        <f>$B$6-Table1[[#This Row],[Longitude]]</f>
        <v>67.120000000000019</v>
      </c>
    </row>
    <row r="87" spans="5:18">
      <c r="E87" s="8" t="s">
        <v>443</v>
      </c>
      <c r="F87" s="10" t="s">
        <v>441</v>
      </c>
      <c r="G87" s="10">
        <v>96817</v>
      </c>
      <c r="H87" s="10">
        <v>21.3</v>
      </c>
      <c r="I87" s="10">
        <v>-157.85</v>
      </c>
      <c r="J87" s="10" t="s">
        <v>335</v>
      </c>
      <c r="K87" s="10" t="s">
        <v>337</v>
      </c>
      <c r="L87" s="10">
        <v>44652</v>
      </c>
      <c r="M87" s="27">
        <f t="shared" si="3"/>
        <v>6802.8595818392678</v>
      </c>
      <c r="N87" s="33" t="s">
        <v>443</v>
      </c>
      <c r="O87" s="23" t="s">
        <v>441</v>
      </c>
      <c r="P87" s="31"/>
      <c r="Q87" s="31">
        <f>$B$5-Table1[[#This Row],[Latitude]]</f>
        <v>21.76</v>
      </c>
      <c r="R87" s="31">
        <f>$B$6-Table1[[#This Row],[Longitude]]</f>
        <v>69.89</v>
      </c>
    </row>
    <row r="88" spans="5:18">
      <c r="E88" s="8" t="s">
        <v>444</v>
      </c>
      <c r="F88" s="10" t="s">
        <v>441</v>
      </c>
      <c r="G88" s="10">
        <v>96732</v>
      </c>
      <c r="H88" s="10">
        <v>20.87</v>
      </c>
      <c r="I88" s="10">
        <v>-156.44999999999999</v>
      </c>
      <c r="J88" s="10" t="s">
        <v>335</v>
      </c>
      <c r="K88" s="10" t="s">
        <v>337</v>
      </c>
      <c r="L88" s="10">
        <v>17192</v>
      </c>
      <c r="M88" s="27">
        <f t="shared" si="3"/>
        <v>6719.0002112440889</v>
      </c>
      <c r="N88" s="33" t="s">
        <v>444</v>
      </c>
      <c r="O88" s="23" t="s">
        <v>441</v>
      </c>
      <c r="P88" s="31"/>
      <c r="Q88" s="31">
        <f>$B$5-Table1[[#This Row],[Latitude]]</f>
        <v>22.19</v>
      </c>
      <c r="R88" s="31">
        <f>$B$6-Table1[[#This Row],[Longitude]]</f>
        <v>68.489999999999995</v>
      </c>
    </row>
    <row r="89" spans="5:18">
      <c r="E89" s="8" t="s">
        <v>445</v>
      </c>
      <c r="F89" s="10" t="s">
        <v>441</v>
      </c>
      <c r="G89" s="10">
        <v>96766</v>
      </c>
      <c r="H89" s="10">
        <v>21.97</v>
      </c>
      <c r="I89" s="10">
        <v>-159.35</v>
      </c>
      <c r="J89" s="10" t="s">
        <v>335</v>
      </c>
      <c r="K89" s="10" t="s">
        <v>337</v>
      </c>
      <c r="L89" s="10">
        <v>12848</v>
      </c>
      <c r="M89" s="27">
        <f t="shared" si="3"/>
        <v>6878.2199922932368</v>
      </c>
      <c r="N89" s="33" t="s">
        <v>445</v>
      </c>
      <c r="O89" s="23" t="s">
        <v>441</v>
      </c>
      <c r="P89" s="31"/>
      <c r="Q89" s="31">
        <f>$B$5-Table1[[#This Row],[Latitude]]</f>
        <v>21.090000000000003</v>
      </c>
      <c r="R89" s="31">
        <f>$B$6-Table1[[#This Row],[Longitude]]</f>
        <v>71.39</v>
      </c>
    </row>
    <row r="90" spans="5:18">
      <c r="E90" s="8" t="s">
        <v>446</v>
      </c>
      <c r="F90" s="10" t="s">
        <v>441</v>
      </c>
      <c r="G90" s="10">
        <v>96782</v>
      </c>
      <c r="H90" s="10">
        <v>21.4</v>
      </c>
      <c r="I90" s="10">
        <v>-157.96</v>
      </c>
      <c r="J90" s="10" t="s">
        <v>335</v>
      </c>
      <c r="K90" s="10" t="s">
        <v>337</v>
      </c>
      <c r="L90" s="10">
        <v>32267</v>
      </c>
      <c r="M90" s="27">
        <f t="shared" si="3"/>
        <v>6804.8705992093182</v>
      </c>
      <c r="N90" s="33" t="s">
        <v>446</v>
      </c>
      <c r="O90" s="23" t="s">
        <v>441</v>
      </c>
      <c r="P90" s="31"/>
      <c r="Q90" s="31">
        <f>$B$5-Table1[[#This Row],[Latitude]]</f>
        <v>21.660000000000004</v>
      </c>
      <c r="R90" s="31">
        <f>$B$6-Table1[[#This Row],[Longitude]]</f>
        <v>70.000000000000014</v>
      </c>
    </row>
    <row r="91" spans="5:18">
      <c r="E91" s="8" t="s">
        <v>447</v>
      </c>
      <c r="F91" s="10" t="s">
        <v>441</v>
      </c>
      <c r="G91" s="10">
        <v>96786</v>
      </c>
      <c r="H91" s="10">
        <v>21.5</v>
      </c>
      <c r="I91" s="10">
        <v>-158.02000000000001</v>
      </c>
      <c r="J91" s="10" t="s">
        <v>335</v>
      </c>
      <c r="K91" s="10" t="s">
        <v>337</v>
      </c>
      <c r="L91" s="10">
        <v>29939</v>
      </c>
      <c r="M91" s="27">
        <f t="shared" si="3"/>
        <v>6802.8307908970137</v>
      </c>
      <c r="N91" s="33" t="s">
        <v>447</v>
      </c>
      <c r="O91" s="23" t="s">
        <v>441</v>
      </c>
      <c r="P91" s="31"/>
      <c r="Q91" s="31">
        <f>$B$5-Table1[[#This Row],[Latitude]]</f>
        <v>21.560000000000002</v>
      </c>
      <c r="R91" s="31">
        <f>$B$6-Table1[[#This Row],[Longitude]]</f>
        <v>70.060000000000016</v>
      </c>
    </row>
    <row r="92" spans="5:18">
      <c r="E92" s="8" t="s">
        <v>448</v>
      </c>
      <c r="F92" s="10" t="s">
        <v>449</v>
      </c>
      <c r="G92" s="10">
        <v>83704</v>
      </c>
      <c r="H92" s="10">
        <v>43.63</v>
      </c>
      <c r="I92" s="10">
        <v>-116.28</v>
      </c>
      <c r="J92" s="10" t="s">
        <v>335</v>
      </c>
      <c r="K92" s="10" t="s">
        <v>337</v>
      </c>
      <c r="L92" s="10">
        <v>29687</v>
      </c>
      <c r="M92" s="27">
        <f t="shared" si="3"/>
        <v>2279.8252696650256</v>
      </c>
      <c r="N92" s="33" t="s">
        <v>448</v>
      </c>
      <c r="O92" s="23" t="s">
        <v>449</v>
      </c>
      <c r="P92" s="31"/>
      <c r="Q92" s="31">
        <f>$B$5-Table1[[#This Row],[Latitude]]</f>
        <v>-0.57000000000000028</v>
      </c>
      <c r="R92" s="31">
        <f>$B$6-Table1[[#This Row],[Longitude]]</f>
        <v>28.320000000000007</v>
      </c>
    </row>
    <row r="93" spans="5:18">
      <c r="E93" s="8" t="s">
        <v>450</v>
      </c>
      <c r="F93" s="10" t="s">
        <v>449</v>
      </c>
      <c r="G93" s="10">
        <v>83501</v>
      </c>
      <c r="H93" s="10">
        <v>46.16</v>
      </c>
      <c r="I93" s="10">
        <v>-116.92</v>
      </c>
      <c r="J93" s="10" t="s">
        <v>335</v>
      </c>
      <c r="K93" s="10" t="s">
        <v>337</v>
      </c>
      <c r="L93" s="10">
        <v>27415</v>
      </c>
      <c r="M93" s="27">
        <f t="shared" si="3"/>
        <v>2305.1211335095841</v>
      </c>
      <c r="N93" s="33" t="s">
        <v>450</v>
      </c>
      <c r="O93" s="23" t="s">
        <v>449</v>
      </c>
      <c r="P93" s="31"/>
      <c r="Q93" s="31">
        <f>$B$5-Table1[[#This Row],[Latitude]]</f>
        <v>-3.0999999999999943</v>
      </c>
      <c r="R93" s="31">
        <f>$B$6-Table1[[#This Row],[Longitude]]</f>
        <v>28.960000000000008</v>
      </c>
    </row>
    <row r="94" spans="5:18">
      <c r="E94" s="8" t="s">
        <v>451</v>
      </c>
      <c r="F94" s="10" t="s">
        <v>449</v>
      </c>
      <c r="G94" s="10">
        <v>83201</v>
      </c>
      <c r="H94" s="10">
        <v>42.9</v>
      </c>
      <c r="I94" s="10">
        <v>-112.39</v>
      </c>
      <c r="J94" s="10" t="s">
        <v>335</v>
      </c>
      <c r="K94" s="10" t="s">
        <v>337</v>
      </c>
      <c r="L94" s="10">
        <v>27114</v>
      </c>
      <c r="M94" s="27">
        <f t="shared" si="3"/>
        <v>1980.382733241355</v>
      </c>
      <c r="N94" s="33" t="s">
        <v>451</v>
      </c>
      <c r="O94" s="23" t="s">
        <v>449</v>
      </c>
      <c r="P94" s="31"/>
      <c r="Q94" s="31">
        <f>$B$5-Table1[[#This Row],[Latitude]]</f>
        <v>0.16000000000000369</v>
      </c>
      <c r="R94" s="31">
        <f>$B$6-Table1[[#This Row],[Longitude]]</f>
        <v>24.430000000000007</v>
      </c>
    </row>
    <row r="95" spans="5:18">
      <c r="E95" s="8" t="s">
        <v>452</v>
      </c>
      <c r="F95" s="10" t="s">
        <v>453</v>
      </c>
      <c r="G95" s="10">
        <v>60007</v>
      </c>
      <c r="H95" s="10">
        <v>42</v>
      </c>
      <c r="I95" s="10">
        <v>-87.99</v>
      </c>
      <c r="J95" s="10" t="s">
        <v>335</v>
      </c>
      <c r="K95" s="10" t="s">
        <v>337</v>
      </c>
      <c r="L95" s="10">
        <v>31802</v>
      </c>
      <c r="M95" s="27">
        <f t="shared" si="3"/>
        <v>117.89225206292508</v>
      </c>
      <c r="N95" s="33" t="s">
        <v>452</v>
      </c>
      <c r="O95" s="23" t="s">
        <v>453</v>
      </c>
      <c r="P95" s="31"/>
      <c r="Q95" s="31">
        <f>$B$5-Table1[[#This Row],[Latitude]]</f>
        <v>1.0600000000000023</v>
      </c>
      <c r="R95" s="31">
        <f>$B$6-Table1[[#This Row],[Longitude]]</f>
        <v>3.0000000000001137E-2</v>
      </c>
    </row>
    <row r="96" spans="5:18">
      <c r="E96" s="8" t="s">
        <v>454</v>
      </c>
      <c r="F96" s="10" t="s">
        <v>453</v>
      </c>
      <c r="G96" s="10">
        <v>60459</v>
      </c>
      <c r="H96" s="10">
        <v>41.74</v>
      </c>
      <c r="I96" s="10">
        <v>-87.76</v>
      </c>
      <c r="J96" s="10" t="s">
        <v>335</v>
      </c>
      <c r="K96" s="10" t="s">
        <v>337</v>
      </c>
      <c r="L96" s="10">
        <v>23868</v>
      </c>
      <c r="M96" s="27">
        <f t="shared" si="3"/>
        <v>147.69303726353061</v>
      </c>
      <c r="N96" s="33" t="s">
        <v>454</v>
      </c>
      <c r="O96" s="23" t="s">
        <v>453</v>
      </c>
      <c r="P96" s="31"/>
      <c r="Q96" s="31">
        <f>$B$5-Table1[[#This Row],[Latitude]]</f>
        <v>1.3200000000000003</v>
      </c>
      <c r="R96" s="31">
        <f>$B$6-Table1[[#This Row],[Longitude]]</f>
        <v>-0.19999999999998863</v>
      </c>
    </row>
    <row r="97" spans="5:18">
      <c r="E97" s="8" t="s">
        <v>455</v>
      </c>
      <c r="F97" s="10" t="s">
        <v>453</v>
      </c>
      <c r="G97" s="10">
        <v>61265</v>
      </c>
      <c r="H97" s="10">
        <v>41.48</v>
      </c>
      <c r="I97" s="10">
        <v>-90.48</v>
      </c>
      <c r="J97" s="10" t="s">
        <v>335</v>
      </c>
      <c r="K97" s="10" t="s">
        <v>337</v>
      </c>
      <c r="L97" s="10">
        <v>38912</v>
      </c>
      <c r="M97" s="27">
        <f t="shared" si="3"/>
        <v>271.75054196785703</v>
      </c>
      <c r="N97" s="33" t="s">
        <v>455</v>
      </c>
      <c r="O97" s="23" t="s">
        <v>453</v>
      </c>
      <c r="P97" s="31"/>
      <c r="Q97" s="31">
        <f>$B$5-Table1[[#This Row],[Latitude]]</f>
        <v>1.5800000000000054</v>
      </c>
      <c r="R97" s="31">
        <f>$B$6-Table1[[#This Row],[Longitude]]</f>
        <v>2.5200000000000102</v>
      </c>
    </row>
    <row r="98" spans="5:18">
      <c r="E98" s="8" t="s">
        <v>456</v>
      </c>
      <c r="F98" s="10" t="s">
        <v>453</v>
      </c>
      <c r="G98" s="10">
        <v>61604</v>
      </c>
      <c r="H98" s="10">
        <v>40.74</v>
      </c>
      <c r="I98" s="10">
        <v>-89.6</v>
      </c>
      <c r="J98" s="10" t="s">
        <v>335</v>
      </c>
      <c r="K98" s="10" t="s">
        <v>337</v>
      </c>
      <c r="L98" s="10">
        <v>24471</v>
      </c>
      <c r="M98" s="27">
        <f t="shared" si="3"/>
        <v>291.48550794775173</v>
      </c>
      <c r="N98" s="33" t="s">
        <v>456</v>
      </c>
      <c r="O98" s="23" t="s">
        <v>453</v>
      </c>
      <c r="P98" s="31"/>
      <c r="Q98" s="31">
        <f>$B$5-Table1[[#This Row],[Latitude]]</f>
        <v>2.3200000000000003</v>
      </c>
      <c r="R98" s="31">
        <f>$B$6-Table1[[#This Row],[Longitude]]</f>
        <v>1.6400000000000006</v>
      </c>
    </row>
    <row r="99" spans="5:18">
      <c r="E99" s="8" t="s">
        <v>457</v>
      </c>
      <c r="F99" s="10" t="s">
        <v>453</v>
      </c>
      <c r="G99" s="10">
        <v>61866</v>
      </c>
      <c r="H99" s="10">
        <v>40.299999999999997</v>
      </c>
      <c r="I99" s="10">
        <v>-88.15</v>
      </c>
      <c r="J99" s="10" t="s">
        <v>335</v>
      </c>
      <c r="K99" s="10" t="s">
        <v>337</v>
      </c>
      <c r="L99" s="10">
        <v>11588</v>
      </c>
      <c r="M99" s="27">
        <f t="shared" si="3"/>
        <v>307.30310755503399</v>
      </c>
      <c r="N99" s="33" t="s">
        <v>457</v>
      </c>
      <c r="O99" s="23" t="s">
        <v>453</v>
      </c>
      <c r="P99" s="31"/>
      <c r="Q99" s="31">
        <f>$B$5-Table1[[#This Row],[Latitude]]</f>
        <v>2.7600000000000051</v>
      </c>
      <c r="R99" s="31">
        <f>$B$6-Table1[[#This Row],[Longitude]]</f>
        <v>0.19000000000001194</v>
      </c>
    </row>
    <row r="100" spans="5:18">
      <c r="E100" s="8" t="s">
        <v>458</v>
      </c>
      <c r="F100" s="10" t="s">
        <v>453</v>
      </c>
      <c r="G100" s="10">
        <v>61103</v>
      </c>
      <c r="H100" s="10">
        <v>42.27</v>
      </c>
      <c r="I100" s="10">
        <v>-89.06</v>
      </c>
      <c r="J100" s="10" t="s">
        <v>335</v>
      </c>
      <c r="K100" s="10" t="s">
        <v>337</v>
      </c>
      <c r="L100" s="10">
        <v>18507</v>
      </c>
      <c r="M100" s="27">
        <f t="shared" si="3"/>
        <v>125.71967440954941</v>
      </c>
      <c r="N100" s="33" t="s">
        <v>458</v>
      </c>
      <c r="O100" s="23" t="s">
        <v>453</v>
      </c>
      <c r="P100" s="31"/>
      <c r="Q100" s="31">
        <f>$B$5-Table1[[#This Row],[Latitude]]</f>
        <v>0.78999999999999915</v>
      </c>
      <c r="R100" s="31">
        <f>$B$6-Table1[[#This Row],[Longitude]]</f>
        <v>1.1000000000000085</v>
      </c>
    </row>
    <row r="101" spans="5:18">
      <c r="E101" s="8" t="s">
        <v>459</v>
      </c>
      <c r="F101" s="10" t="s">
        <v>453</v>
      </c>
      <c r="G101" s="10">
        <v>62704</v>
      </c>
      <c r="H101" s="10">
        <v>39.78</v>
      </c>
      <c r="I101" s="10">
        <v>-89.64</v>
      </c>
      <c r="J101" s="10" t="s">
        <v>335</v>
      </c>
      <c r="K101" s="10" t="s">
        <v>337</v>
      </c>
      <c r="L101" s="10">
        <v>33869</v>
      </c>
      <c r="M101" s="27">
        <f t="shared" si="3"/>
        <v>390.67253428762154</v>
      </c>
      <c r="N101" s="33" t="s">
        <v>459</v>
      </c>
      <c r="O101" s="23" t="s">
        <v>453</v>
      </c>
      <c r="P101" s="31"/>
      <c r="Q101" s="31">
        <f>$B$5-Table1[[#This Row],[Latitude]]</f>
        <v>3.2800000000000011</v>
      </c>
      <c r="R101" s="31">
        <f>$B$6-Table1[[#This Row],[Longitude]]</f>
        <v>1.6800000000000068</v>
      </c>
    </row>
    <row r="102" spans="5:18">
      <c r="E102" s="8" t="s">
        <v>436</v>
      </c>
      <c r="F102" s="10" t="s">
        <v>460</v>
      </c>
      <c r="G102" s="10">
        <v>47201</v>
      </c>
      <c r="H102" s="10">
        <v>39.21</v>
      </c>
      <c r="I102" s="10">
        <v>-85.91</v>
      </c>
      <c r="J102" s="10" t="s">
        <v>335</v>
      </c>
      <c r="K102" s="10" t="s">
        <v>337</v>
      </c>
      <c r="L102" s="10">
        <v>34763</v>
      </c>
      <c r="M102" s="27">
        <f t="shared" si="3"/>
        <v>461.20189311510495</v>
      </c>
      <c r="N102" s="33" t="s">
        <v>436</v>
      </c>
      <c r="O102" s="23" t="s">
        <v>460</v>
      </c>
      <c r="P102" s="31"/>
      <c r="Q102" s="31">
        <f>$B$5-Table1[[#This Row],[Latitude]]</f>
        <v>3.8500000000000014</v>
      </c>
      <c r="R102" s="31">
        <f>$B$6-Table1[[#This Row],[Longitude]]</f>
        <v>-2.0499999999999972</v>
      </c>
    </row>
    <row r="103" spans="5:18">
      <c r="E103" s="8" t="s">
        <v>461</v>
      </c>
      <c r="F103" s="10" t="s">
        <v>460</v>
      </c>
      <c r="G103" s="10">
        <v>47711</v>
      </c>
      <c r="H103" s="10">
        <v>37.979999999999997</v>
      </c>
      <c r="I103" s="10">
        <v>-87.54</v>
      </c>
      <c r="J103" s="10" t="s">
        <v>335</v>
      </c>
      <c r="K103" s="10" t="s">
        <v>337</v>
      </c>
      <c r="L103" s="10">
        <v>26028</v>
      </c>
      <c r="M103" s="27">
        <f t="shared" si="3"/>
        <v>565.98243094662257</v>
      </c>
      <c r="N103" s="33" t="s">
        <v>461</v>
      </c>
      <c r="O103" s="23" t="s">
        <v>460</v>
      </c>
      <c r="P103" s="31"/>
      <c r="Q103" s="31">
        <f>$B$5-Table1[[#This Row],[Latitude]]</f>
        <v>5.0800000000000054</v>
      </c>
      <c r="R103" s="31">
        <f>$B$6-Table1[[#This Row],[Longitude]]</f>
        <v>-0.41999999999998749</v>
      </c>
    </row>
    <row r="104" spans="5:18">
      <c r="E104" s="8" t="s">
        <v>462</v>
      </c>
      <c r="F104" s="10" t="s">
        <v>460</v>
      </c>
      <c r="G104" s="10">
        <v>46835</v>
      </c>
      <c r="H104" s="10">
        <v>41.07</v>
      </c>
      <c r="I104" s="10">
        <v>-85.13</v>
      </c>
      <c r="J104" s="10" t="s">
        <v>335</v>
      </c>
      <c r="K104" s="10" t="s">
        <v>337</v>
      </c>
      <c r="L104" s="10">
        <v>28626</v>
      </c>
      <c r="M104" s="27">
        <f t="shared" si="3"/>
        <v>321.73903904579288</v>
      </c>
      <c r="N104" s="33" t="s">
        <v>462</v>
      </c>
      <c r="O104" s="23" t="s">
        <v>460</v>
      </c>
      <c r="P104" s="31"/>
      <c r="Q104" s="31">
        <f>$B$5-Table1[[#This Row],[Latitude]]</f>
        <v>1.990000000000002</v>
      </c>
      <c r="R104" s="31">
        <f>$B$6-Table1[[#This Row],[Longitude]]</f>
        <v>-2.8299999999999983</v>
      </c>
    </row>
    <row r="105" spans="5:18">
      <c r="E105" s="8" t="s">
        <v>463</v>
      </c>
      <c r="F105" s="10" t="s">
        <v>460</v>
      </c>
      <c r="G105" s="10">
        <v>46203</v>
      </c>
      <c r="H105" s="10">
        <v>39.770000000000003</v>
      </c>
      <c r="I105" s="10">
        <v>-86.14</v>
      </c>
      <c r="J105" s="10" t="s">
        <v>335</v>
      </c>
      <c r="K105" s="10" t="s">
        <v>337</v>
      </c>
      <c r="L105" s="10">
        <v>28041</v>
      </c>
      <c r="M105" s="27">
        <f t="shared" si="3"/>
        <v>396.0356967976528</v>
      </c>
      <c r="N105" s="33" t="s">
        <v>463</v>
      </c>
      <c r="O105" s="23" t="s">
        <v>460</v>
      </c>
      <c r="P105" s="31"/>
      <c r="Q105" s="31">
        <f>$B$5-Table1[[#This Row],[Latitude]]</f>
        <v>3.2899999999999991</v>
      </c>
      <c r="R105" s="31">
        <f>$B$6-Table1[[#This Row],[Longitude]]</f>
        <v>-1.8199999999999932</v>
      </c>
    </row>
    <row r="106" spans="5:18">
      <c r="E106" s="8" t="s">
        <v>464</v>
      </c>
      <c r="F106" s="10" t="s">
        <v>460</v>
      </c>
      <c r="G106" s="10">
        <v>46970</v>
      </c>
      <c r="H106" s="10">
        <v>40.75</v>
      </c>
      <c r="I106" s="10">
        <v>-86.06</v>
      </c>
      <c r="J106" s="10" t="s">
        <v>335</v>
      </c>
      <c r="K106" s="10" t="s">
        <v>337</v>
      </c>
      <c r="L106" s="10">
        <v>19541</v>
      </c>
      <c r="M106" s="27">
        <f t="shared" si="3"/>
        <v>301.14572277549524</v>
      </c>
      <c r="N106" s="33" t="s">
        <v>464</v>
      </c>
      <c r="O106" s="23" t="s">
        <v>460</v>
      </c>
      <c r="P106" s="31"/>
      <c r="Q106" s="31">
        <f>$B$5-Table1[[#This Row],[Latitude]]</f>
        <v>2.3100000000000023</v>
      </c>
      <c r="R106" s="31">
        <f>$B$6-Table1[[#This Row],[Longitude]]</f>
        <v>-1.8999999999999915</v>
      </c>
    </row>
    <row r="107" spans="5:18">
      <c r="E107" s="8" t="s">
        <v>465</v>
      </c>
      <c r="F107" s="10" t="s">
        <v>460</v>
      </c>
      <c r="G107" s="10">
        <v>46322</v>
      </c>
      <c r="H107" s="10">
        <v>41.54</v>
      </c>
      <c r="I107" s="10">
        <v>-87.45</v>
      </c>
      <c r="J107" s="10" t="s">
        <v>335</v>
      </c>
      <c r="K107" s="10" t="s">
        <v>337</v>
      </c>
      <c r="L107" s="10">
        <v>21160</v>
      </c>
      <c r="M107" s="27">
        <f t="shared" si="3"/>
        <v>174.1420222985472</v>
      </c>
      <c r="N107" s="33" t="s">
        <v>465</v>
      </c>
      <c r="O107" s="23" t="s">
        <v>460</v>
      </c>
      <c r="P107" s="31"/>
      <c r="Q107" s="31">
        <f>$B$5-Table1[[#This Row],[Latitude]]</f>
        <v>1.5200000000000031</v>
      </c>
      <c r="R107" s="31">
        <f>$B$6-Table1[[#This Row],[Longitude]]</f>
        <v>-0.50999999999999091</v>
      </c>
    </row>
    <row r="108" spans="5:18">
      <c r="E108" s="8" t="s">
        <v>466</v>
      </c>
      <c r="F108" s="10" t="s">
        <v>467</v>
      </c>
      <c r="G108" s="10">
        <v>50317</v>
      </c>
      <c r="H108" s="10">
        <v>41.57</v>
      </c>
      <c r="I108" s="10">
        <v>-93.61</v>
      </c>
      <c r="J108" s="10" t="s">
        <v>335</v>
      </c>
      <c r="K108" s="10" t="s">
        <v>337</v>
      </c>
      <c r="L108" s="10">
        <v>28311</v>
      </c>
      <c r="M108" s="27">
        <f t="shared" si="3"/>
        <v>493.09995751090037</v>
      </c>
      <c r="N108" s="33" t="s">
        <v>466</v>
      </c>
      <c r="O108" s="23" t="s">
        <v>467</v>
      </c>
      <c r="P108" s="31"/>
      <c r="Q108" s="31">
        <f>$B$5-Table1[[#This Row],[Latitude]]</f>
        <v>1.490000000000002</v>
      </c>
      <c r="R108" s="31">
        <f>$B$6-Table1[[#This Row],[Longitude]]</f>
        <v>5.6500000000000057</v>
      </c>
    </row>
    <row r="109" spans="5:18">
      <c r="E109" s="8" t="s">
        <v>468</v>
      </c>
      <c r="F109" s="10" t="s">
        <v>467</v>
      </c>
      <c r="G109" s="10">
        <v>52001</v>
      </c>
      <c r="H109" s="10">
        <v>42.5</v>
      </c>
      <c r="I109" s="10">
        <v>-90.69</v>
      </c>
      <c r="J109" s="10" t="s">
        <v>335</v>
      </c>
      <c r="K109" s="10" t="s">
        <v>337</v>
      </c>
      <c r="L109" s="10">
        <v>31922</v>
      </c>
      <c r="M109" s="27">
        <f t="shared" si="3"/>
        <v>231.33005337497266</v>
      </c>
      <c r="N109" s="33" t="s">
        <v>468</v>
      </c>
      <c r="O109" s="23" t="s">
        <v>467</v>
      </c>
      <c r="P109" s="31"/>
      <c r="Q109" s="31">
        <f>$B$5-Table1[[#This Row],[Latitude]]</f>
        <v>0.56000000000000227</v>
      </c>
      <c r="R109" s="31">
        <f>$B$6-Table1[[#This Row],[Longitude]]</f>
        <v>2.730000000000004</v>
      </c>
    </row>
    <row r="110" spans="5:18">
      <c r="E110" s="8" t="s">
        <v>469</v>
      </c>
      <c r="F110" s="10" t="s">
        <v>467</v>
      </c>
      <c r="G110" s="10">
        <v>51106</v>
      </c>
      <c r="H110" s="10">
        <v>42.5</v>
      </c>
      <c r="I110" s="10">
        <v>-96.39</v>
      </c>
      <c r="J110" s="10" t="s">
        <v>335</v>
      </c>
      <c r="K110" s="10" t="s">
        <v>337</v>
      </c>
      <c r="L110" s="10">
        <v>21521</v>
      </c>
      <c r="M110" s="27">
        <f t="shared" si="3"/>
        <v>690.51803999787774</v>
      </c>
      <c r="N110" s="33" t="s">
        <v>469</v>
      </c>
      <c r="O110" s="23" t="s">
        <v>467</v>
      </c>
      <c r="P110" s="31"/>
      <c r="Q110" s="31">
        <f>$B$5-Table1[[#This Row],[Latitude]]</f>
        <v>0.56000000000000227</v>
      </c>
      <c r="R110" s="31">
        <f>$B$6-Table1[[#This Row],[Longitude]]</f>
        <v>8.4300000000000068</v>
      </c>
    </row>
    <row r="111" spans="5:18">
      <c r="E111" s="8" t="s">
        <v>470</v>
      </c>
      <c r="F111" s="10" t="s">
        <v>467</v>
      </c>
      <c r="G111" s="10">
        <v>50701</v>
      </c>
      <c r="H111" s="10">
        <v>42.49</v>
      </c>
      <c r="I111" s="10">
        <v>-92.35</v>
      </c>
      <c r="J111" s="10" t="s">
        <v>335</v>
      </c>
      <c r="K111" s="10" t="s">
        <v>337</v>
      </c>
      <c r="L111" s="10">
        <v>24230</v>
      </c>
      <c r="M111" s="27">
        <f t="shared" si="3"/>
        <v>363.82928007904269</v>
      </c>
      <c r="N111" s="33" t="s">
        <v>470</v>
      </c>
      <c r="O111" s="23" t="s">
        <v>467</v>
      </c>
      <c r="P111" s="31"/>
      <c r="Q111" s="31">
        <f>$B$5-Table1[[#This Row],[Latitude]]</f>
        <v>0.57000000000000028</v>
      </c>
      <c r="R111" s="31">
        <f>$B$6-Table1[[#This Row],[Longitude]]</f>
        <v>4.3900000000000006</v>
      </c>
    </row>
    <row r="112" spans="5:18">
      <c r="E112" s="8" t="s">
        <v>471</v>
      </c>
      <c r="F112" s="10" t="s">
        <v>472</v>
      </c>
      <c r="G112" s="10">
        <v>66901</v>
      </c>
      <c r="H112" s="10">
        <v>39.57</v>
      </c>
      <c r="I112" s="10">
        <v>-97.66</v>
      </c>
      <c r="J112" s="10" t="s">
        <v>335</v>
      </c>
      <c r="K112" s="10" t="s">
        <v>337</v>
      </c>
      <c r="L112" s="10">
        <v>5325</v>
      </c>
      <c r="M112" s="27">
        <f t="shared" si="3"/>
        <v>897.51646856042771</v>
      </c>
      <c r="N112" s="33" t="s">
        <v>471</v>
      </c>
      <c r="O112" s="23" t="s">
        <v>472</v>
      </c>
      <c r="P112" s="31"/>
      <c r="Q112" s="31">
        <f>$B$5-Table1[[#This Row],[Latitude]]</f>
        <v>3.490000000000002</v>
      </c>
      <c r="R112" s="31">
        <f>$B$6-Table1[[#This Row],[Longitude]]</f>
        <v>9.7000000000000028</v>
      </c>
    </row>
    <row r="113" spans="5:18">
      <c r="E113" s="8" t="s">
        <v>473</v>
      </c>
      <c r="F113" s="10" t="s">
        <v>472</v>
      </c>
      <c r="G113" s="10">
        <v>67801</v>
      </c>
      <c r="H113" s="10">
        <v>37.75</v>
      </c>
      <c r="I113" s="10">
        <v>-100.01</v>
      </c>
      <c r="J113" s="10" t="s">
        <v>335</v>
      </c>
      <c r="K113" s="10" t="s">
        <v>337</v>
      </c>
      <c r="L113" s="10">
        <v>23849</v>
      </c>
      <c r="M113" s="27">
        <f t="shared" si="3"/>
        <v>1177.1462912715458</v>
      </c>
      <c r="N113" s="33" t="s">
        <v>473</v>
      </c>
      <c r="O113" s="23" t="s">
        <v>472</v>
      </c>
      <c r="P113" s="31"/>
      <c r="Q113" s="31">
        <f>$B$5-Table1[[#This Row],[Latitude]]</f>
        <v>5.3100000000000023</v>
      </c>
      <c r="R113" s="31">
        <f>$B$6-Table1[[#This Row],[Longitude]]</f>
        <v>12.050000000000011</v>
      </c>
    </row>
    <row r="114" spans="5:18">
      <c r="E114" s="8" t="s">
        <v>474</v>
      </c>
      <c r="F114" s="10" t="s">
        <v>472</v>
      </c>
      <c r="G114" s="10">
        <v>67735</v>
      </c>
      <c r="H114" s="10">
        <v>39.340000000000003</v>
      </c>
      <c r="I114" s="10">
        <v>-101.7</v>
      </c>
      <c r="J114" s="10" t="s">
        <v>335</v>
      </c>
      <c r="K114" s="10" t="s">
        <v>337</v>
      </c>
      <c r="L114" s="10">
        <v>4491</v>
      </c>
      <c r="M114" s="27">
        <f t="shared" si="3"/>
        <v>1219.9544146981202</v>
      </c>
      <c r="N114" s="33" t="s">
        <v>474</v>
      </c>
      <c r="O114" s="23" t="s">
        <v>472</v>
      </c>
      <c r="P114" s="31"/>
      <c r="Q114" s="31">
        <f>$B$5-Table1[[#This Row],[Latitude]]</f>
        <v>3.7199999999999989</v>
      </c>
      <c r="R114" s="31">
        <f>$B$6-Table1[[#This Row],[Longitude]]</f>
        <v>13.740000000000009</v>
      </c>
    </row>
    <row r="115" spans="5:18">
      <c r="E115" s="8" t="s">
        <v>475</v>
      </c>
      <c r="F115" s="10" t="s">
        <v>472</v>
      </c>
      <c r="G115" s="10">
        <v>66614</v>
      </c>
      <c r="H115" s="10">
        <v>39.03</v>
      </c>
      <c r="I115" s="10">
        <v>-95.69</v>
      </c>
      <c r="J115" s="10" t="s">
        <v>335</v>
      </c>
      <c r="K115" s="10" t="s">
        <v>337</v>
      </c>
      <c r="L115" s="10">
        <v>27021</v>
      </c>
      <c r="M115" s="27">
        <f t="shared" si="3"/>
        <v>787.52962328874878</v>
      </c>
      <c r="N115" s="33" t="s">
        <v>475</v>
      </c>
      <c r="O115" s="23" t="s">
        <v>472</v>
      </c>
      <c r="P115" s="31"/>
      <c r="Q115" s="31">
        <f>$B$5-Table1[[#This Row],[Latitude]]</f>
        <v>4.0300000000000011</v>
      </c>
      <c r="R115" s="31">
        <f>$B$6-Table1[[#This Row],[Longitude]]</f>
        <v>7.730000000000004</v>
      </c>
    </row>
    <row r="116" spans="5:18">
      <c r="E116" s="8" t="s">
        <v>476</v>
      </c>
      <c r="F116" s="10" t="s">
        <v>472</v>
      </c>
      <c r="G116" s="10">
        <v>67203</v>
      </c>
      <c r="H116" s="10">
        <v>37.68</v>
      </c>
      <c r="I116" s="10">
        <v>-97.34</v>
      </c>
      <c r="J116" s="10" t="s">
        <v>335</v>
      </c>
      <c r="K116" s="10" t="s">
        <v>337</v>
      </c>
      <c r="L116" s="10">
        <v>22662</v>
      </c>
      <c r="M116" s="27">
        <f t="shared" si="3"/>
        <v>993.61689947531181</v>
      </c>
      <c r="N116" s="33" t="s">
        <v>476</v>
      </c>
      <c r="O116" s="23" t="s">
        <v>472</v>
      </c>
      <c r="P116" s="31"/>
      <c r="Q116" s="31">
        <f>$B$5-Table1[[#This Row],[Latitude]]</f>
        <v>5.3800000000000026</v>
      </c>
      <c r="R116" s="31">
        <f>$B$6-Table1[[#This Row],[Longitude]]</f>
        <v>9.3800000000000097</v>
      </c>
    </row>
    <row r="117" spans="5:18">
      <c r="E117" s="8" t="s">
        <v>127</v>
      </c>
      <c r="F117" s="10" t="s">
        <v>477</v>
      </c>
      <c r="G117" s="10">
        <v>42223</v>
      </c>
      <c r="H117" s="10">
        <v>36.65</v>
      </c>
      <c r="I117" s="10">
        <v>-87.54</v>
      </c>
      <c r="J117" s="10" t="s">
        <v>335</v>
      </c>
      <c r="K117" s="10" t="s">
        <v>337</v>
      </c>
      <c r="L117" s="10">
        <v>13815</v>
      </c>
      <c r="M117" s="27">
        <f t="shared" si="3"/>
        <v>713.65766420734201</v>
      </c>
      <c r="N117" s="33" t="s">
        <v>127</v>
      </c>
      <c r="O117" s="23" t="s">
        <v>477</v>
      </c>
      <c r="P117" s="31"/>
      <c r="Q117" s="31">
        <f>$B$5-Table1[[#This Row],[Latitude]]</f>
        <v>6.4100000000000037</v>
      </c>
      <c r="R117" s="31">
        <f>$B$6-Table1[[#This Row],[Longitude]]</f>
        <v>-0.41999999999998749</v>
      </c>
    </row>
    <row r="118" spans="5:18">
      <c r="E118" s="8" t="s">
        <v>478</v>
      </c>
      <c r="F118" s="10" t="s">
        <v>477</v>
      </c>
      <c r="G118" s="10">
        <v>41339</v>
      </c>
      <c r="H118" s="10">
        <v>37.549999999999997</v>
      </c>
      <c r="I118" s="10">
        <v>-83.37</v>
      </c>
      <c r="J118" s="10" t="s">
        <v>335</v>
      </c>
      <c r="K118" s="10" t="s">
        <v>337</v>
      </c>
      <c r="L118" s="10">
        <v>6879</v>
      </c>
      <c r="M118" s="27">
        <f t="shared" si="3"/>
        <v>725.58617814878596</v>
      </c>
      <c r="N118" s="33" t="s">
        <v>478</v>
      </c>
      <c r="O118" s="23" t="s">
        <v>477</v>
      </c>
      <c r="P118" s="31"/>
      <c r="Q118" s="31">
        <f>$B$5-Table1[[#This Row],[Latitude]]</f>
        <v>5.5100000000000051</v>
      </c>
      <c r="R118" s="31">
        <f>$B$6-Table1[[#This Row],[Longitude]]</f>
        <v>-4.5899999999999892</v>
      </c>
    </row>
    <row r="119" spans="5:18">
      <c r="E119" s="8" t="s">
        <v>479</v>
      </c>
      <c r="F119" s="10" t="s">
        <v>477</v>
      </c>
      <c r="G119" s="10">
        <v>40503</v>
      </c>
      <c r="H119" s="10">
        <v>38.04</v>
      </c>
      <c r="I119" s="10">
        <v>-84.45</v>
      </c>
      <c r="J119" s="10" t="s">
        <v>335</v>
      </c>
      <c r="K119" s="10" t="s">
        <v>337</v>
      </c>
      <c r="L119" s="10">
        <v>22217</v>
      </c>
      <c r="M119" s="27">
        <f t="shared" si="3"/>
        <v>631.93538536990911</v>
      </c>
      <c r="N119" s="33" t="s">
        <v>479</v>
      </c>
      <c r="O119" s="23" t="s">
        <v>477</v>
      </c>
      <c r="P119" s="31"/>
      <c r="Q119" s="31">
        <f>$B$5-Table1[[#This Row],[Latitude]]</f>
        <v>5.0200000000000031</v>
      </c>
      <c r="R119" s="31">
        <f>$B$6-Table1[[#This Row],[Longitude]]</f>
        <v>-3.5099999999999909</v>
      </c>
    </row>
    <row r="120" spans="5:18">
      <c r="E120" s="8" t="s">
        <v>480</v>
      </c>
      <c r="F120" s="10" t="s">
        <v>477</v>
      </c>
      <c r="G120" s="10">
        <v>40207</v>
      </c>
      <c r="H120" s="10">
        <v>38.22</v>
      </c>
      <c r="I120" s="10">
        <v>-85.74</v>
      </c>
      <c r="J120" s="10" t="s">
        <v>335</v>
      </c>
      <c r="K120" s="10" t="s">
        <v>337</v>
      </c>
      <c r="L120" s="10">
        <v>25912</v>
      </c>
      <c r="M120" s="27">
        <f t="shared" si="3"/>
        <v>569.78928990843065</v>
      </c>
      <c r="N120" s="33" t="s">
        <v>480</v>
      </c>
      <c r="O120" s="23" t="s">
        <v>477</v>
      </c>
      <c r="P120" s="31"/>
      <c r="Q120" s="31">
        <f>$B$5-Table1[[#This Row],[Latitude]]</f>
        <v>4.8400000000000034</v>
      </c>
      <c r="R120" s="31">
        <f>$B$6-Table1[[#This Row],[Longitude]]</f>
        <v>-2.2199999999999989</v>
      </c>
    </row>
    <row r="121" spans="5:18">
      <c r="E121" s="8" t="s">
        <v>481</v>
      </c>
      <c r="F121" s="10" t="s">
        <v>477</v>
      </c>
      <c r="G121" s="10">
        <v>42001</v>
      </c>
      <c r="H121" s="10">
        <v>37.07</v>
      </c>
      <c r="I121" s="10">
        <v>-88.63</v>
      </c>
      <c r="J121" s="10" t="s">
        <v>335</v>
      </c>
      <c r="K121" s="10" t="s">
        <v>337</v>
      </c>
      <c r="L121" s="10">
        <v>22402</v>
      </c>
      <c r="M121" s="27">
        <f t="shared" si="3"/>
        <v>668.48660844693097</v>
      </c>
      <c r="N121" s="33" t="s">
        <v>481</v>
      </c>
      <c r="O121" s="23" t="s">
        <v>477</v>
      </c>
      <c r="P121" s="31"/>
      <c r="Q121" s="31">
        <f>$B$5-Table1[[#This Row],[Latitude]]</f>
        <v>5.990000000000002</v>
      </c>
      <c r="R121" s="31">
        <f>$B$6-Table1[[#This Row],[Longitude]]</f>
        <v>0.67000000000000171</v>
      </c>
    </row>
    <row r="122" spans="5:18">
      <c r="E122" s="8" t="s">
        <v>482</v>
      </c>
      <c r="F122" s="10" t="s">
        <v>483</v>
      </c>
      <c r="G122" s="10">
        <v>71301</v>
      </c>
      <c r="H122" s="10">
        <v>31.29</v>
      </c>
      <c r="I122" s="10">
        <v>-92.46</v>
      </c>
      <c r="J122" s="10" t="s">
        <v>335</v>
      </c>
      <c r="K122" s="10" t="s">
        <v>337</v>
      </c>
      <c r="L122" s="10">
        <v>16189</v>
      </c>
      <c r="M122" s="27">
        <f t="shared" si="3"/>
        <v>1367.5768279957381</v>
      </c>
      <c r="N122" s="33" t="s">
        <v>482</v>
      </c>
      <c r="O122" s="23" t="s">
        <v>483</v>
      </c>
      <c r="P122" s="31"/>
      <c r="Q122" s="31">
        <f>$B$5-Table1[[#This Row],[Latitude]]</f>
        <v>11.770000000000003</v>
      </c>
      <c r="R122" s="31">
        <f>$B$6-Table1[[#This Row],[Longitude]]</f>
        <v>4.5</v>
      </c>
    </row>
    <row r="123" spans="5:18">
      <c r="E123" s="8" t="s">
        <v>484</v>
      </c>
      <c r="F123" s="10" t="s">
        <v>483</v>
      </c>
      <c r="G123" s="10">
        <v>70810</v>
      </c>
      <c r="H123" s="10">
        <v>30.44</v>
      </c>
      <c r="I123" s="10">
        <v>-91.12</v>
      </c>
      <c r="J123" s="10" t="s">
        <v>335</v>
      </c>
      <c r="K123" s="10" t="s">
        <v>337</v>
      </c>
      <c r="L123" s="10">
        <v>29589</v>
      </c>
      <c r="M123" s="27">
        <f t="shared" si="3"/>
        <v>1430.9416529913156</v>
      </c>
      <c r="N123" s="33" t="s">
        <v>484</v>
      </c>
      <c r="O123" s="23" t="s">
        <v>483</v>
      </c>
      <c r="P123" s="31"/>
      <c r="Q123" s="31">
        <f>$B$5-Table1[[#This Row],[Latitude]]</f>
        <v>12.620000000000001</v>
      </c>
      <c r="R123" s="31">
        <f>$B$6-Table1[[#This Row],[Longitude]]</f>
        <v>3.1600000000000108</v>
      </c>
    </row>
    <row r="124" spans="5:18">
      <c r="E124" s="8" t="s">
        <v>485</v>
      </c>
      <c r="F124" s="10" t="s">
        <v>483</v>
      </c>
      <c r="G124" s="10">
        <v>70601</v>
      </c>
      <c r="H124" s="10">
        <v>30.21</v>
      </c>
      <c r="I124" s="10">
        <v>-93.2</v>
      </c>
      <c r="J124" s="10" t="s">
        <v>335</v>
      </c>
      <c r="K124" s="10" t="s">
        <v>337</v>
      </c>
      <c r="L124" s="10">
        <v>23817</v>
      </c>
      <c r="M124" s="27">
        <f t="shared" si="3"/>
        <v>1502.5774388975865</v>
      </c>
      <c r="N124" s="33" t="s">
        <v>485</v>
      </c>
      <c r="O124" s="23" t="s">
        <v>483</v>
      </c>
      <c r="P124" s="31"/>
      <c r="Q124" s="31">
        <f>$B$5-Table1[[#This Row],[Latitude]]</f>
        <v>12.850000000000001</v>
      </c>
      <c r="R124" s="31">
        <f>$B$6-Table1[[#This Row],[Longitude]]</f>
        <v>5.2400000000000091</v>
      </c>
    </row>
    <row r="125" spans="5:18">
      <c r="E125" s="8" t="s">
        <v>486</v>
      </c>
      <c r="F125" s="10" t="s">
        <v>483</v>
      </c>
      <c r="G125" s="10">
        <v>70131</v>
      </c>
      <c r="H125" s="10">
        <v>30.06</v>
      </c>
      <c r="I125" s="10">
        <v>-89.93</v>
      </c>
      <c r="J125" s="10" t="s">
        <v>335</v>
      </c>
      <c r="K125" s="10" t="s">
        <v>337</v>
      </c>
      <c r="L125" s="10">
        <v>20262</v>
      </c>
      <c r="M125" s="27">
        <f t="shared" si="3"/>
        <v>1456.0815688603093</v>
      </c>
      <c r="N125" s="33" t="s">
        <v>486</v>
      </c>
      <c r="O125" s="23" t="s">
        <v>483</v>
      </c>
      <c r="P125" s="31"/>
      <c r="Q125" s="31">
        <f>$B$5-Table1[[#This Row],[Latitude]]</f>
        <v>13.000000000000004</v>
      </c>
      <c r="R125" s="31">
        <f>$B$6-Table1[[#This Row],[Longitude]]</f>
        <v>1.9700000000000131</v>
      </c>
    </row>
    <row r="126" spans="5:18">
      <c r="E126" s="8" t="s">
        <v>487</v>
      </c>
      <c r="F126" s="10" t="s">
        <v>483</v>
      </c>
      <c r="G126" s="10">
        <v>71101</v>
      </c>
      <c r="H126" s="10">
        <v>32.47</v>
      </c>
      <c r="I126" s="10">
        <v>-93.79</v>
      </c>
      <c r="J126" s="10" t="s">
        <v>335</v>
      </c>
      <c r="K126" s="10" t="s">
        <v>337</v>
      </c>
      <c r="L126" s="10">
        <v>5434</v>
      </c>
      <c r="M126" s="27">
        <f t="shared" si="3"/>
        <v>1283.3861367863749</v>
      </c>
      <c r="N126" s="33" t="s">
        <v>487</v>
      </c>
      <c r="O126" s="23" t="s">
        <v>483</v>
      </c>
      <c r="P126" s="31"/>
      <c r="Q126" s="31">
        <f>$B$5-Table1[[#This Row],[Latitude]]</f>
        <v>10.590000000000003</v>
      </c>
      <c r="R126" s="31">
        <f>$B$6-Table1[[#This Row],[Longitude]]</f>
        <v>5.8300000000000125</v>
      </c>
    </row>
    <row r="127" spans="5:18">
      <c r="E127" s="8" t="s">
        <v>488</v>
      </c>
      <c r="F127" s="10" t="s">
        <v>489</v>
      </c>
      <c r="G127" s="10">
        <v>4401</v>
      </c>
      <c r="H127" s="10">
        <v>44.83</v>
      </c>
      <c r="I127" s="10">
        <v>-68.78</v>
      </c>
      <c r="J127" s="10" t="s">
        <v>335</v>
      </c>
      <c r="K127" s="10" t="s">
        <v>337</v>
      </c>
      <c r="L127" s="10">
        <v>32132</v>
      </c>
      <c r="M127" s="27">
        <f t="shared" si="3"/>
        <v>1544.4602225507774</v>
      </c>
      <c r="N127" s="33" t="s">
        <v>488</v>
      </c>
      <c r="O127" s="23" t="s">
        <v>489</v>
      </c>
      <c r="P127" s="31"/>
      <c r="Q127" s="31">
        <f>$B$5-Table1[[#This Row],[Latitude]]</f>
        <v>-1.769999999999996</v>
      </c>
      <c r="R127" s="31">
        <f>$B$6-Table1[[#This Row],[Longitude]]</f>
        <v>-19.179999999999993</v>
      </c>
    </row>
    <row r="128" spans="5:18">
      <c r="E128" s="8" t="s">
        <v>490</v>
      </c>
      <c r="F128" s="10" t="s">
        <v>489</v>
      </c>
      <c r="G128" s="10">
        <v>4736</v>
      </c>
      <c r="H128" s="10">
        <v>46.86</v>
      </c>
      <c r="I128" s="10">
        <v>-67.989999999999995</v>
      </c>
      <c r="J128" s="10" t="s">
        <v>335</v>
      </c>
      <c r="K128" s="10" t="s">
        <v>337</v>
      </c>
      <c r="L128" s="10">
        <v>7868</v>
      </c>
      <c r="M128" s="27">
        <f t="shared" si="3"/>
        <v>1622.1259580076203</v>
      </c>
      <c r="N128" s="33" t="s">
        <v>490</v>
      </c>
      <c r="O128" s="23" t="s">
        <v>489</v>
      </c>
      <c r="P128" s="31"/>
      <c r="Q128" s="31">
        <f>$B$5-Table1[[#This Row],[Latitude]]</f>
        <v>-3.7999999999999972</v>
      </c>
      <c r="R128" s="31">
        <f>$B$6-Table1[[#This Row],[Longitude]]</f>
        <v>-19.97</v>
      </c>
    </row>
    <row r="129" spans="5:18">
      <c r="E129" s="8" t="s">
        <v>491</v>
      </c>
      <c r="F129" s="10" t="s">
        <v>489</v>
      </c>
      <c r="G129" s="10">
        <v>4103</v>
      </c>
      <c r="H129" s="10">
        <v>43.66</v>
      </c>
      <c r="I129" s="10">
        <v>-70.25</v>
      </c>
      <c r="J129" s="10" t="s">
        <v>335</v>
      </c>
      <c r="K129" s="10" t="s">
        <v>337</v>
      </c>
      <c r="L129" s="10">
        <v>24317</v>
      </c>
      <c r="M129" s="27">
        <f t="shared" si="3"/>
        <v>1430.5938568870288</v>
      </c>
      <c r="N129" s="33" t="s">
        <v>491</v>
      </c>
      <c r="O129" s="23" t="s">
        <v>489</v>
      </c>
      <c r="P129" s="31"/>
      <c r="Q129" s="31">
        <f>$B$5-Table1[[#This Row],[Latitude]]</f>
        <v>-0.59999999999999432</v>
      </c>
      <c r="R129" s="31">
        <f>$B$6-Table1[[#This Row],[Longitude]]</f>
        <v>-17.709999999999994</v>
      </c>
    </row>
    <row r="130" spans="5:18">
      <c r="E130" s="8" t="s">
        <v>492</v>
      </c>
      <c r="F130" s="10" t="s">
        <v>493</v>
      </c>
      <c r="G130" s="10">
        <v>21213</v>
      </c>
      <c r="H130" s="10">
        <v>39.299999999999997</v>
      </c>
      <c r="I130" s="10">
        <v>-76.61</v>
      </c>
      <c r="J130" s="10" t="s">
        <v>335</v>
      </c>
      <c r="K130" s="10" t="s">
        <v>337</v>
      </c>
      <c r="L130" s="10">
        <v>22290</v>
      </c>
      <c r="M130" s="27">
        <f t="shared" ref="M130:M193" si="4">ACOS(COS(RADIANS(90-$B$5))*COS(RADIANS(90-H130))+SIN(RADIANS(90-$B$5))*SIN(RADIANS(90-H130))*COS(RADIANS($B$6-I130)))*6371</f>
        <v>1036.693709516974</v>
      </c>
      <c r="N130" s="33" t="s">
        <v>492</v>
      </c>
      <c r="O130" s="23" t="s">
        <v>493</v>
      </c>
      <c r="P130" s="31"/>
      <c r="Q130" s="31">
        <f>$B$5-Table1[[#This Row],[Latitude]]</f>
        <v>3.7600000000000051</v>
      </c>
      <c r="R130" s="31">
        <f>$B$6-Table1[[#This Row],[Longitude]]</f>
        <v>-11.349999999999994</v>
      </c>
    </row>
    <row r="131" spans="5:18">
      <c r="E131" s="8" t="s">
        <v>494</v>
      </c>
      <c r="F131" s="10" t="s">
        <v>493</v>
      </c>
      <c r="G131" s="10">
        <v>20670</v>
      </c>
      <c r="H131" s="10">
        <v>38.28</v>
      </c>
      <c r="I131" s="10">
        <v>-76.42</v>
      </c>
      <c r="J131" s="10" t="s">
        <v>335</v>
      </c>
      <c r="K131" s="10" t="s">
        <v>337</v>
      </c>
      <c r="L131" s="10">
        <v>873</v>
      </c>
      <c r="M131" s="27">
        <f t="shared" si="4"/>
        <v>1107.5314177045559</v>
      </c>
      <c r="N131" s="33" t="s">
        <v>494</v>
      </c>
      <c r="O131" s="23" t="s">
        <v>493</v>
      </c>
      <c r="P131" s="31"/>
      <c r="Q131" s="31">
        <f>$B$5-Table1[[#This Row],[Latitude]]</f>
        <v>4.7800000000000011</v>
      </c>
      <c r="R131" s="31">
        <f>$B$6-Table1[[#This Row],[Longitude]]</f>
        <v>-11.539999999999992</v>
      </c>
    </row>
    <row r="132" spans="5:18">
      <c r="E132" s="8" t="s">
        <v>495</v>
      </c>
      <c r="F132" s="10" t="s">
        <v>496</v>
      </c>
      <c r="G132" s="10">
        <v>2118</v>
      </c>
      <c r="H132" s="10">
        <v>42.35</v>
      </c>
      <c r="I132" s="10">
        <v>-71.06</v>
      </c>
      <c r="J132" s="10" t="s">
        <v>335</v>
      </c>
      <c r="K132" s="10" t="s">
        <v>337</v>
      </c>
      <c r="L132" s="10">
        <v>16795</v>
      </c>
      <c r="M132" s="27">
        <f t="shared" si="4"/>
        <v>1380.8509634008321</v>
      </c>
      <c r="N132" s="33" t="s">
        <v>495</v>
      </c>
      <c r="O132" s="23" t="s">
        <v>496</v>
      </c>
      <c r="P132" s="31"/>
      <c r="Q132" s="31">
        <f>$B$5-Table1[[#This Row],[Latitude]]</f>
        <v>0.71000000000000085</v>
      </c>
      <c r="R132" s="31">
        <f>$B$6-Table1[[#This Row],[Longitude]]</f>
        <v>-16.899999999999991</v>
      </c>
    </row>
    <row r="133" spans="5:18">
      <c r="E133" s="8" t="s">
        <v>497</v>
      </c>
      <c r="F133" s="10" t="s">
        <v>496</v>
      </c>
      <c r="G133" s="10">
        <v>1020</v>
      </c>
      <c r="H133" s="10">
        <v>42.17</v>
      </c>
      <c r="I133" s="10">
        <v>-72.569999999999993</v>
      </c>
      <c r="J133" s="10" t="s">
        <v>335</v>
      </c>
      <c r="K133" s="10" t="s">
        <v>337</v>
      </c>
      <c r="L133" s="10">
        <v>24570</v>
      </c>
      <c r="M133" s="27">
        <f t="shared" si="4"/>
        <v>1261.4735968667526</v>
      </c>
      <c r="N133" s="33" t="s">
        <v>497</v>
      </c>
      <c r="O133" s="23" t="s">
        <v>496</v>
      </c>
      <c r="P133" s="31"/>
      <c r="Q133" s="31">
        <f>$B$5-Table1[[#This Row],[Latitude]]</f>
        <v>0.89000000000000057</v>
      </c>
      <c r="R133" s="31">
        <f>$B$6-Table1[[#This Row],[Longitude]]</f>
        <v>-15.39</v>
      </c>
    </row>
    <row r="134" spans="5:18">
      <c r="E134" s="8" t="s">
        <v>498</v>
      </c>
      <c r="F134" s="10" t="s">
        <v>496</v>
      </c>
      <c r="G134" s="10">
        <v>2540</v>
      </c>
      <c r="H134" s="10">
        <v>41.56</v>
      </c>
      <c r="I134" s="10">
        <v>-70.62</v>
      </c>
      <c r="J134" s="10" t="s">
        <v>335</v>
      </c>
      <c r="K134" s="10" t="s">
        <v>337</v>
      </c>
      <c r="L134" s="10">
        <v>5909</v>
      </c>
      <c r="M134" s="27">
        <f t="shared" si="4"/>
        <v>1432.9920544032946</v>
      </c>
      <c r="N134" s="33" t="s">
        <v>498</v>
      </c>
      <c r="O134" s="23" t="s">
        <v>496</v>
      </c>
      <c r="P134" s="31"/>
      <c r="Q134" s="31">
        <f>$B$5-Table1[[#This Row],[Latitude]]</f>
        <v>1.5</v>
      </c>
      <c r="R134" s="31">
        <f>$B$6-Table1[[#This Row],[Longitude]]</f>
        <v>-17.339999999999989</v>
      </c>
    </row>
    <row r="135" spans="5:18">
      <c r="E135" s="8" t="s">
        <v>499</v>
      </c>
      <c r="F135" s="10" t="s">
        <v>496</v>
      </c>
      <c r="G135" s="10">
        <v>2186</v>
      </c>
      <c r="H135" s="10">
        <v>42.24</v>
      </c>
      <c r="I135" s="10">
        <v>-71.08</v>
      </c>
      <c r="J135" s="10" t="s">
        <v>335</v>
      </c>
      <c r="K135" s="10" t="s">
        <v>337</v>
      </c>
      <c r="L135" s="10">
        <v>22628</v>
      </c>
      <c r="M135" s="27">
        <f t="shared" si="4"/>
        <v>1381.1928485047315</v>
      </c>
      <c r="N135" s="33" t="s">
        <v>499</v>
      </c>
      <c r="O135" s="23" t="s">
        <v>496</v>
      </c>
      <c r="P135" s="31"/>
      <c r="Q135" s="31">
        <f>$B$5-Table1[[#This Row],[Latitude]]</f>
        <v>0.82000000000000028</v>
      </c>
      <c r="R135" s="31">
        <f>$B$6-Table1[[#This Row],[Longitude]]</f>
        <v>-16.879999999999995</v>
      </c>
    </row>
    <row r="136" spans="5:18">
      <c r="E136" s="8" t="s">
        <v>500</v>
      </c>
      <c r="F136" s="10" t="s">
        <v>496</v>
      </c>
      <c r="G136" s="10">
        <v>1604</v>
      </c>
      <c r="H136" s="10">
        <v>42.26</v>
      </c>
      <c r="I136" s="10">
        <v>-71.8</v>
      </c>
      <c r="J136" s="10" t="s">
        <v>335</v>
      </c>
      <c r="K136" s="10" t="s">
        <v>337</v>
      </c>
      <c r="L136" s="10">
        <v>26294</v>
      </c>
      <c r="M136" s="27">
        <f t="shared" si="4"/>
        <v>1322.3640837797984</v>
      </c>
      <c r="N136" s="33" t="s">
        <v>500</v>
      </c>
      <c r="O136" s="23" t="s">
        <v>496</v>
      </c>
      <c r="P136" s="31"/>
      <c r="Q136" s="31">
        <f>$B$5-Table1[[#This Row],[Latitude]]</f>
        <v>0.80000000000000426</v>
      </c>
      <c r="R136" s="31">
        <f>$B$6-Table1[[#This Row],[Longitude]]</f>
        <v>-16.159999999999997</v>
      </c>
    </row>
    <row r="137" spans="5:18">
      <c r="E137" s="8" t="s">
        <v>501</v>
      </c>
      <c r="F137" s="10" t="s">
        <v>502</v>
      </c>
      <c r="G137" s="10">
        <v>49707</v>
      </c>
      <c r="H137" s="10">
        <v>45.07</v>
      </c>
      <c r="I137" s="10">
        <v>-83.43</v>
      </c>
      <c r="J137" s="10" t="s">
        <v>335</v>
      </c>
      <c r="K137" s="10" t="s">
        <v>337</v>
      </c>
      <c r="L137" s="10">
        <v>18648</v>
      </c>
      <c r="M137" s="27">
        <f t="shared" si="4"/>
        <v>425.29053146705803</v>
      </c>
      <c r="N137" s="33" t="s">
        <v>501</v>
      </c>
      <c r="O137" s="23" t="s">
        <v>502</v>
      </c>
      <c r="P137" s="31"/>
      <c r="Q137" s="31">
        <f>$B$5-Table1[[#This Row],[Latitude]]</f>
        <v>-2.009999999999998</v>
      </c>
      <c r="R137" s="31">
        <f>$B$6-Table1[[#This Row],[Longitude]]</f>
        <v>-4.5299999999999869</v>
      </c>
    </row>
    <row r="138" spans="5:18">
      <c r="E138" s="8" t="s">
        <v>503</v>
      </c>
      <c r="F138" s="10" t="s">
        <v>502</v>
      </c>
      <c r="G138" s="10">
        <v>48205</v>
      </c>
      <c r="H138" s="10">
        <v>42.38</v>
      </c>
      <c r="I138" s="10">
        <v>-83.1</v>
      </c>
      <c r="J138" s="10" t="s">
        <v>335</v>
      </c>
      <c r="K138" s="10" t="s">
        <v>337</v>
      </c>
      <c r="L138" s="10">
        <v>28697</v>
      </c>
      <c r="M138" s="27">
        <f t="shared" si="4"/>
        <v>404.09930389265429</v>
      </c>
      <c r="N138" s="33" t="s">
        <v>503</v>
      </c>
      <c r="O138" s="23" t="s">
        <v>502</v>
      </c>
      <c r="P138" s="31"/>
      <c r="Q138" s="31">
        <f>$B$5-Table1[[#This Row],[Latitude]]</f>
        <v>0.67999999999999972</v>
      </c>
      <c r="R138" s="31">
        <f>$B$6-Table1[[#This Row],[Longitude]]</f>
        <v>-4.8599999999999994</v>
      </c>
    </row>
    <row r="139" spans="5:18">
      <c r="E139" s="8" t="s">
        <v>504</v>
      </c>
      <c r="F139" s="10" t="s">
        <v>502</v>
      </c>
      <c r="G139" s="10">
        <v>48507</v>
      </c>
      <c r="H139" s="10">
        <v>43.02</v>
      </c>
      <c r="I139" s="10">
        <v>-83.69</v>
      </c>
      <c r="J139" s="10" t="s">
        <v>335</v>
      </c>
      <c r="K139" s="10" t="s">
        <v>337</v>
      </c>
      <c r="L139" s="10">
        <v>22763</v>
      </c>
      <c r="M139" s="27">
        <f t="shared" si="4"/>
        <v>347.01335839697879</v>
      </c>
      <c r="N139" s="33" t="s">
        <v>504</v>
      </c>
      <c r="O139" s="23" t="s">
        <v>502</v>
      </c>
      <c r="P139" s="31"/>
      <c r="Q139" s="31">
        <f>$B$5-Table1[[#This Row],[Latitude]]</f>
        <v>3.9999999999999147E-2</v>
      </c>
      <c r="R139" s="31">
        <f>$B$6-Table1[[#This Row],[Longitude]]</f>
        <v>-4.269999999999996</v>
      </c>
    </row>
    <row r="140" spans="5:18">
      <c r="E140" s="8" t="s">
        <v>505</v>
      </c>
      <c r="F140" s="10" t="s">
        <v>502</v>
      </c>
      <c r="G140" s="10">
        <v>49504</v>
      </c>
      <c r="H140" s="10">
        <v>42.96</v>
      </c>
      <c r="I140" s="10">
        <v>-85.65</v>
      </c>
      <c r="J140" s="10" t="s">
        <v>335</v>
      </c>
      <c r="K140" s="10" t="s">
        <v>337</v>
      </c>
      <c r="L140" s="10">
        <v>29137</v>
      </c>
      <c r="M140" s="27">
        <f t="shared" si="4"/>
        <v>188.14800099764415</v>
      </c>
      <c r="N140" s="33" t="s">
        <v>505</v>
      </c>
      <c r="O140" s="23" t="s">
        <v>502</v>
      </c>
      <c r="P140" s="31"/>
      <c r="Q140" s="31">
        <f>$B$5-Table1[[#This Row],[Latitude]]</f>
        <v>0.10000000000000142</v>
      </c>
      <c r="R140" s="31">
        <f>$B$6-Table1[[#This Row],[Longitude]]</f>
        <v>-2.3099999999999881</v>
      </c>
    </row>
    <row r="141" spans="5:18">
      <c r="E141" s="8" t="s">
        <v>506</v>
      </c>
      <c r="F141" s="10" t="s">
        <v>502</v>
      </c>
      <c r="G141" s="10">
        <v>48911</v>
      </c>
      <c r="H141" s="10">
        <v>42.7</v>
      </c>
      <c r="I141" s="10">
        <v>-84.55</v>
      </c>
      <c r="J141" s="10" t="s">
        <v>335</v>
      </c>
      <c r="K141" s="10" t="s">
        <v>337</v>
      </c>
      <c r="L141" s="10">
        <v>30419</v>
      </c>
      <c r="M141" s="27">
        <f t="shared" si="4"/>
        <v>280.70016351376341</v>
      </c>
      <c r="N141" s="33" t="s">
        <v>506</v>
      </c>
      <c r="O141" s="23" t="s">
        <v>502</v>
      </c>
      <c r="P141" s="31"/>
      <c r="Q141" s="31">
        <f>$B$5-Table1[[#This Row],[Latitude]]</f>
        <v>0.35999999999999943</v>
      </c>
      <c r="R141" s="31">
        <f>$B$6-Table1[[#This Row],[Longitude]]</f>
        <v>-3.4099999999999966</v>
      </c>
    </row>
    <row r="142" spans="5:18">
      <c r="E142" s="8" t="s">
        <v>507</v>
      </c>
      <c r="F142" s="10" t="s">
        <v>502</v>
      </c>
      <c r="G142" s="10">
        <v>49855</v>
      </c>
      <c r="H142" s="10">
        <v>46.55</v>
      </c>
      <c r="I142" s="10">
        <v>-87.39</v>
      </c>
      <c r="J142" s="10" t="s">
        <v>335</v>
      </c>
      <c r="K142" s="10" t="s">
        <v>337</v>
      </c>
      <c r="L142" s="10">
        <v>23966</v>
      </c>
      <c r="M142" s="27">
        <f t="shared" si="4"/>
        <v>390.66395128122849</v>
      </c>
      <c r="N142" s="33" t="s">
        <v>507</v>
      </c>
      <c r="O142" s="23" t="s">
        <v>502</v>
      </c>
      <c r="P142" s="31"/>
      <c r="Q142" s="31">
        <f>$B$5-Table1[[#This Row],[Latitude]]</f>
        <v>-3.4899999999999949</v>
      </c>
      <c r="R142" s="31">
        <f>$B$6-Table1[[#This Row],[Longitude]]</f>
        <v>-0.56999999999999318</v>
      </c>
    </row>
    <row r="143" spans="5:18">
      <c r="E143" s="8" t="s">
        <v>508</v>
      </c>
      <c r="F143" s="10" t="s">
        <v>502</v>
      </c>
      <c r="G143" s="10">
        <v>49441</v>
      </c>
      <c r="H143" s="10">
        <v>43.22</v>
      </c>
      <c r="I143" s="10">
        <v>-86.25</v>
      </c>
      <c r="J143" s="10" t="s">
        <v>335</v>
      </c>
      <c r="K143" s="10" t="s">
        <v>337</v>
      </c>
      <c r="L143" s="10">
        <v>29547</v>
      </c>
      <c r="M143" s="27">
        <f t="shared" si="4"/>
        <v>139.87822493613766</v>
      </c>
      <c r="N143" s="33" t="s">
        <v>508</v>
      </c>
      <c r="O143" s="23" t="s">
        <v>502</v>
      </c>
      <c r="P143" s="31"/>
      <c r="Q143" s="31">
        <f>$B$5-Table1[[#This Row],[Latitude]]</f>
        <v>-0.15999999999999659</v>
      </c>
      <c r="R143" s="31">
        <f>$B$6-Table1[[#This Row],[Longitude]]</f>
        <v>-1.7099999999999937</v>
      </c>
    </row>
    <row r="144" spans="5:18">
      <c r="E144" s="8" t="s">
        <v>158</v>
      </c>
      <c r="F144" s="10" t="s">
        <v>502</v>
      </c>
      <c r="G144" s="10">
        <v>48750</v>
      </c>
      <c r="H144" s="10">
        <v>44.42</v>
      </c>
      <c r="I144" s="10">
        <v>-83.33</v>
      </c>
      <c r="J144" s="10" t="s">
        <v>335</v>
      </c>
      <c r="K144" s="10" t="s">
        <v>337</v>
      </c>
      <c r="L144" s="10">
        <v>7173</v>
      </c>
      <c r="M144" s="27">
        <f t="shared" si="4"/>
        <v>401.4497209973577</v>
      </c>
      <c r="N144" s="33" t="s">
        <v>158</v>
      </c>
      <c r="O144" s="23" t="s">
        <v>502</v>
      </c>
      <c r="P144" s="31"/>
      <c r="Q144" s="31">
        <f>$B$5-Table1[[#This Row],[Latitude]]</f>
        <v>-1.3599999999999994</v>
      </c>
      <c r="R144" s="31">
        <f>$B$6-Table1[[#This Row],[Longitude]]</f>
        <v>-4.6299999999999955</v>
      </c>
    </row>
    <row r="145" spans="5:18">
      <c r="E145" s="8" t="s">
        <v>509</v>
      </c>
      <c r="F145" s="10" t="s">
        <v>502</v>
      </c>
      <c r="G145" s="10">
        <v>49125</v>
      </c>
      <c r="H145" s="10">
        <v>41.86</v>
      </c>
      <c r="I145" s="10">
        <v>-86.55</v>
      </c>
      <c r="J145" s="10" t="s">
        <v>335</v>
      </c>
      <c r="K145" s="10" t="s">
        <v>337</v>
      </c>
      <c r="L145" s="10">
        <v>1706</v>
      </c>
      <c r="M145" s="27">
        <f t="shared" si="4"/>
        <v>176.58321354289859</v>
      </c>
      <c r="N145" s="33" t="s">
        <v>509</v>
      </c>
      <c r="O145" s="23" t="s">
        <v>502</v>
      </c>
      <c r="P145" s="31"/>
      <c r="Q145" s="31">
        <f>$B$5-Table1[[#This Row],[Latitude]]</f>
        <v>1.2000000000000028</v>
      </c>
      <c r="R145" s="31">
        <f>$B$6-Table1[[#This Row],[Longitude]]</f>
        <v>-1.4099999999999966</v>
      </c>
    </row>
    <row r="146" spans="5:18">
      <c r="E146" s="8" t="s">
        <v>510</v>
      </c>
      <c r="F146" s="10" t="s">
        <v>502</v>
      </c>
      <c r="G146" s="10">
        <v>49783</v>
      </c>
      <c r="H146" s="10">
        <v>46.48</v>
      </c>
      <c r="I146" s="10">
        <v>-84.36</v>
      </c>
      <c r="J146" s="10" t="s">
        <v>335</v>
      </c>
      <c r="K146" s="10" t="s">
        <v>337</v>
      </c>
      <c r="L146" s="10">
        <v>15048</v>
      </c>
      <c r="M146" s="27">
        <f t="shared" si="4"/>
        <v>474.6303260884518</v>
      </c>
      <c r="N146" s="33" t="s">
        <v>510</v>
      </c>
      <c r="O146" s="23" t="s">
        <v>502</v>
      </c>
      <c r="P146" s="31"/>
      <c r="Q146" s="31">
        <f>$B$5-Table1[[#This Row],[Latitude]]</f>
        <v>-3.4199999999999946</v>
      </c>
      <c r="R146" s="31">
        <f>$B$6-Table1[[#This Row],[Longitude]]</f>
        <v>-3.5999999999999943</v>
      </c>
    </row>
    <row r="147" spans="5:18">
      <c r="E147" s="8" t="s">
        <v>511</v>
      </c>
      <c r="F147" s="10" t="s">
        <v>512</v>
      </c>
      <c r="G147" s="10">
        <v>55803</v>
      </c>
      <c r="H147" s="10">
        <v>46.78</v>
      </c>
      <c r="I147" s="10">
        <v>-92.11</v>
      </c>
      <c r="J147" s="10" t="s">
        <v>335</v>
      </c>
      <c r="K147" s="10" t="s">
        <v>337</v>
      </c>
      <c r="L147" s="10">
        <v>15005</v>
      </c>
      <c r="M147" s="27">
        <f t="shared" si="4"/>
        <v>526.97161537063414</v>
      </c>
      <c r="N147" s="33" t="s">
        <v>511</v>
      </c>
      <c r="O147" s="23" t="s">
        <v>512</v>
      </c>
      <c r="P147" s="31"/>
      <c r="Q147" s="31">
        <f>$B$5-Table1[[#This Row],[Latitude]]</f>
        <v>-3.7199999999999989</v>
      </c>
      <c r="R147" s="31">
        <f>$B$6-Table1[[#This Row],[Longitude]]</f>
        <v>4.1500000000000057</v>
      </c>
    </row>
    <row r="148" spans="5:18">
      <c r="E148" s="8" t="s">
        <v>513</v>
      </c>
      <c r="F148" s="10" t="s">
        <v>512</v>
      </c>
      <c r="G148" s="10">
        <v>56649</v>
      </c>
      <c r="H148" s="10">
        <v>48.58</v>
      </c>
      <c r="I148" s="10">
        <v>-93.4</v>
      </c>
      <c r="J148" s="10" t="s">
        <v>335</v>
      </c>
      <c r="K148" s="10" t="s">
        <v>337</v>
      </c>
      <c r="L148" s="10">
        <v>7765</v>
      </c>
      <c r="M148" s="27">
        <f t="shared" si="4"/>
        <v>744.18992142089166</v>
      </c>
      <c r="N148" s="33" t="s">
        <v>513</v>
      </c>
      <c r="O148" s="23" t="s">
        <v>512</v>
      </c>
      <c r="P148" s="31"/>
      <c r="Q148" s="31">
        <f>$B$5-Table1[[#This Row],[Latitude]]</f>
        <v>-5.519999999999996</v>
      </c>
      <c r="R148" s="31">
        <f>$B$6-Table1[[#This Row],[Longitude]]</f>
        <v>5.4400000000000119</v>
      </c>
    </row>
    <row r="149" spans="5:18">
      <c r="E149" s="8" t="s">
        <v>514</v>
      </c>
      <c r="F149" s="10" t="s">
        <v>512</v>
      </c>
      <c r="G149" s="10">
        <v>55406</v>
      </c>
      <c r="H149" s="10">
        <v>44.96</v>
      </c>
      <c r="I149" s="10">
        <v>-93.26</v>
      </c>
      <c r="J149" s="10" t="s">
        <v>335</v>
      </c>
      <c r="K149" s="10" t="s">
        <v>337</v>
      </c>
      <c r="L149" s="10">
        <v>26993</v>
      </c>
      <c r="M149" s="27">
        <f t="shared" si="4"/>
        <v>473.463261987495</v>
      </c>
      <c r="N149" s="33" t="s">
        <v>514</v>
      </c>
      <c r="O149" s="23" t="s">
        <v>512</v>
      </c>
      <c r="P149" s="31"/>
      <c r="Q149" s="31">
        <f>$B$5-Table1[[#This Row],[Latitude]]</f>
        <v>-1.8999999999999986</v>
      </c>
      <c r="R149" s="31">
        <f>$B$6-Table1[[#This Row],[Longitude]]</f>
        <v>5.3000000000000114</v>
      </c>
    </row>
    <row r="150" spans="5:18">
      <c r="E150" s="8" t="s">
        <v>515</v>
      </c>
      <c r="F150" s="10" t="s">
        <v>512</v>
      </c>
      <c r="G150" s="10">
        <v>55901</v>
      </c>
      <c r="H150" s="10">
        <v>44.01</v>
      </c>
      <c r="I150" s="10">
        <v>-92.47</v>
      </c>
      <c r="J150" s="10" t="s">
        <v>335</v>
      </c>
      <c r="K150" s="10" t="s">
        <v>337</v>
      </c>
      <c r="L150" s="10">
        <v>43714</v>
      </c>
      <c r="M150" s="27">
        <f t="shared" si="4"/>
        <v>378.53460029378641</v>
      </c>
      <c r="N150" s="33" t="s">
        <v>515</v>
      </c>
      <c r="O150" s="23" t="s">
        <v>512</v>
      </c>
      <c r="P150" s="31"/>
      <c r="Q150" s="31">
        <f>$B$5-Table1[[#This Row],[Latitude]]</f>
        <v>-0.94999999999999574</v>
      </c>
      <c r="R150" s="31">
        <f>$B$6-Table1[[#This Row],[Longitude]]</f>
        <v>4.5100000000000051</v>
      </c>
    </row>
    <row r="151" spans="5:18">
      <c r="E151" s="8" t="s">
        <v>516</v>
      </c>
      <c r="F151" s="10" t="s">
        <v>512</v>
      </c>
      <c r="G151" s="10">
        <v>56301</v>
      </c>
      <c r="H151" s="10">
        <v>45.55</v>
      </c>
      <c r="I151" s="10">
        <v>-94.17</v>
      </c>
      <c r="J151" s="10" t="s">
        <v>335</v>
      </c>
      <c r="K151" s="10" t="s">
        <v>337</v>
      </c>
      <c r="L151" s="10">
        <v>21226</v>
      </c>
      <c r="M151" s="27">
        <f t="shared" si="4"/>
        <v>566.20451673028924</v>
      </c>
      <c r="N151" s="33" t="s">
        <v>516</v>
      </c>
      <c r="O151" s="23" t="s">
        <v>512</v>
      </c>
      <c r="P151" s="31"/>
      <c r="Q151" s="31">
        <f>$B$5-Table1[[#This Row],[Latitude]]</f>
        <v>-2.4899999999999949</v>
      </c>
      <c r="R151" s="31">
        <f>$B$6-Table1[[#This Row],[Longitude]]</f>
        <v>6.210000000000008</v>
      </c>
    </row>
    <row r="152" spans="5:18">
      <c r="E152" s="8" t="s">
        <v>517</v>
      </c>
      <c r="F152" s="10" t="s">
        <v>518</v>
      </c>
      <c r="G152" s="10">
        <v>39532</v>
      </c>
      <c r="H152" s="10">
        <v>30.39</v>
      </c>
      <c r="I152" s="10">
        <v>-88.88</v>
      </c>
      <c r="J152" s="10" t="s">
        <v>335</v>
      </c>
      <c r="K152" s="10" t="s">
        <v>337</v>
      </c>
      <c r="L152" s="10">
        <v>24883</v>
      </c>
      <c r="M152" s="27">
        <f t="shared" si="4"/>
        <v>1411.1977324599379</v>
      </c>
      <c r="N152" s="33" t="s">
        <v>517</v>
      </c>
      <c r="O152" s="23" t="s">
        <v>518</v>
      </c>
      <c r="P152" s="31"/>
      <c r="Q152" s="31">
        <f>$B$5-Table1[[#This Row],[Latitude]]</f>
        <v>12.670000000000002</v>
      </c>
      <c r="R152" s="31">
        <f>$B$6-Table1[[#This Row],[Longitude]]</f>
        <v>0.92000000000000171</v>
      </c>
    </row>
    <row r="153" spans="5:18">
      <c r="E153" s="8" t="s">
        <v>478</v>
      </c>
      <c r="F153" s="10" t="s">
        <v>518</v>
      </c>
      <c r="G153" s="10">
        <v>39212</v>
      </c>
      <c r="H153" s="10">
        <v>32.32</v>
      </c>
      <c r="I153" s="10">
        <v>-90.2</v>
      </c>
      <c r="J153" s="10" t="s">
        <v>335</v>
      </c>
      <c r="K153" s="10" t="s">
        <v>337</v>
      </c>
      <c r="L153" s="10">
        <v>24414</v>
      </c>
      <c r="M153" s="27">
        <f t="shared" si="4"/>
        <v>1210.2573503777394</v>
      </c>
      <c r="N153" s="33" t="s">
        <v>478</v>
      </c>
      <c r="O153" s="23" t="s">
        <v>518</v>
      </c>
      <c r="P153" s="31"/>
      <c r="Q153" s="31">
        <f>$B$5-Table1[[#This Row],[Latitude]]</f>
        <v>10.740000000000002</v>
      </c>
      <c r="R153" s="31">
        <f>$B$6-Table1[[#This Row],[Longitude]]</f>
        <v>2.2400000000000091</v>
      </c>
    </row>
    <row r="154" spans="5:18">
      <c r="E154" s="8" t="s">
        <v>519</v>
      </c>
      <c r="F154" s="10" t="s">
        <v>518</v>
      </c>
      <c r="G154" s="10">
        <v>39301</v>
      </c>
      <c r="H154" s="10">
        <v>32.380000000000003</v>
      </c>
      <c r="I154" s="10">
        <v>-88.71</v>
      </c>
      <c r="J154" s="10" t="s">
        <v>335</v>
      </c>
      <c r="K154" s="10" t="s">
        <v>337</v>
      </c>
      <c r="L154" s="10">
        <v>18824</v>
      </c>
      <c r="M154" s="27">
        <f t="shared" si="4"/>
        <v>1189.3777507468587</v>
      </c>
      <c r="N154" s="33" t="s">
        <v>519</v>
      </c>
      <c r="O154" s="23" t="s">
        <v>518</v>
      </c>
      <c r="P154" s="31"/>
      <c r="Q154" s="31">
        <f>$B$5-Table1[[#This Row],[Latitude]]</f>
        <v>10.68</v>
      </c>
      <c r="R154" s="31">
        <f>$B$6-Table1[[#This Row],[Longitude]]</f>
        <v>0.75</v>
      </c>
    </row>
    <row r="155" spans="5:18">
      <c r="E155" s="8" t="s">
        <v>520</v>
      </c>
      <c r="F155" s="10" t="s">
        <v>518</v>
      </c>
      <c r="G155" s="10">
        <v>38801</v>
      </c>
      <c r="H155" s="10">
        <v>34.26</v>
      </c>
      <c r="I155" s="10">
        <v>-88.73</v>
      </c>
      <c r="J155" s="10" t="s">
        <v>335</v>
      </c>
      <c r="K155" s="10" t="s">
        <v>337</v>
      </c>
      <c r="L155" s="10">
        <v>20894</v>
      </c>
      <c r="M155" s="27">
        <f t="shared" si="4"/>
        <v>980.78364270925351</v>
      </c>
      <c r="N155" s="33" t="s">
        <v>520</v>
      </c>
      <c r="O155" s="23" t="s">
        <v>518</v>
      </c>
      <c r="P155" s="31"/>
      <c r="Q155" s="31">
        <f>$B$5-Table1[[#This Row],[Latitude]]</f>
        <v>8.8000000000000043</v>
      </c>
      <c r="R155" s="31">
        <f>$B$6-Table1[[#This Row],[Longitude]]</f>
        <v>0.77000000000001023</v>
      </c>
    </row>
    <row r="156" spans="5:18">
      <c r="E156" s="8" t="s">
        <v>521</v>
      </c>
      <c r="F156" s="10" t="s">
        <v>522</v>
      </c>
      <c r="G156" s="10">
        <v>65202</v>
      </c>
      <c r="H156" s="10">
        <v>38.950000000000003</v>
      </c>
      <c r="I156" s="10">
        <v>-92.32</v>
      </c>
      <c r="J156" s="10" t="s">
        <v>335</v>
      </c>
      <c r="K156" s="10" t="s">
        <v>337</v>
      </c>
      <c r="L156" s="10">
        <v>34973</v>
      </c>
      <c r="M156" s="27">
        <f t="shared" si="4"/>
        <v>585.23449715096069</v>
      </c>
      <c r="N156" s="33" t="s">
        <v>521</v>
      </c>
      <c r="O156" s="23" t="s">
        <v>522</v>
      </c>
      <c r="P156" s="31"/>
      <c r="Q156" s="31">
        <f>$B$5-Table1[[#This Row],[Latitude]]</f>
        <v>4.1099999999999994</v>
      </c>
      <c r="R156" s="31">
        <f>$B$6-Table1[[#This Row],[Longitude]]</f>
        <v>4.3599999999999994</v>
      </c>
    </row>
    <row r="157" spans="5:18">
      <c r="E157" s="8" t="s">
        <v>523</v>
      </c>
      <c r="F157" s="10" t="s">
        <v>522</v>
      </c>
      <c r="G157" s="10">
        <v>66104</v>
      </c>
      <c r="H157" s="10">
        <v>39.1</v>
      </c>
      <c r="I157" s="10">
        <v>-94.62</v>
      </c>
      <c r="J157" s="10" t="s">
        <v>335</v>
      </c>
      <c r="K157" s="10" t="s">
        <v>337</v>
      </c>
      <c r="L157" s="10">
        <v>17894</v>
      </c>
      <c r="M157" s="27">
        <f t="shared" si="4"/>
        <v>710.59941208877581</v>
      </c>
      <c r="N157" s="33" t="s">
        <v>523</v>
      </c>
      <c r="O157" s="23" t="s">
        <v>522</v>
      </c>
      <c r="P157" s="31"/>
      <c r="Q157" s="31">
        <f>$B$5-Table1[[#This Row],[Latitude]]</f>
        <v>3.9600000000000009</v>
      </c>
      <c r="R157" s="31">
        <f>$B$6-Table1[[#This Row],[Longitude]]</f>
        <v>6.6600000000000108</v>
      </c>
    </row>
    <row r="158" spans="5:18">
      <c r="E158" s="8" t="s">
        <v>524</v>
      </c>
      <c r="F158" s="10" t="s">
        <v>522</v>
      </c>
      <c r="G158" s="10">
        <v>63114</v>
      </c>
      <c r="H158" s="10">
        <v>38.630000000000003</v>
      </c>
      <c r="I158" s="10">
        <v>-90.24</v>
      </c>
      <c r="J158" s="10" t="s">
        <v>335</v>
      </c>
      <c r="K158" s="10" t="s">
        <v>337</v>
      </c>
      <c r="L158" s="10">
        <v>28958</v>
      </c>
      <c r="M158" s="27">
        <f t="shared" si="4"/>
        <v>528.55364978726448</v>
      </c>
      <c r="N158" s="33" t="s">
        <v>524</v>
      </c>
      <c r="O158" s="23" t="s">
        <v>522</v>
      </c>
      <c r="P158" s="31"/>
      <c r="Q158" s="31">
        <f>$B$5-Table1[[#This Row],[Latitude]]</f>
        <v>4.43</v>
      </c>
      <c r="R158" s="31">
        <f>$B$6-Table1[[#This Row],[Longitude]]</f>
        <v>2.2800000000000011</v>
      </c>
    </row>
    <row r="159" spans="5:18">
      <c r="E159" s="8" t="s">
        <v>459</v>
      </c>
      <c r="F159" s="10" t="s">
        <v>522</v>
      </c>
      <c r="G159" s="10">
        <v>65807</v>
      </c>
      <c r="H159" s="10">
        <v>37.19</v>
      </c>
      <c r="I159" s="10">
        <v>-93.28</v>
      </c>
      <c r="J159" s="10" t="s">
        <v>335</v>
      </c>
      <c r="K159" s="10" t="s">
        <v>337</v>
      </c>
      <c r="L159" s="10">
        <v>38062</v>
      </c>
      <c r="M159" s="27">
        <f t="shared" si="4"/>
        <v>793.73482595685948</v>
      </c>
      <c r="N159" s="33" t="s">
        <v>459</v>
      </c>
      <c r="O159" s="23" t="s">
        <v>522</v>
      </c>
      <c r="P159" s="31"/>
      <c r="Q159" s="31">
        <f>$B$5-Table1[[#This Row],[Latitude]]</f>
        <v>5.8700000000000045</v>
      </c>
      <c r="R159" s="31">
        <f>$B$6-Table1[[#This Row],[Longitude]]</f>
        <v>5.3200000000000074</v>
      </c>
    </row>
    <row r="160" spans="5:18">
      <c r="E160" s="8" t="s">
        <v>525</v>
      </c>
      <c r="F160" s="10" t="s">
        <v>526</v>
      </c>
      <c r="G160" s="10">
        <v>59102</v>
      </c>
      <c r="H160" s="10">
        <v>45.76</v>
      </c>
      <c r="I160" s="10">
        <v>-108.57</v>
      </c>
      <c r="J160" s="10" t="s">
        <v>335</v>
      </c>
      <c r="K160" s="10" t="s">
        <v>337</v>
      </c>
      <c r="L160" s="10">
        <v>38624</v>
      </c>
      <c r="M160" s="27">
        <f t="shared" si="4"/>
        <v>1659.5433252430782</v>
      </c>
      <c r="N160" s="33" t="s">
        <v>525</v>
      </c>
      <c r="O160" s="23" t="s">
        <v>526</v>
      </c>
      <c r="P160" s="31"/>
      <c r="Q160" s="31">
        <f>$B$5-Table1[[#This Row],[Latitude]]</f>
        <v>-2.6999999999999957</v>
      </c>
      <c r="R160" s="31">
        <f>$B$6-Table1[[#This Row],[Longitude]]</f>
        <v>20.61</v>
      </c>
    </row>
    <row r="161" spans="5:18">
      <c r="E161" s="8" t="s">
        <v>527</v>
      </c>
      <c r="F161" s="10" t="s">
        <v>526</v>
      </c>
      <c r="G161" s="10">
        <v>59230</v>
      </c>
      <c r="H161" s="10">
        <v>48.18</v>
      </c>
      <c r="I161" s="10">
        <v>-106.89</v>
      </c>
      <c r="J161" s="10" t="s">
        <v>335</v>
      </c>
      <c r="K161" s="10" t="s">
        <v>337</v>
      </c>
      <c r="L161" s="10">
        <v>3923</v>
      </c>
      <c r="M161" s="27">
        <f t="shared" si="4"/>
        <v>1573.3602918306453</v>
      </c>
      <c r="N161" s="33" t="s">
        <v>527</v>
      </c>
      <c r="O161" s="23" t="s">
        <v>526</v>
      </c>
      <c r="P161" s="31"/>
      <c r="Q161" s="31">
        <f>$B$5-Table1[[#This Row],[Latitude]]</f>
        <v>-5.1199999999999974</v>
      </c>
      <c r="R161" s="31">
        <f>$B$6-Table1[[#This Row],[Longitude]]</f>
        <v>18.930000000000007</v>
      </c>
    </row>
    <row r="162" spans="5:18">
      <c r="E162" s="8" t="s">
        <v>528</v>
      </c>
      <c r="F162" s="10" t="s">
        <v>526</v>
      </c>
      <c r="G162" s="10">
        <v>59401</v>
      </c>
      <c r="H162" s="10">
        <v>47.51</v>
      </c>
      <c r="I162" s="10">
        <v>-111.27</v>
      </c>
      <c r="J162" s="10" t="s">
        <v>335</v>
      </c>
      <c r="K162" s="10" t="s">
        <v>337</v>
      </c>
      <c r="L162" s="10">
        <v>10188</v>
      </c>
      <c r="M162" s="27">
        <f t="shared" si="4"/>
        <v>1881.6137292031076</v>
      </c>
      <c r="N162" s="33" t="s">
        <v>528</v>
      </c>
      <c r="O162" s="23" t="s">
        <v>526</v>
      </c>
      <c r="P162" s="31"/>
      <c r="Q162" s="31">
        <f>$B$5-Table1[[#This Row],[Latitude]]</f>
        <v>-4.4499999999999957</v>
      </c>
      <c r="R162" s="31">
        <f>$B$6-Table1[[#This Row],[Longitude]]</f>
        <v>23.310000000000002</v>
      </c>
    </row>
    <row r="163" spans="5:18">
      <c r="E163" s="8" t="s">
        <v>529</v>
      </c>
      <c r="F163" s="10" t="s">
        <v>526</v>
      </c>
      <c r="G163" s="10">
        <v>59501</v>
      </c>
      <c r="H163" s="10">
        <v>48.56</v>
      </c>
      <c r="I163" s="10">
        <v>-109.73</v>
      </c>
      <c r="J163" s="10" t="s">
        <v>335</v>
      </c>
      <c r="K163" s="10" t="s">
        <v>337</v>
      </c>
      <c r="L163" s="10">
        <v>10582</v>
      </c>
      <c r="M163" s="27">
        <f t="shared" si="4"/>
        <v>1787.2627337268111</v>
      </c>
      <c r="N163" s="33" t="s">
        <v>529</v>
      </c>
      <c r="O163" s="23" t="s">
        <v>526</v>
      </c>
      <c r="P163" s="31"/>
      <c r="Q163" s="31">
        <f>$B$5-Table1[[#This Row],[Latitude]]</f>
        <v>-5.5</v>
      </c>
      <c r="R163" s="31">
        <f>$B$6-Table1[[#This Row],[Longitude]]</f>
        <v>21.77000000000001</v>
      </c>
    </row>
    <row r="164" spans="5:18">
      <c r="E164" s="8" t="s">
        <v>530</v>
      </c>
      <c r="F164" s="10" t="s">
        <v>526</v>
      </c>
      <c r="G164" s="10">
        <v>59601</v>
      </c>
      <c r="H164" s="10">
        <v>46.51</v>
      </c>
      <c r="I164" s="10">
        <v>-112.12</v>
      </c>
      <c r="J164" s="10" t="s">
        <v>335</v>
      </c>
      <c r="K164" s="10" t="s">
        <v>337</v>
      </c>
      <c r="L164" s="10">
        <v>22488</v>
      </c>
      <c r="M164" s="27">
        <f t="shared" si="4"/>
        <v>1936.8979562912164</v>
      </c>
      <c r="N164" s="33" t="s">
        <v>530</v>
      </c>
      <c r="O164" s="23" t="s">
        <v>526</v>
      </c>
      <c r="P164" s="31"/>
      <c r="Q164" s="31">
        <f>$B$5-Table1[[#This Row],[Latitude]]</f>
        <v>-3.4499999999999957</v>
      </c>
      <c r="R164" s="31">
        <f>$B$6-Table1[[#This Row],[Longitude]]</f>
        <v>24.160000000000011</v>
      </c>
    </row>
    <row r="165" spans="5:18">
      <c r="E165" s="8" t="s">
        <v>531</v>
      </c>
      <c r="F165" s="10" t="s">
        <v>526</v>
      </c>
      <c r="G165" s="10">
        <v>59901</v>
      </c>
      <c r="H165" s="10">
        <v>48.19</v>
      </c>
      <c r="I165" s="10">
        <v>-114.38</v>
      </c>
      <c r="J165" s="10" t="s">
        <v>335</v>
      </c>
      <c r="K165" s="10" t="s">
        <v>337</v>
      </c>
      <c r="L165" s="10">
        <v>36386</v>
      </c>
      <c r="M165" s="27">
        <f t="shared" si="4"/>
        <v>2120.469476070733</v>
      </c>
      <c r="N165" s="33" t="s">
        <v>531</v>
      </c>
      <c r="O165" s="23" t="s">
        <v>526</v>
      </c>
      <c r="P165" s="31"/>
      <c r="Q165" s="31">
        <f>$B$5-Table1[[#This Row],[Latitude]]</f>
        <v>-5.1299999999999955</v>
      </c>
      <c r="R165" s="31">
        <f>$B$6-Table1[[#This Row],[Longitude]]</f>
        <v>26.42</v>
      </c>
    </row>
    <row r="166" spans="5:18">
      <c r="E166" s="8" t="s">
        <v>532</v>
      </c>
      <c r="F166" s="10" t="s">
        <v>526</v>
      </c>
      <c r="G166" s="10">
        <v>59801</v>
      </c>
      <c r="H166" s="10">
        <v>46.85</v>
      </c>
      <c r="I166" s="10">
        <v>-113.99</v>
      </c>
      <c r="J166" s="10" t="s">
        <v>335</v>
      </c>
      <c r="K166" s="10" t="s">
        <v>337</v>
      </c>
      <c r="L166" s="10">
        <v>20255</v>
      </c>
      <c r="M166" s="27">
        <f t="shared" si="4"/>
        <v>2081.0098982974005</v>
      </c>
      <c r="N166" s="33" t="s">
        <v>532</v>
      </c>
      <c r="O166" s="23" t="s">
        <v>526</v>
      </c>
      <c r="P166" s="31"/>
      <c r="Q166" s="31">
        <f>$B$5-Table1[[#This Row],[Latitude]]</f>
        <v>-3.7899999999999991</v>
      </c>
      <c r="R166" s="31">
        <f>$B$6-Table1[[#This Row],[Longitude]]</f>
        <v>26.03</v>
      </c>
    </row>
    <row r="167" spans="5:18">
      <c r="E167" s="8" t="s">
        <v>533</v>
      </c>
      <c r="F167" s="10" t="s">
        <v>534</v>
      </c>
      <c r="G167" s="10">
        <v>68801</v>
      </c>
      <c r="H167" s="10">
        <v>40.92</v>
      </c>
      <c r="I167" s="10">
        <v>-98.36</v>
      </c>
      <c r="J167" s="10" t="s">
        <v>335</v>
      </c>
      <c r="K167" s="10" t="s">
        <v>337</v>
      </c>
      <c r="L167" s="10">
        <v>22157</v>
      </c>
      <c r="M167" s="27">
        <f t="shared" si="4"/>
        <v>891.18360721678073</v>
      </c>
      <c r="N167" s="33" t="s">
        <v>533</v>
      </c>
      <c r="O167" s="23" t="s">
        <v>534</v>
      </c>
      <c r="P167" s="31"/>
      <c r="Q167" s="31">
        <f>$B$5-Table1[[#This Row],[Latitude]]</f>
        <v>2.1400000000000006</v>
      </c>
      <c r="R167" s="31">
        <f>$B$6-Table1[[#This Row],[Longitude]]</f>
        <v>10.400000000000006</v>
      </c>
    </row>
    <row r="168" spans="5:18">
      <c r="E168" s="8" t="s">
        <v>535</v>
      </c>
      <c r="F168" s="10" t="s">
        <v>534</v>
      </c>
      <c r="G168" s="10">
        <v>68502</v>
      </c>
      <c r="H168" s="10">
        <v>40.81</v>
      </c>
      <c r="I168" s="10">
        <v>-96.68</v>
      </c>
      <c r="J168" s="10" t="s">
        <v>335</v>
      </c>
      <c r="K168" s="10" t="s">
        <v>337</v>
      </c>
      <c r="L168" s="10">
        <v>19553</v>
      </c>
      <c r="M168" s="27">
        <f t="shared" si="4"/>
        <v>763.01727967352213</v>
      </c>
      <c r="N168" s="33" t="s">
        <v>535</v>
      </c>
      <c r="O168" s="23" t="s">
        <v>534</v>
      </c>
      <c r="P168" s="31"/>
      <c r="Q168" s="31">
        <f>$B$5-Table1[[#This Row],[Latitude]]</f>
        <v>2.25</v>
      </c>
      <c r="R168" s="31">
        <f>$B$6-Table1[[#This Row],[Longitude]]</f>
        <v>8.7200000000000131</v>
      </c>
    </row>
    <row r="169" spans="5:18">
      <c r="E169" s="8" t="s">
        <v>536</v>
      </c>
      <c r="F169" s="10" t="s">
        <v>534</v>
      </c>
      <c r="G169" s="10">
        <v>68701</v>
      </c>
      <c r="H169" s="10">
        <v>42.03</v>
      </c>
      <c r="I169" s="10">
        <v>-97.41</v>
      </c>
      <c r="J169" s="10" t="s">
        <v>335</v>
      </c>
      <c r="K169" s="10" t="s">
        <v>337</v>
      </c>
      <c r="L169" s="10">
        <v>24172</v>
      </c>
      <c r="M169" s="27">
        <f t="shared" si="4"/>
        <v>782.15961024114608</v>
      </c>
      <c r="N169" s="33" t="s">
        <v>536</v>
      </c>
      <c r="O169" s="23" t="s">
        <v>534</v>
      </c>
      <c r="P169" s="31"/>
      <c r="Q169" s="31">
        <f>$B$5-Table1[[#This Row],[Latitude]]</f>
        <v>1.0300000000000011</v>
      </c>
      <c r="R169" s="31">
        <f>$B$6-Table1[[#This Row],[Longitude]]</f>
        <v>9.4500000000000028</v>
      </c>
    </row>
    <row r="170" spans="5:18">
      <c r="E170" s="8" t="s">
        <v>537</v>
      </c>
      <c r="F170" s="10" t="s">
        <v>534</v>
      </c>
      <c r="G170" s="10">
        <v>69101</v>
      </c>
      <c r="H170" s="10">
        <v>41.13</v>
      </c>
      <c r="I170" s="10">
        <v>-100.77</v>
      </c>
      <c r="J170" s="10" t="s">
        <v>335</v>
      </c>
      <c r="K170" s="10" t="s">
        <v>337</v>
      </c>
      <c r="L170" s="10">
        <v>23774</v>
      </c>
      <c r="M170" s="27">
        <f t="shared" si="4"/>
        <v>1077.3849275163504</v>
      </c>
      <c r="N170" s="33" t="s">
        <v>537</v>
      </c>
      <c r="O170" s="23" t="s">
        <v>534</v>
      </c>
      <c r="P170" s="31"/>
      <c r="Q170" s="31">
        <f>$B$5-Table1[[#This Row],[Latitude]]</f>
        <v>1.9299999999999997</v>
      </c>
      <c r="R170" s="31">
        <f>$B$6-Table1[[#This Row],[Longitude]]</f>
        <v>12.810000000000002</v>
      </c>
    </row>
    <row r="171" spans="5:18">
      <c r="E171" s="8" t="s">
        <v>538</v>
      </c>
      <c r="F171" s="10" t="s">
        <v>534</v>
      </c>
      <c r="G171" s="10">
        <v>68104</v>
      </c>
      <c r="H171" s="10">
        <v>41.26</v>
      </c>
      <c r="I171" s="10">
        <v>-96.01</v>
      </c>
      <c r="J171" s="10" t="s">
        <v>335</v>
      </c>
      <c r="K171" s="10" t="s">
        <v>337</v>
      </c>
      <c r="L171" s="10">
        <v>26121</v>
      </c>
      <c r="M171" s="27">
        <f t="shared" si="4"/>
        <v>692.73223472306256</v>
      </c>
      <c r="N171" s="33" t="s">
        <v>538</v>
      </c>
      <c r="O171" s="23" t="s">
        <v>534</v>
      </c>
      <c r="P171" s="31"/>
      <c r="Q171" s="31">
        <f>$B$5-Table1[[#This Row],[Latitude]]</f>
        <v>1.8000000000000043</v>
      </c>
      <c r="R171" s="31">
        <f>$B$6-Table1[[#This Row],[Longitude]]</f>
        <v>8.0500000000000114</v>
      </c>
    </row>
    <row r="172" spans="5:18">
      <c r="E172" s="8" t="s">
        <v>539</v>
      </c>
      <c r="F172" s="10" t="s">
        <v>534</v>
      </c>
      <c r="G172" s="10">
        <v>69361</v>
      </c>
      <c r="H172" s="10">
        <v>41.86</v>
      </c>
      <c r="I172" s="10">
        <v>-103.66</v>
      </c>
      <c r="J172" s="10" t="s">
        <v>335</v>
      </c>
      <c r="K172" s="10" t="s">
        <v>337</v>
      </c>
      <c r="L172" s="10">
        <v>13012</v>
      </c>
      <c r="M172" s="27">
        <f t="shared" si="4"/>
        <v>1292.9107306460896</v>
      </c>
      <c r="N172" s="33" t="s">
        <v>539</v>
      </c>
      <c r="O172" s="23" t="s">
        <v>534</v>
      </c>
      <c r="P172" s="31"/>
      <c r="Q172" s="31">
        <f>$B$5-Table1[[#This Row],[Latitude]]</f>
        <v>1.2000000000000028</v>
      </c>
      <c r="R172" s="31">
        <f>$B$6-Table1[[#This Row],[Longitude]]</f>
        <v>15.700000000000003</v>
      </c>
    </row>
    <row r="173" spans="5:18">
      <c r="E173" s="8" t="s">
        <v>540</v>
      </c>
      <c r="F173" s="10" t="s">
        <v>534</v>
      </c>
      <c r="G173" s="10">
        <v>69201</v>
      </c>
      <c r="H173" s="10">
        <v>42.87</v>
      </c>
      <c r="I173" s="10">
        <v>-100.55</v>
      </c>
      <c r="J173" s="10" t="s">
        <v>335</v>
      </c>
      <c r="K173" s="10" t="s">
        <v>337</v>
      </c>
      <c r="L173" s="10">
        <v>3502</v>
      </c>
      <c r="M173" s="27">
        <f t="shared" si="4"/>
        <v>1023.6941235302622</v>
      </c>
      <c r="N173" s="33" t="s">
        <v>540</v>
      </c>
      <c r="O173" s="23" t="s">
        <v>534</v>
      </c>
      <c r="P173" s="31"/>
      <c r="Q173" s="31">
        <f>$B$5-Table1[[#This Row],[Latitude]]</f>
        <v>0.19000000000000483</v>
      </c>
      <c r="R173" s="31">
        <f>$B$6-Table1[[#This Row],[Longitude]]</f>
        <v>12.590000000000003</v>
      </c>
    </row>
    <row r="174" spans="5:18">
      <c r="E174" s="8" t="s">
        <v>541</v>
      </c>
      <c r="F174" s="10" t="s">
        <v>542</v>
      </c>
      <c r="G174" s="10">
        <v>89801</v>
      </c>
      <c r="H174" s="10">
        <v>40.950000000000003</v>
      </c>
      <c r="I174" s="10">
        <v>-115.79</v>
      </c>
      <c r="J174" s="10" t="s">
        <v>335</v>
      </c>
      <c r="K174" s="10" t="s">
        <v>337</v>
      </c>
      <c r="L174" s="10">
        <v>16721</v>
      </c>
      <c r="M174" s="27">
        <f t="shared" si="4"/>
        <v>2300.8250931662978</v>
      </c>
      <c r="N174" s="33" t="s">
        <v>541</v>
      </c>
      <c r="O174" s="23" t="s">
        <v>542</v>
      </c>
      <c r="P174" s="31"/>
      <c r="Q174" s="31">
        <f>$B$5-Table1[[#This Row],[Latitude]]</f>
        <v>2.1099999999999994</v>
      </c>
      <c r="R174" s="31">
        <f>$B$6-Table1[[#This Row],[Longitude]]</f>
        <v>27.830000000000013</v>
      </c>
    </row>
    <row r="175" spans="5:18">
      <c r="E175" s="8" t="s">
        <v>543</v>
      </c>
      <c r="F175" s="10" t="s">
        <v>542</v>
      </c>
      <c r="G175" s="10">
        <v>89301</v>
      </c>
      <c r="H175" s="10">
        <v>39.42</v>
      </c>
      <c r="I175" s="10">
        <v>-115</v>
      </c>
      <c r="J175" s="10" t="s">
        <v>335</v>
      </c>
      <c r="K175" s="10" t="s">
        <v>337</v>
      </c>
      <c r="L175" s="10">
        <v>3864</v>
      </c>
      <c r="M175" s="27">
        <f t="shared" si="4"/>
        <v>2286.5344016734498</v>
      </c>
      <c r="N175" s="33" t="s">
        <v>543</v>
      </c>
      <c r="O175" s="23" t="s">
        <v>542</v>
      </c>
      <c r="P175" s="31"/>
      <c r="Q175" s="31">
        <f>$B$5-Table1[[#This Row],[Latitude]]</f>
        <v>3.6400000000000006</v>
      </c>
      <c r="R175" s="31">
        <f>$B$6-Table1[[#This Row],[Longitude]]</f>
        <v>27.040000000000006</v>
      </c>
    </row>
    <row r="176" spans="5:18">
      <c r="E176" s="8" t="s">
        <v>544</v>
      </c>
      <c r="F176" s="10" t="s">
        <v>542</v>
      </c>
      <c r="G176" s="10">
        <v>89103</v>
      </c>
      <c r="H176" s="10">
        <v>36.11</v>
      </c>
      <c r="I176" s="10">
        <v>-115.21</v>
      </c>
      <c r="J176" s="10" t="s">
        <v>335</v>
      </c>
      <c r="K176" s="10" t="s">
        <v>337</v>
      </c>
      <c r="L176" s="10">
        <v>36409</v>
      </c>
      <c r="M176" s="27">
        <f t="shared" si="4"/>
        <v>2447.0027771465166</v>
      </c>
      <c r="N176" s="33" t="s">
        <v>544</v>
      </c>
      <c r="O176" s="23" t="s">
        <v>542</v>
      </c>
      <c r="P176" s="31"/>
      <c r="Q176" s="31">
        <f>$B$5-Table1[[#This Row],[Latitude]]</f>
        <v>6.9500000000000028</v>
      </c>
      <c r="R176" s="31">
        <f>$B$6-Table1[[#This Row],[Longitude]]</f>
        <v>27.25</v>
      </c>
    </row>
    <row r="177" spans="5:18">
      <c r="E177" s="8" t="s">
        <v>545</v>
      </c>
      <c r="F177" s="10" t="s">
        <v>542</v>
      </c>
      <c r="G177" s="10">
        <v>89502</v>
      </c>
      <c r="H177" s="10">
        <v>39.479999999999997</v>
      </c>
      <c r="I177" s="10">
        <v>-119.74</v>
      </c>
      <c r="J177" s="10" t="s">
        <v>335</v>
      </c>
      <c r="K177" s="10" t="s">
        <v>337</v>
      </c>
      <c r="L177" s="10">
        <v>32168</v>
      </c>
      <c r="M177" s="27">
        <f t="shared" si="4"/>
        <v>2669.381098968759</v>
      </c>
      <c r="N177" s="33" t="s">
        <v>545</v>
      </c>
      <c r="O177" s="23" t="s">
        <v>542</v>
      </c>
      <c r="P177" s="31"/>
      <c r="Q177" s="31">
        <f>$B$5-Table1[[#This Row],[Latitude]]</f>
        <v>3.5800000000000054</v>
      </c>
      <c r="R177" s="31">
        <f>$B$6-Table1[[#This Row],[Longitude]]</f>
        <v>31.78</v>
      </c>
    </row>
    <row r="178" spans="5:18">
      <c r="E178" s="8" t="s">
        <v>546</v>
      </c>
      <c r="F178" s="10" t="s">
        <v>542</v>
      </c>
      <c r="G178" s="10">
        <v>89445</v>
      </c>
      <c r="H178" s="10">
        <v>41.12</v>
      </c>
      <c r="I178" s="10">
        <v>-118.05</v>
      </c>
      <c r="J178" s="10" t="s">
        <v>335</v>
      </c>
      <c r="K178" s="10" t="s">
        <v>337</v>
      </c>
      <c r="L178" s="10">
        <v>10697</v>
      </c>
      <c r="M178" s="27">
        <f t="shared" si="4"/>
        <v>2478.9320160876559</v>
      </c>
      <c r="N178" s="33" t="s">
        <v>546</v>
      </c>
      <c r="O178" s="23" t="s">
        <v>542</v>
      </c>
      <c r="P178" s="31"/>
      <c r="Q178" s="31">
        <f>$B$5-Table1[[#This Row],[Latitude]]</f>
        <v>1.9400000000000048</v>
      </c>
      <c r="R178" s="31">
        <f>$B$6-Table1[[#This Row],[Longitude]]</f>
        <v>30.090000000000003</v>
      </c>
    </row>
    <row r="179" spans="5:18">
      <c r="E179" s="8" t="s">
        <v>547</v>
      </c>
      <c r="F179" s="10" t="s">
        <v>542</v>
      </c>
      <c r="G179" s="10">
        <v>89049</v>
      </c>
      <c r="H179" s="10">
        <v>38.35</v>
      </c>
      <c r="I179" s="10">
        <v>-116.61</v>
      </c>
      <c r="J179" s="10" t="s">
        <v>335</v>
      </c>
      <c r="K179" s="10" t="s">
        <v>337</v>
      </c>
      <c r="L179" s="10">
        <v>2059</v>
      </c>
      <c r="M179" s="27">
        <f t="shared" si="4"/>
        <v>2458.4237834143655</v>
      </c>
      <c r="N179" s="33" t="s">
        <v>547</v>
      </c>
      <c r="O179" s="23" t="s">
        <v>542</v>
      </c>
      <c r="P179" s="31"/>
      <c r="Q179" s="31">
        <f>$B$5-Table1[[#This Row],[Latitude]]</f>
        <v>4.7100000000000009</v>
      </c>
      <c r="R179" s="31">
        <f>$B$6-Table1[[#This Row],[Longitude]]</f>
        <v>28.650000000000006</v>
      </c>
    </row>
    <row r="180" spans="5:18">
      <c r="E180" s="8" t="s">
        <v>548</v>
      </c>
      <c r="F180" s="10" t="s">
        <v>549</v>
      </c>
      <c r="G180" s="10">
        <v>3301</v>
      </c>
      <c r="H180" s="10">
        <v>43.23</v>
      </c>
      <c r="I180" s="10">
        <v>-71.56</v>
      </c>
      <c r="J180" s="10" t="s">
        <v>335</v>
      </c>
      <c r="K180" s="10" t="s">
        <v>337</v>
      </c>
      <c r="L180" s="10">
        <v>25391</v>
      </c>
      <c r="M180" s="27">
        <f t="shared" si="4"/>
        <v>1328.5428921816153</v>
      </c>
      <c r="N180" s="33" t="s">
        <v>548</v>
      </c>
      <c r="O180" s="23" t="s">
        <v>549</v>
      </c>
      <c r="P180" s="31"/>
      <c r="Q180" s="31">
        <f>$B$5-Table1[[#This Row],[Latitude]]</f>
        <v>-0.1699999999999946</v>
      </c>
      <c r="R180" s="31">
        <f>$B$6-Table1[[#This Row],[Longitude]]</f>
        <v>-16.399999999999991</v>
      </c>
    </row>
    <row r="181" spans="5:18">
      <c r="E181" s="12" t="s">
        <v>550</v>
      </c>
      <c r="F181" s="13" t="s">
        <v>549</v>
      </c>
      <c r="G181" s="13">
        <v>3589</v>
      </c>
      <c r="H181" s="13">
        <v>44.27</v>
      </c>
      <c r="I181" s="13">
        <v>-71.3</v>
      </c>
      <c r="J181" s="13" t="s">
        <v>342</v>
      </c>
      <c r="K181" s="13" t="s">
        <v>337</v>
      </c>
      <c r="L181" s="9"/>
      <c r="M181" s="27">
        <f t="shared" si="4"/>
        <v>1344.4803316923428</v>
      </c>
      <c r="N181" s="36" t="s">
        <v>550</v>
      </c>
      <c r="O181" s="37" t="s">
        <v>549</v>
      </c>
      <c r="P181" s="31"/>
      <c r="Q181" s="31">
        <f>$B$5-Table1[[#This Row],[Latitude]]</f>
        <v>-1.2100000000000009</v>
      </c>
      <c r="R181" s="31">
        <f>$B$6-Table1[[#This Row],[Longitude]]</f>
        <v>-16.659999999999997</v>
      </c>
    </row>
    <row r="182" spans="5:18">
      <c r="E182" s="12" t="s">
        <v>551</v>
      </c>
      <c r="F182" s="13" t="s">
        <v>549</v>
      </c>
      <c r="G182" s="13">
        <v>3801</v>
      </c>
      <c r="H182" s="13">
        <v>43.05</v>
      </c>
      <c r="I182" s="13">
        <v>-70.78</v>
      </c>
      <c r="J182" s="13" t="s">
        <v>335</v>
      </c>
      <c r="K182" s="13" t="s">
        <v>337</v>
      </c>
      <c r="L182" s="13">
        <v>18209</v>
      </c>
      <c r="M182" s="27">
        <f t="shared" si="4"/>
        <v>1393.4275480166086</v>
      </c>
      <c r="N182" s="36" t="s">
        <v>551</v>
      </c>
      <c r="O182" s="37" t="s">
        <v>549</v>
      </c>
      <c r="P182" s="31"/>
      <c r="Q182" s="31">
        <f>$B$5-Table1[[#This Row],[Latitude]]</f>
        <v>1.0000000000005116E-2</v>
      </c>
      <c r="R182" s="31">
        <f>$B$6-Table1[[#This Row],[Longitude]]</f>
        <v>-17.179999999999993</v>
      </c>
    </row>
    <row r="183" spans="5:18">
      <c r="E183" s="12" t="s">
        <v>552</v>
      </c>
      <c r="F183" s="13" t="s">
        <v>553</v>
      </c>
      <c r="G183" s="13">
        <v>8401</v>
      </c>
      <c r="H183" s="13">
        <v>39.36</v>
      </c>
      <c r="I183" s="13">
        <v>-74.42</v>
      </c>
      <c r="J183" s="13" t="s">
        <v>335</v>
      </c>
      <c r="K183" s="13" t="s">
        <v>337</v>
      </c>
      <c r="L183" s="13">
        <v>29186</v>
      </c>
      <c r="M183" s="27">
        <f t="shared" si="4"/>
        <v>1203.3651656606467</v>
      </c>
      <c r="N183" s="36" t="s">
        <v>552</v>
      </c>
      <c r="O183" s="37" t="s">
        <v>553</v>
      </c>
      <c r="P183" s="31"/>
      <c r="Q183" s="31">
        <f>$B$5-Table1[[#This Row],[Latitude]]</f>
        <v>3.7000000000000028</v>
      </c>
      <c r="R183" s="31">
        <f>$B$6-Table1[[#This Row],[Longitude]]</f>
        <v>-13.539999999999992</v>
      </c>
    </row>
    <row r="184" spans="5:18">
      <c r="E184" s="12" t="s">
        <v>554</v>
      </c>
      <c r="F184" s="13" t="s">
        <v>553</v>
      </c>
      <c r="G184" s="13">
        <v>8610</v>
      </c>
      <c r="H184" s="13">
        <v>40.22</v>
      </c>
      <c r="I184" s="13">
        <v>-74.760000000000005</v>
      </c>
      <c r="J184" s="13" t="s">
        <v>335</v>
      </c>
      <c r="K184" s="13" t="s">
        <v>337</v>
      </c>
      <c r="L184" s="13">
        <v>25618</v>
      </c>
      <c r="M184" s="27">
        <f t="shared" si="4"/>
        <v>1140.0735748788516</v>
      </c>
      <c r="N184" s="36" t="s">
        <v>554</v>
      </c>
      <c r="O184" s="37" t="s">
        <v>553</v>
      </c>
      <c r="P184" s="31"/>
      <c r="Q184" s="31">
        <f>$B$5-Table1[[#This Row],[Latitude]]</f>
        <v>2.8400000000000034</v>
      </c>
      <c r="R184" s="31">
        <f>$B$6-Table1[[#This Row],[Longitude]]</f>
        <v>-13.199999999999989</v>
      </c>
    </row>
    <row r="185" spans="5:18">
      <c r="E185" s="12" t="s">
        <v>555</v>
      </c>
      <c r="F185" s="13" t="s">
        <v>553</v>
      </c>
      <c r="G185" s="13">
        <v>7104</v>
      </c>
      <c r="H185" s="13">
        <v>40.72</v>
      </c>
      <c r="I185" s="13">
        <v>-74.17</v>
      </c>
      <c r="J185" s="13" t="s">
        <v>335</v>
      </c>
      <c r="K185" s="13" t="s">
        <v>337</v>
      </c>
      <c r="L185" s="13">
        <v>35277</v>
      </c>
      <c r="M185" s="27">
        <f t="shared" si="4"/>
        <v>1169.3039399342408</v>
      </c>
      <c r="N185" s="36" t="s">
        <v>555</v>
      </c>
      <c r="O185" s="37" t="s">
        <v>553</v>
      </c>
      <c r="P185" s="31"/>
      <c r="Q185" s="31">
        <f>$B$5-Table1[[#This Row],[Latitude]]</f>
        <v>2.3400000000000034</v>
      </c>
      <c r="R185" s="31">
        <f>$B$6-Table1[[#This Row],[Longitude]]</f>
        <v>-13.789999999999992</v>
      </c>
    </row>
    <row r="186" spans="5:18">
      <c r="E186" s="12" t="s">
        <v>207</v>
      </c>
      <c r="F186" s="13" t="s">
        <v>556</v>
      </c>
      <c r="G186" s="13">
        <v>88310</v>
      </c>
      <c r="H186" s="13">
        <v>32.880000000000003</v>
      </c>
      <c r="I186" s="13">
        <v>-105.95</v>
      </c>
      <c r="J186" s="13" t="s">
        <v>335</v>
      </c>
      <c r="K186" s="13" t="s">
        <v>337</v>
      </c>
      <c r="L186" s="13">
        <v>25636</v>
      </c>
      <c r="M186" s="27">
        <f t="shared" si="4"/>
        <v>1934.3972509444584</v>
      </c>
      <c r="N186" s="36" t="s">
        <v>207</v>
      </c>
      <c r="O186" s="37" t="s">
        <v>556</v>
      </c>
      <c r="P186" s="31"/>
      <c r="Q186" s="31">
        <f>$B$5-Table1[[#This Row],[Latitude]]</f>
        <v>10.18</v>
      </c>
      <c r="R186" s="31">
        <f>$B$6-Table1[[#This Row],[Longitude]]</f>
        <v>17.990000000000009</v>
      </c>
    </row>
    <row r="187" spans="5:18">
      <c r="E187" s="12" t="s">
        <v>557</v>
      </c>
      <c r="F187" s="13" t="s">
        <v>556</v>
      </c>
      <c r="G187" s="13">
        <v>87111</v>
      </c>
      <c r="H187" s="13">
        <v>35.11</v>
      </c>
      <c r="I187" s="13">
        <v>-106.62</v>
      </c>
      <c r="J187" s="13" t="s">
        <v>335</v>
      </c>
      <c r="K187" s="13" t="s">
        <v>337</v>
      </c>
      <c r="L187" s="13">
        <v>46340</v>
      </c>
      <c r="M187" s="27">
        <f t="shared" si="4"/>
        <v>1831.3328396600282</v>
      </c>
      <c r="N187" s="36" t="s">
        <v>557</v>
      </c>
      <c r="O187" s="37" t="s">
        <v>556</v>
      </c>
      <c r="P187" s="31"/>
      <c r="Q187" s="31">
        <f>$B$5-Table1[[#This Row],[Latitude]]</f>
        <v>7.9500000000000028</v>
      </c>
      <c r="R187" s="31">
        <f>$B$6-Table1[[#This Row],[Longitude]]</f>
        <v>18.660000000000011</v>
      </c>
    </row>
    <row r="188" spans="5:18">
      <c r="E188" s="12" t="s">
        <v>558</v>
      </c>
      <c r="F188" s="13" t="s">
        <v>556</v>
      </c>
      <c r="G188" s="13">
        <v>88415</v>
      </c>
      <c r="H188" s="13">
        <v>36.450000000000003</v>
      </c>
      <c r="I188" s="13">
        <v>-103.17</v>
      </c>
      <c r="J188" s="13" t="s">
        <v>335</v>
      </c>
      <c r="K188" s="13" t="s">
        <v>337</v>
      </c>
      <c r="L188" s="13">
        <v>2441</v>
      </c>
      <c r="M188" s="27">
        <f t="shared" si="4"/>
        <v>1490.2920486079056</v>
      </c>
      <c r="N188" s="36" t="s">
        <v>558</v>
      </c>
      <c r="O188" s="37" t="s">
        <v>556</v>
      </c>
      <c r="P188" s="31"/>
      <c r="Q188" s="31">
        <f>$B$5-Table1[[#This Row],[Latitude]]</f>
        <v>6.6099999999999994</v>
      </c>
      <c r="R188" s="31">
        <f>$B$6-Table1[[#This Row],[Longitude]]</f>
        <v>15.210000000000008</v>
      </c>
    </row>
    <row r="189" spans="5:18">
      <c r="E189" s="12" t="s">
        <v>559</v>
      </c>
      <c r="F189" s="13" t="s">
        <v>556</v>
      </c>
      <c r="G189" s="13">
        <v>88101</v>
      </c>
      <c r="H189" s="13">
        <v>34.409999999999997</v>
      </c>
      <c r="I189" s="13">
        <v>-103.2</v>
      </c>
      <c r="J189" s="13" t="s">
        <v>335</v>
      </c>
      <c r="K189" s="13" t="s">
        <v>337</v>
      </c>
      <c r="L189" s="13">
        <v>32423</v>
      </c>
      <c r="M189" s="27">
        <f t="shared" si="4"/>
        <v>1630.5526443279305</v>
      </c>
      <c r="N189" s="36" t="s">
        <v>559</v>
      </c>
      <c r="O189" s="37" t="s">
        <v>556</v>
      </c>
      <c r="P189" s="31"/>
      <c r="Q189" s="31">
        <f>$B$5-Table1[[#This Row],[Latitude]]</f>
        <v>8.6500000000000057</v>
      </c>
      <c r="R189" s="31">
        <f>$B$6-Table1[[#This Row],[Longitude]]</f>
        <v>15.240000000000009</v>
      </c>
    </row>
    <row r="190" spans="5:18">
      <c r="E190" s="12" t="s">
        <v>560</v>
      </c>
      <c r="F190" s="13" t="s">
        <v>556</v>
      </c>
      <c r="G190" s="13">
        <v>88203</v>
      </c>
      <c r="H190" s="13">
        <v>33.33</v>
      </c>
      <c r="I190" s="13">
        <v>-104.52</v>
      </c>
      <c r="J190" s="13" t="s">
        <v>335</v>
      </c>
      <c r="K190" s="13" t="s">
        <v>337</v>
      </c>
      <c r="L190" s="13">
        <v>20372</v>
      </c>
      <c r="M190" s="27">
        <f t="shared" si="4"/>
        <v>1801.3464740687027</v>
      </c>
      <c r="N190" s="36" t="s">
        <v>560</v>
      </c>
      <c r="O190" s="37" t="s">
        <v>556</v>
      </c>
      <c r="P190" s="31"/>
      <c r="Q190" s="31">
        <f>$B$5-Table1[[#This Row],[Latitude]]</f>
        <v>9.730000000000004</v>
      </c>
      <c r="R190" s="31">
        <f>$B$6-Table1[[#This Row],[Longitude]]</f>
        <v>16.560000000000002</v>
      </c>
    </row>
    <row r="191" spans="5:18">
      <c r="E191" s="12" t="s">
        <v>430</v>
      </c>
      <c r="F191" s="13" t="s">
        <v>561</v>
      </c>
      <c r="G191" s="13">
        <v>12203</v>
      </c>
      <c r="H191" s="13">
        <v>42.66</v>
      </c>
      <c r="I191" s="13">
        <v>-73.790000000000006</v>
      </c>
      <c r="J191" s="13" t="s">
        <v>335</v>
      </c>
      <c r="K191" s="13" t="s">
        <v>337</v>
      </c>
      <c r="L191" s="13">
        <v>20438</v>
      </c>
      <c r="M191" s="27">
        <f t="shared" si="4"/>
        <v>1154.449463791778</v>
      </c>
      <c r="N191" s="36" t="s">
        <v>430</v>
      </c>
      <c r="O191" s="37" t="s">
        <v>561</v>
      </c>
      <c r="P191" s="31"/>
      <c r="Q191" s="31">
        <f>$B$5-Table1[[#This Row],[Latitude]]</f>
        <v>0.40000000000000568</v>
      </c>
      <c r="R191" s="31">
        <f>$B$6-Table1[[#This Row],[Longitude]]</f>
        <v>-14.169999999999987</v>
      </c>
    </row>
    <row r="192" spans="5:18">
      <c r="E192" s="12" t="s">
        <v>562</v>
      </c>
      <c r="F192" s="13" t="s">
        <v>561</v>
      </c>
      <c r="G192" s="13">
        <v>13901</v>
      </c>
      <c r="H192" s="13">
        <v>42.1</v>
      </c>
      <c r="I192" s="13">
        <v>-75.91</v>
      </c>
      <c r="J192" s="13" t="s">
        <v>335</v>
      </c>
      <c r="K192" s="13" t="s">
        <v>337</v>
      </c>
      <c r="L192" s="13">
        <v>14798</v>
      </c>
      <c r="M192" s="27">
        <f t="shared" si="4"/>
        <v>991.50021007330815</v>
      </c>
      <c r="N192" s="36" t="s">
        <v>562</v>
      </c>
      <c r="O192" s="37" t="s">
        <v>561</v>
      </c>
      <c r="P192" s="31"/>
      <c r="Q192" s="31">
        <f>$B$5-Table1[[#This Row],[Latitude]]</f>
        <v>0.96000000000000085</v>
      </c>
      <c r="R192" s="31">
        <f>$B$6-Table1[[#This Row],[Longitude]]</f>
        <v>-12.049999999999997</v>
      </c>
    </row>
    <row r="193" spans="5:18">
      <c r="E193" s="12" t="s">
        <v>563</v>
      </c>
      <c r="F193" s="13" t="s">
        <v>561</v>
      </c>
      <c r="G193" s="13">
        <v>14207</v>
      </c>
      <c r="H193" s="13">
        <v>42.88</v>
      </c>
      <c r="I193" s="13">
        <v>-78.849999999999994</v>
      </c>
      <c r="J193" s="13" t="s">
        <v>335</v>
      </c>
      <c r="K193" s="13" t="s">
        <v>337</v>
      </c>
      <c r="L193" s="13">
        <v>14755</v>
      </c>
      <c r="M193" s="27">
        <f t="shared" si="4"/>
        <v>741.11856717204068</v>
      </c>
      <c r="N193" s="36" t="s">
        <v>563</v>
      </c>
      <c r="O193" s="37" t="s">
        <v>561</v>
      </c>
      <c r="P193" s="31"/>
      <c r="Q193" s="31">
        <f>$B$5-Table1[[#This Row],[Latitude]]</f>
        <v>0.17999999999999972</v>
      </c>
      <c r="R193" s="31">
        <f>$B$6-Table1[[#This Row],[Longitude]]</f>
        <v>-9.11</v>
      </c>
    </row>
    <row r="194" spans="5:18">
      <c r="E194" s="12" t="s">
        <v>564</v>
      </c>
      <c r="F194" s="13" t="s">
        <v>561</v>
      </c>
      <c r="G194" s="13">
        <v>11751</v>
      </c>
      <c r="H194" s="13">
        <v>40.729999999999997</v>
      </c>
      <c r="I194" s="13">
        <v>-73.209999999999994</v>
      </c>
      <c r="J194" s="13" t="s">
        <v>335</v>
      </c>
      <c r="K194" s="13" t="s">
        <v>337</v>
      </c>
      <c r="L194" s="13">
        <v>12779</v>
      </c>
      <c r="M194" s="27">
        <f t="shared" ref="M194:M257" si="5">ACOS(COS(RADIANS(90-$B$5))*COS(RADIANS(90-H194))+SIN(RADIANS(90-$B$5))*SIN(RADIANS(90-H194))*COS(RADIANS($B$6-I194)))*6371</f>
        <v>1246.2909640401645</v>
      </c>
      <c r="N194" s="36" t="s">
        <v>564</v>
      </c>
      <c r="O194" s="37" t="s">
        <v>561</v>
      </c>
      <c r="P194" s="31"/>
      <c r="Q194" s="31">
        <f>$B$5-Table1[[#This Row],[Latitude]]</f>
        <v>2.3300000000000054</v>
      </c>
      <c r="R194" s="31">
        <f>$B$6-Table1[[#This Row],[Longitude]]</f>
        <v>-14.75</v>
      </c>
    </row>
    <row r="195" spans="5:18">
      <c r="E195" s="12" t="s">
        <v>565</v>
      </c>
      <c r="F195" s="13" t="s">
        <v>561</v>
      </c>
      <c r="G195" s="13">
        <v>12550</v>
      </c>
      <c r="H195" s="13">
        <v>41.5</v>
      </c>
      <c r="I195" s="13">
        <v>-74.02</v>
      </c>
      <c r="J195" s="13" t="s">
        <v>335</v>
      </c>
      <c r="K195" s="13" t="s">
        <v>337</v>
      </c>
      <c r="L195" s="13">
        <v>41479</v>
      </c>
      <c r="M195" s="27">
        <f t="shared" si="5"/>
        <v>1158.4875655605472</v>
      </c>
      <c r="N195" s="36" t="s">
        <v>565</v>
      </c>
      <c r="O195" s="37" t="s">
        <v>561</v>
      </c>
      <c r="P195" s="31"/>
      <c r="Q195" s="31">
        <f>$B$5-Table1[[#This Row],[Latitude]]</f>
        <v>1.5600000000000023</v>
      </c>
      <c r="R195" s="31">
        <f>$B$6-Table1[[#This Row],[Longitude]]</f>
        <v>-13.939999999999998</v>
      </c>
    </row>
    <row r="196" spans="5:18">
      <c r="E196" s="12" t="s">
        <v>566</v>
      </c>
      <c r="F196" s="13" t="s">
        <v>561</v>
      </c>
      <c r="G196" s="13">
        <v>10002</v>
      </c>
      <c r="H196" s="13">
        <v>40.71</v>
      </c>
      <c r="I196" s="13">
        <v>-73.989999999999995</v>
      </c>
      <c r="J196" s="13" t="s">
        <v>335</v>
      </c>
      <c r="K196" s="13" t="s">
        <v>337</v>
      </c>
      <c r="L196" s="13">
        <v>70604</v>
      </c>
      <c r="M196" s="27">
        <f t="shared" si="5"/>
        <v>1184.1146489671148</v>
      </c>
      <c r="N196" s="36" t="s">
        <v>566</v>
      </c>
      <c r="O196" s="37" t="s">
        <v>561</v>
      </c>
      <c r="P196" s="31"/>
      <c r="Q196" s="31">
        <f>$B$5-Table1[[#This Row],[Latitude]]</f>
        <v>2.3500000000000014</v>
      </c>
      <c r="R196" s="31">
        <f>$B$6-Table1[[#This Row],[Longitude]]</f>
        <v>-13.969999999999999</v>
      </c>
    </row>
    <row r="197" spans="5:18">
      <c r="E197" s="12" t="s">
        <v>567</v>
      </c>
      <c r="F197" s="13" t="s">
        <v>561</v>
      </c>
      <c r="G197" s="13">
        <v>14304</v>
      </c>
      <c r="H197" s="13">
        <v>43.09</v>
      </c>
      <c r="I197" s="13">
        <v>-79.010000000000005</v>
      </c>
      <c r="J197" s="13" t="s">
        <v>335</v>
      </c>
      <c r="K197" s="13" t="s">
        <v>337</v>
      </c>
      <c r="L197" s="13">
        <v>25293</v>
      </c>
      <c r="M197" s="27">
        <f t="shared" si="5"/>
        <v>726.61268034195643</v>
      </c>
      <c r="N197" s="36" t="s">
        <v>567</v>
      </c>
      <c r="O197" s="37" t="s">
        <v>561</v>
      </c>
      <c r="P197" s="31"/>
      <c r="Q197" s="31">
        <f>$B$5-Table1[[#This Row],[Latitude]]</f>
        <v>-3.0000000000001137E-2</v>
      </c>
      <c r="R197" s="31">
        <f>$B$6-Table1[[#This Row],[Longitude]]</f>
        <v>-8.9499999999999886</v>
      </c>
    </row>
    <row r="198" spans="5:18">
      <c r="E198" s="12" t="s">
        <v>568</v>
      </c>
      <c r="F198" s="13" t="s">
        <v>561</v>
      </c>
      <c r="G198" s="13">
        <v>12901</v>
      </c>
      <c r="H198" s="13">
        <v>44.69</v>
      </c>
      <c r="I198" s="13">
        <v>-73.45</v>
      </c>
      <c r="J198" s="13" t="s">
        <v>335</v>
      </c>
      <c r="K198" s="13" t="s">
        <v>337</v>
      </c>
      <c r="L198" s="13">
        <v>23334</v>
      </c>
      <c r="M198" s="27">
        <f t="shared" si="5"/>
        <v>1175.4649002459626</v>
      </c>
      <c r="N198" s="36" t="s">
        <v>568</v>
      </c>
      <c r="O198" s="37" t="s">
        <v>561</v>
      </c>
      <c r="P198" s="31"/>
      <c r="Q198" s="31">
        <f>$B$5-Table1[[#This Row],[Latitude]]</f>
        <v>-1.6299999999999955</v>
      </c>
      <c r="R198" s="31">
        <f>$B$6-Table1[[#This Row],[Longitude]]</f>
        <v>-14.509999999999991</v>
      </c>
    </row>
    <row r="199" spans="5:18">
      <c r="E199" s="12" t="s">
        <v>515</v>
      </c>
      <c r="F199" s="13" t="s">
        <v>561</v>
      </c>
      <c r="G199" s="13">
        <v>14612</v>
      </c>
      <c r="H199" s="13">
        <v>43.16</v>
      </c>
      <c r="I199" s="13">
        <v>-77.61</v>
      </c>
      <c r="J199" s="13" t="s">
        <v>335</v>
      </c>
      <c r="K199" s="13" t="s">
        <v>337</v>
      </c>
      <c r="L199" s="13">
        <v>30282</v>
      </c>
      <c r="M199" s="27">
        <f t="shared" si="5"/>
        <v>839.72166122179078</v>
      </c>
      <c r="N199" s="36" t="s">
        <v>515</v>
      </c>
      <c r="O199" s="37" t="s">
        <v>561</v>
      </c>
      <c r="P199" s="31"/>
      <c r="Q199" s="31">
        <f>$B$5-Table1[[#This Row],[Latitude]]</f>
        <v>-9.9999999999994316E-2</v>
      </c>
      <c r="R199" s="31">
        <f>$B$6-Table1[[#This Row],[Longitude]]</f>
        <v>-10.349999999999994</v>
      </c>
    </row>
    <row r="200" spans="5:18">
      <c r="E200" s="12" t="s">
        <v>569</v>
      </c>
      <c r="F200" s="13" t="s">
        <v>561</v>
      </c>
      <c r="G200" s="13">
        <v>13440</v>
      </c>
      <c r="H200" s="13">
        <v>43.21</v>
      </c>
      <c r="I200" s="13">
        <v>-75.47</v>
      </c>
      <c r="J200" s="13" t="s">
        <v>335</v>
      </c>
      <c r="K200" s="13" t="s">
        <v>337</v>
      </c>
      <c r="L200" s="13">
        <v>31499</v>
      </c>
      <c r="M200" s="27">
        <f t="shared" si="5"/>
        <v>1012.6835988547871</v>
      </c>
      <c r="N200" s="36" t="s">
        <v>569</v>
      </c>
      <c r="O200" s="37" t="s">
        <v>561</v>
      </c>
      <c r="P200" s="31"/>
      <c r="Q200" s="31">
        <f>$B$5-Table1[[#This Row],[Latitude]]</f>
        <v>-0.14999999999999858</v>
      </c>
      <c r="R200" s="31">
        <f>$B$6-Table1[[#This Row],[Longitude]]</f>
        <v>-12.489999999999995</v>
      </c>
    </row>
    <row r="201" spans="5:18">
      <c r="E201" s="12" t="s">
        <v>570</v>
      </c>
      <c r="F201" s="13" t="s">
        <v>561</v>
      </c>
      <c r="G201" s="13">
        <v>13208</v>
      </c>
      <c r="H201" s="13">
        <v>43.04</v>
      </c>
      <c r="I201" s="13">
        <v>-76.14</v>
      </c>
      <c r="J201" s="13" t="s">
        <v>335</v>
      </c>
      <c r="K201" s="13" t="s">
        <v>337</v>
      </c>
      <c r="L201" s="13">
        <v>14769</v>
      </c>
      <c r="M201" s="27">
        <f t="shared" si="5"/>
        <v>959.66044538331903</v>
      </c>
      <c r="N201" s="36" t="s">
        <v>570</v>
      </c>
      <c r="O201" s="37" t="s">
        <v>561</v>
      </c>
      <c r="P201" s="31"/>
      <c r="Q201" s="31">
        <f>$B$5-Table1[[#This Row],[Latitude]]</f>
        <v>2.0000000000003126E-2</v>
      </c>
      <c r="R201" s="31">
        <f>$B$6-Table1[[#This Row],[Longitude]]</f>
        <v>-11.819999999999993</v>
      </c>
    </row>
    <row r="202" spans="5:18">
      <c r="E202" s="12" t="s">
        <v>571</v>
      </c>
      <c r="F202" s="13" t="s">
        <v>561</v>
      </c>
      <c r="G202" s="13">
        <v>11956</v>
      </c>
      <c r="H202" s="13">
        <v>40.99</v>
      </c>
      <c r="I202" s="13">
        <v>-72.48</v>
      </c>
      <c r="J202" s="13" t="s">
        <v>342</v>
      </c>
      <c r="K202" s="13" t="s">
        <v>337</v>
      </c>
      <c r="L202" s="9"/>
      <c r="M202" s="27">
        <f t="shared" si="5"/>
        <v>1297.2651521403773</v>
      </c>
      <c r="N202" s="36" t="s">
        <v>571</v>
      </c>
      <c r="O202" s="37" t="s">
        <v>561</v>
      </c>
      <c r="P202" s="31"/>
      <c r="Q202" s="31">
        <f>$B$5-Table1[[#This Row],[Latitude]]</f>
        <v>2.0700000000000003</v>
      </c>
      <c r="R202" s="31">
        <f>$B$6-Table1[[#This Row],[Longitude]]</f>
        <v>-15.47999999999999</v>
      </c>
    </row>
    <row r="203" spans="5:18">
      <c r="E203" s="12" t="s">
        <v>572</v>
      </c>
      <c r="F203" s="13" t="s">
        <v>573</v>
      </c>
      <c r="G203" s="13">
        <v>28806</v>
      </c>
      <c r="H203" s="13">
        <v>35.57</v>
      </c>
      <c r="I203" s="13">
        <v>-82.54</v>
      </c>
      <c r="J203" s="13" t="s">
        <v>335</v>
      </c>
      <c r="K203" s="13" t="s">
        <v>337</v>
      </c>
      <c r="L203" s="13">
        <v>28498</v>
      </c>
      <c r="M203" s="27">
        <f t="shared" si="5"/>
        <v>953.96707727008368</v>
      </c>
      <c r="N203" s="36" t="s">
        <v>572</v>
      </c>
      <c r="O203" s="37" t="s">
        <v>573</v>
      </c>
      <c r="P203" s="31"/>
      <c r="Q203" s="31">
        <f>$B$5-Table1[[#This Row],[Latitude]]</f>
        <v>7.490000000000002</v>
      </c>
      <c r="R203" s="31">
        <f>$B$6-Table1[[#This Row],[Longitude]]</f>
        <v>-5.4199999999999875</v>
      </c>
    </row>
    <row r="204" spans="5:18">
      <c r="E204" s="12" t="s">
        <v>574</v>
      </c>
      <c r="F204" s="13" t="s">
        <v>573</v>
      </c>
      <c r="G204" s="13">
        <v>28205</v>
      </c>
      <c r="H204" s="13">
        <v>35.19</v>
      </c>
      <c r="I204" s="13">
        <v>-80.83</v>
      </c>
      <c r="J204" s="13" t="s">
        <v>335</v>
      </c>
      <c r="K204" s="13" t="s">
        <v>337</v>
      </c>
      <c r="L204" s="13">
        <v>31588</v>
      </c>
      <c r="M204" s="27">
        <f t="shared" si="5"/>
        <v>1068.699073311873</v>
      </c>
      <c r="N204" s="36" t="s">
        <v>574</v>
      </c>
      <c r="O204" s="37" t="s">
        <v>573</v>
      </c>
      <c r="P204" s="31"/>
      <c r="Q204" s="31">
        <f>$B$5-Table1[[#This Row],[Latitude]]</f>
        <v>7.8700000000000045</v>
      </c>
      <c r="R204" s="31">
        <f>$B$6-Table1[[#This Row],[Longitude]]</f>
        <v>-7.1299999999999955</v>
      </c>
    </row>
    <row r="205" spans="5:18">
      <c r="E205" s="12" t="s">
        <v>575</v>
      </c>
      <c r="F205" s="13" t="s">
        <v>573</v>
      </c>
      <c r="G205" s="13">
        <v>28533</v>
      </c>
      <c r="H205" s="13">
        <v>34.92</v>
      </c>
      <c r="I205" s="13">
        <v>-76.89</v>
      </c>
      <c r="J205" s="13" t="s">
        <v>335</v>
      </c>
      <c r="K205" s="13" t="s">
        <v>337</v>
      </c>
      <c r="L205" s="13">
        <v>1902</v>
      </c>
      <c r="M205" s="27">
        <f t="shared" si="5"/>
        <v>1314.8821564925422</v>
      </c>
      <c r="N205" s="36" t="s">
        <v>575</v>
      </c>
      <c r="O205" s="37" t="s">
        <v>573</v>
      </c>
      <c r="P205" s="31"/>
      <c r="Q205" s="31">
        <f>$B$5-Table1[[#This Row],[Latitude]]</f>
        <v>8.14</v>
      </c>
      <c r="R205" s="31">
        <f>$B$6-Table1[[#This Row],[Longitude]]</f>
        <v>-11.069999999999993</v>
      </c>
    </row>
    <row r="206" spans="5:18">
      <c r="E206" s="12" t="s">
        <v>576</v>
      </c>
      <c r="F206" s="13" t="s">
        <v>573</v>
      </c>
      <c r="G206" s="13">
        <v>28304</v>
      </c>
      <c r="H206" s="13">
        <v>35.049999999999997</v>
      </c>
      <c r="I206" s="13">
        <v>-78.87</v>
      </c>
      <c r="J206" s="13" t="s">
        <v>335</v>
      </c>
      <c r="K206" s="13" t="s">
        <v>337</v>
      </c>
      <c r="L206" s="13">
        <v>29520</v>
      </c>
      <c r="M206" s="27">
        <f t="shared" si="5"/>
        <v>1185.6891466804141</v>
      </c>
      <c r="N206" s="36" t="s">
        <v>576</v>
      </c>
      <c r="O206" s="37" t="s">
        <v>573</v>
      </c>
      <c r="P206" s="31"/>
      <c r="Q206" s="31">
        <f>$B$5-Table1[[#This Row],[Latitude]]</f>
        <v>8.0100000000000051</v>
      </c>
      <c r="R206" s="31">
        <f>$B$6-Table1[[#This Row],[Longitude]]</f>
        <v>-9.0899999999999892</v>
      </c>
    </row>
    <row r="207" spans="5:18">
      <c r="E207" s="12" t="s">
        <v>577</v>
      </c>
      <c r="F207" s="13" t="s">
        <v>573</v>
      </c>
      <c r="G207" s="13">
        <v>27530</v>
      </c>
      <c r="H207" s="13">
        <v>35.369999999999997</v>
      </c>
      <c r="I207" s="13">
        <v>-77.97</v>
      </c>
      <c r="J207" s="13" t="s">
        <v>335</v>
      </c>
      <c r="K207" s="13" t="s">
        <v>337</v>
      </c>
      <c r="L207" s="13">
        <v>27804</v>
      </c>
      <c r="M207" s="27">
        <f t="shared" si="5"/>
        <v>1211.533374675307</v>
      </c>
      <c r="N207" s="36" t="s">
        <v>577</v>
      </c>
      <c r="O207" s="37" t="s">
        <v>573</v>
      </c>
      <c r="P207" s="31"/>
      <c r="Q207" s="31">
        <f>$B$5-Table1[[#This Row],[Latitude]]</f>
        <v>7.6900000000000048</v>
      </c>
      <c r="R207" s="31">
        <f>$B$6-Table1[[#This Row],[Longitude]]</f>
        <v>-9.9899999999999949</v>
      </c>
    </row>
    <row r="208" spans="5:18">
      <c r="E208" s="12" t="s">
        <v>578</v>
      </c>
      <c r="F208" s="13" t="s">
        <v>573</v>
      </c>
      <c r="G208" s="13">
        <v>27406</v>
      </c>
      <c r="H208" s="13">
        <v>36.07</v>
      </c>
      <c r="I208" s="13">
        <v>-79.819999999999993</v>
      </c>
      <c r="J208" s="13" t="s">
        <v>335</v>
      </c>
      <c r="K208" s="13" t="s">
        <v>337</v>
      </c>
      <c r="L208" s="13">
        <v>40803</v>
      </c>
      <c r="M208" s="27">
        <f t="shared" si="5"/>
        <v>1043.4662109613894</v>
      </c>
      <c r="N208" s="36" t="s">
        <v>578</v>
      </c>
      <c r="O208" s="37" t="s">
        <v>573</v>
      </c>
      <c r="P208" s="31"/>
      <c r="Q208" s="31">
        <f>$B$5-Table1[[#This Row],[Latitude]]</f>
        <v>6.990000000000002</v>
      </c>
      <c r="R208" s="31">
        <f>$B$6-Table1[[#This Row],[Longitude]]</f>
        <v>-8.14</v>
      </c>
    </row>
    <row r="209" spans="5:18">
      <c r="E209" s="12" t="s">
        <v>579</v>
      </c>
      <c r="F209" s="13" t="s">
        <v>573</v>
      </c>
      <c r="G209" s="13">
        <v>27610</v>
      </c>
      <c r="H209" s="13">
        <v>35.82</v>
      </c>
      <c r="I209" s="13">
        <v>-78.650000000000006</v>
      </c>
      <c r="J209" s="13" t="s">
        <v>335</v>
      </c>
      <c r="K209" s="13" t="s">
        <v>337</v>
      </c>
      <c r="L209" s="13">
        <v>46641</v>
      </c>
      <c r="M209" s="27">
        <f t="shared" si="5"/>
        <v>1133.2035342556173</v>
      </c>
      <c r="N209" s="36" t="s">
        <v>579</v>
      </c>
      <c r="O209" s="37" t="s">
        <v>573</v>
      </c>
      <c r="P209" s="31"/>
      <c r="Q209" s="31">
        <f>$B$5-Table1[[#This Row],[Latitude]]</f>
        <v>7.240000000000002</v>
      </c>
      <c r="R209" s="31">
        <f>$B$6-Table1[[#This Row],[Longitude]]</f>
        <v>-9.3099999999999881</v>
      </c>
    </row>
    <row r="210" spans="5:18">
      <c r="E210" s="12" t="s">
        <v>411</v>
      </c>
      <c r="F210" s="13" t="s">
        <v>573</v>
      </c>
      <c r="G210" s="13">
        <v>28405</v>
      </c>
      <c r="H210" s="13">
        <v>34.21</v>
      </c>
      <c r="I210" s="13">
        <v>-77.91</v>
      </c>
      <c r="J210" s="13" t="s">
        <v>335</v>
      </c>
      <c r="K210" s="13" t="s">
        <v>337</v>
      </c>
      <c r="L210" s="13">
        <v>23100</v>
      </c>
      <c r="M210" s="27">
        <f t="shared" si="5"/>
        <v>1313.4772156595345</v>
      </c>
      <c r="N210" s="36" t="s">
        <v>411</v>
      </c>
      <c r="O210" s="37" t="s">
        <v>573</v>
      </c>
      <c r="P210" s="31"/>
      <c r="Q210" s="31">
        <f>$B$5-Table1[[#This Row],[Latitude]]</f>
        <v>8.8500000000000014</v>
      </c>
      <c r="R210" s="31">
        <f>$B$6-Table1[[#This Row],[Longitude]]</f>
        <v>-10.049999999999997</v>
      </c>
    </row>
    <row r="211" spans="5:18">
      <c r="E211" s="12" t="s">
        <v>580</v>
      </c>
      <c r="F211" s="13" t="s">
        <v>581</v>
      </c>
      <c r="G211" s="13">
        <v>58501</v>
      </c>
      <c r="H211" s="13">
        <v>46.8</v>
      </c>
      <c r="I211" s="13">
        <v>-100.76</v>
      </c>
      <c r="J211" s="13" t="s">
        <v>335</v>
      </c>
      <c r="K211" s="13" t="s">
        <v>337</v>
      </c>
      <c r="L211" s="13">
        <v>22915</v>
      </c>
      <c r="M211" s="27">
        <f t="shared" si="5"/>
        <v>1088.4667836530675</v>
      </c>
      <c r="N211" s="36" t="s">
        <v>580</v>
      </c>
      <c r="O211" s="37" t="s">
        <v>581</v>
      </c>
      <c r="P211" s="31"/>
      <c r="Q211" s="31">
        <f>$B$5-Table1[[#This Row],[Latitude]]</f>
        <v>-3.7399999999999949</v>
      </c>
      <c r="R211" s="31">
        <f>$B$6-Table1[[#This Row],[Longitude]]</f>
        <v>12.800000000000011</v>
      </c>
    </row>
    <row r="212" spans="5:18">
      <c r="E212" s="12" t="s">
        <v>582</v>
      </c>
      <c r="F212" s="13" t="s">
        <v>581</v>
      </c>
      <c r="G212" s="13">
        <v>58103</v>
      </c>
      <c r="H212" s="13">
        <v>46.87</v>
      </c>
      <c r="I212" s="13">
        <v>-96.81</v>
      </c>
      <c r="J212" s="13" t="s">
        <v>335</v>
      </c>
      <c r="K212" s="13" t="s">
        <v>337</v>
      </c>
      <c r="L212" s="13">
        <v>36270</v>
      </c>
      <c r="M212" s="27">
        <f t="shared" si="5"/>
        <v>814.29724344361648</v>
      </c>
      <c r="N212" s="36" t="s">
        <v>582</v>
      </c>
      <c r="O212" s="37" t="s">
        <v>581</v>
      </c>
      <c r="P212" s="31"/>
      <c r="Q212" s="31">
        <f>$B$5-Table1[[#This Row],[Latitude]]</f>
        <v>-3.8099999999999952</v>
      </c>
      <c r="R212" s="31">
        <f>$B$6-Table1[[#This Row],[Longitude]]</f>
        <v>8.8500000000000085</v>
      </c>
    </row>
    <row r="213" spans="5:18">
      <c r="E213" s="12" t="s">
        <v>583</v>
      </c>
      <c r="F213" s="13" t="s">
        <v>581</v>
      </c>
      <c r="G213" s="13">
        <v>58201</v>
      </c>
      <c r="H213" s="13">
        <v>47.91</v>
      </c>
      <c r="I213" s="13">
        <v>-97.07</v>
      </c>
      <c r="J213" s="13" t="s">
        <v>335</v>
      </c>
      <c r="K213" s="13" t="s">
        <v>337</v>
      </c>
      <c r="L213" s="13">
        <v>28120</v>
      </c>
      <c r="M213" s="27">
        <f t="shared" si="5"/>
        <v>890.75645595872163</v>
      </c>
      <c r="N213" s="36" t="s">
        <v>583</v>
      </c>
      <c r="O213" s="37" t="s">
        <v>581</v>
      </c>
      <c r="P213" s="31"/>
      <c r="Q213" s="31">
        <f>$B$5-Table1[[#This Row],[Latitude]]</f>
        <v>-4.8499999999999943</v>
      </c>
      <c r="R213" s="31">
        <f>$B$6-Table1[[#This Row],[Longitude]]</f>
        <v>9.11</v>
      </c>
    </row>
    <row r="214" spans="5:18">
      <c r="E214" s="12" t="s">
        <v>584</v>
      </c>
      <c r="F214" s="13" t="s">
        <v>581</v>
      </c>
      <c r="G214" s="13">
        <v>58701</v>
      </c>
      <c r="H214" s="13">
        <v>48.23</v>
      </c>
      <c r="I214" s="13">
        <v>-101.29</v>
      </c>
      <c r="J214" s="13" t="s">
        <v>335</v>
      </c>
      <c r="K214" s="13" t="s">
        <v>337</v>
      </c>
      <c r="L214" s="13">
        <v>22685</v>
      </c>
      <c r="M214" s="27">
        <f t="shared" si="5"/>
        <v>1182.6914863780946</v>
      </c>
      <c r="N214" s="36" t="s">
        <v>584</v>
      </c>
      <c r="O214" s="37" t="s">
        <v>581</v>
      </c>
      <c r="P214" s="31"/>
      <c r="Q214" s="31">
        <f>$B$5-Table1[[#This Row],[Latitude]]</f>
        <v>-5.1699999999999946</v>
      </c>
      <c r="R214" s="31">
        <f>$B$6-Table1[[#This Row],[Longitude]]</f>
        <v>13.330000000000013</v>
      </c>
    </row>
    <row r="215" spans="5:18">
      <c r="E215" s="12" t="s">
        <v>585</v>
      </c>
      <c r="F215" s="13" t="s">
        <v>581</v>
      </c>
      <c r="G215" s="13">
        <v>58801</v>
      </c>
      <c r="H215" s="13">
        <v>48.16</v>
      </c>
      <c r="I215" s="13">
        <v>-103.63</v>
      </c>
      <c r="J215" s="13" t="s">
        <v>335</v>
      </c>
      <c r="K215" s="13" t="s">
        <v>337</v>
      </c>
      <c r="L215" s="13">
        <v>13634</v>
      </c>
      <c r="M215" s="27">
        <f t="shared" si="5"/>
        <v>1341.083636294574</v>
      </c>
      <c r="N215" s="36" t="s">
        <v>585</v>
      </c>
      <c r="O215" s="37" t="s">
        <v>581</v>
      </c>
      <c r="P215" s="31"/>
      <c r="Q215" s="31">
        <f>$B$5-Table1[[#This Row],[Latitude]]</f>
        <v>-5.0999999999999943</v>
      </c>
      <c r="R215" s="31">
        <f>$B$6-Table1[[#This Row],[Longitude]]</f>
        <v>15.670000000000002</v>
      </c>
    </row>
    <row r="216" spans="5:18">
      <c r="E216" s="12" t="s">
        <v>586</v>
      </c>
      <c r="F216" s="13" t="s">
        <v>587</v>
      </c>
      <c r="G216" s="13">
        <v>44312</v>
      </c>
      <c r="H216" s="13">
        <v>41.08</v>
      </c>
      <c r="I216" s="13">
        <v>-81.52</v>
      </c>
      <c r="J216" s="13" t="s">
        <v>335</v>
      </c>
      <c r="K216" s="13" t="s">
        <v>337</v>
      </c>
      <c r="L216" s="13">
        <v>26429</v>
      </c>
      <c r="M216" s="27">
        <f t="shared" si="5"/>
        <v>575.16639793456613</v>
      </c>
      <c r="N216" s="36" t="s">
        <v>586</v>
      </c>
      <c r="O216" s="37" t="s">
        <v>587</v>
      </c>
      <c r="P216" s="31"/>
      <c r="Q216" s="31">
        <f>$B$5-Table1[[#This Row],[Latitude]]</f>
        <v>1.980000000000004</v>
      </c>
      <c r="R216" s="31">
        <f>$B$6-Table1[[#This Row],[Longitude]]</f>
        <v>-6.4399999999999977</v>
      </c>
    </row>
    <row r="217" spans="5:18">
      <c r="E217" s="12" t="s">
        <v>588</v>
      </c>
      <c r="F217" s="13" t="s">
        <v>587</v>
      </c>
      <c r="G217" s="13">
        <v>45211</v>
      </c>
      <c r="H217" s="13">
        <v>39.090000000000003</v>
      </c>
      <c r="I217" s="13">
        <v>-84.51</v>
      </c>
      <c r="J217" s="13" t="s">
        <v>335</v>
      </c>
      <c r="K217" s="13" t="s">
        <v>337</v>
      </c>
      <c r="L217" s="13">
        <v>28472</v>
      </c>
      <c r="M217" s="27">
        <f t="shared" si="5"/>
        <v>527.62213686309497</v>
      </c>
      <c r="N217" s="36" t="s">
        <v>588</v>
      </c>
      <c r="O217" s="37" t="s">
        <v>587</v>
      </c>
      <c r="P217" s="31"/>
      <c r="Q217" s="31">
        <f>$B$5-Table1[[#This Row],[Latitude]]</f>
        <v>3.9699999999999989</v>
      </c>
      <c r="R217" s="31">
        <f>$B$6-Table1[[#This Row],[Longitude]]</f>
        <v>-3.4499999999999886</v>
      </c>
    </row>
    <row r="218" spans="5:18">
      <c r="E218" s="12" t="s">
        <v>589</v>
      </c>
      <c r="F218" s="13" t="s">
        <v>587</v>
      </c>
      <c r="G218" s="13">
        <v>44109</v>
      </c>
      <c r="H218" s="13">
        <v>41.47</v>
      </c>
      <c r="I218" s="13">
        <v>-81.67</v>
      </c>
      <c r="J218" s="13" t="s">
        <v>335</v>
      </c>
      <c r="K218" s="13" t="s">
        <v>337</v>
      </c>
      <c r="L218" s="13">
        <v>28830</v>
      </c>
      <c r="M218" s="27">
        <f t="shared" si="5"/>
        <v>546.79397866840463</v>
      </c>
      <c r="N218" s="36" t="s">
        <v>589</v>
      </c>
      <c r="O218" s="37" t="s">
        <v>587</v>
      </c>
      <c r="P218" s="31"/>
      <c r="Q218" s="31">
        <f>$B$5-Table1[[#This Row],[Latitude]]</f>
        <v>1.5900000000000034</v>
      </c>
      <c r="R218" s="31">
        <f>$B$6-Table1[[#This Row],[Longitude]]</f>
        <v>-6.289999999999992</v>
      </c>
    </row>
    <row r="219" spans="5:18">
      <c r="E219" s="12" t="s">
        <v>436</v>
      </c>
      <c r="F219" s="13" t="s">
        <v>587</v>
      </c>
      <c r="G219" s="13">
        <v>43204</v>
      </c>
      <c r="H219" s="13">
        <v>39.979999999999997</v>
      </c>
      <c r="I219" s="13">
        <v>-82.98</v>
      </c>
      <c r="J219" s="13" t="s">
        <v>335</v>
      </c>
      <c r="K219" s="13" t="s">
        <v>337</v>
      </c>
      <c r="L219" s="13">
        <v>30596</v>
      </c>
      <c r="M219" s="27">
        <f t="shared" si="5"/>
        <v>537.59201308531169</v>
      </c>
      <c r="N219" s="36" t="s">
        <v>436</v>
      </c>
      <c r="O219" s="37" t="s">
        <v>587</v>
      </c>
      <c r="P219" s="31"/>
      <c r="Q219" s="31">
        <f>$B$5-Table1[[#This Row],[Latitude]]</f>
        <v>3.0800000000000054</v>
      </c>
      <c r="R219" s="31">
        <f>$B$6-Table1[[#This Row],[Longitude]]</f>
        <v>-4.9799999999999898</v>
      </c>
    </row>
    <row r="220" spans="5:18">
      <c r="E220" s="12" t="s">
        <v>590</v>
      </c>
      <c r="F220" s="13" t="s">
        <v>587</v>
      </c>
      <c r="G220" s="13">
        <v>45414</v>
      </c>
      <c r="H220" s="13">
        <v>39.770000000000003</v>
      </c>
      <c r="I220" s="13">
        <v>-84.19</v>
      </c>
      <c r="J220" s="13" t="s">
        <v>335</v>
      </c>
      <c r="K220" s="13" t="s">
        <v>337</v>
      </c>
      <c r="L220" s="13">
        <v>17442</v>
      </c>
      <c r="M220" s="27">
        <f t="shared" si="5"/>
        <v>482.24440854557292</v>
      </c>
      <c r="N220" s="36" t="s">
        <v>590</v>
      </c>
      <c r="O220" s="37" t="s">
        <v>587</v>
      </c>
      <c r="P220" s="31"/>
      <c r="Q220" s="31">
        <f>$B$5-Table1[[#This Row],[Latitude]]</f>
        <v>3.2899999999999991</v>
      </c>
      <c r="R220" s="31">
        <f>$B$6-Table1[[#This Row],[Longitude]]</f>
        <v>-3.769999999999996</v>
      </c>
    </row>
    <row r="221" spans="5:18">
      <c r="E221" s="12" t="s">
        <v>591</v>
      </c>
      <c r="F221" s="13" t="s">
        <v>587</v>
      </c>
      <c r="G221" s="13">
        <v>44903</v>
      </c>
      <c r="H221" s="13">
        <v>40.76</v>
      </c>
      <c r="I221" s="13">
        <v>-82.52</v>
      </c>
      <c r="J221" s="13" t="s">
        <v>335</v>
      </c>
      <c r="K221" s="13" t="s">
        <v>337</v>
      </c>
      <c r="L221" s="13">
        <v>21277</v>
      </c>
      <c r="M221" s="27">
        <f t="shared" si="5"/>
        <v>517.5845377824869</v>
      </c>
      <c r="N221" s="36" t="s">
        <v>591</v>
      </c>
      <c r="O221" s="37" t="s">
        <v>587</v>
      </c>
      <c r="P221" s="31"/>
      <c r="Q221" s="31">
        <f>$B$5-Table1[[#This Row],[Latitude]]</f>
        <v>2.3000000000000043</v>
      </c>
      <c r="R221" s="31">
        <f>$B$6-Table1[[#This Row],[Longitude]]</f>
        <v>-5.4399999999999977</v>
      </c>
    </row>
    <row r="222" spans="5:18">
      <c r="E222" s="12" t="s">
        <v>592</v>
      </c>
      <c r="F222" s="13" t="s">
        <v>587</v>
      </c>
      <c r="G222" s="13">
        <v>43613</v>
      </c>
      <c r="H222" s="13">
        <v>41.66</v>
      </c>
      <c r="I222" s="13">
        <v>-83.58</v>
      </c>
      <c r="J222" s="13" t="s">
        <v>335</v>
      </c>
      <c r="K222" s="13" t="s">
        <v>337</v>
      </c>
      <c r="L222" s="13">
        <v>25765</v>
      </c>
      <c r="M222" s="27">
        <f t="shared" si="5"/>
        <v>392.04318524966703</v>
      </c>
      <c r="N222" s="36" t="s">
        <v>592</v>
      </c>
      <c r="O222" s="37" t="s">
        <v>587</v>
      </c>
      <c r="P222" s="31"/>
      <c r="Q222" s="31">
        <f>$B$5-Table1[[#This Row],[Latitude]]</f>
        <v>1.4000000000000057</v>
      </c>
      <c r="R222" s="31">
        <f>$B$6-Table1[[#This Row],[Longitude]]</f>
        <v>-4.3799999999999955</v>
      </c>
    </row>
    <row r="223" spans="5:18">
      <c r="E223" s="12" t="s">
        <v>593</v>
      </c>
      <c r="F223" s="13" t="s">
        <v>587</v>
      </c>
      <c r="G223" s="13">
        <v>44512</v>
      </c>
      <c r="H223" s="13">
        <v>41.09</v>
      </c>
      <c r="I223" s="13">
        <v>-80.64</v>
      </c>
      <c r="J223" s="13" t="s">
        <v>335</v>
      </c>
      <c r="K223" s="13" t="s">
        <v>337</v>
      </c>
      <c r="L223" s="13">
        <v>28831</v>
      </c>
      <c r="M223" s="27">
        <f t="shared" si="5"/>
        <v>642.38258769094944</v>
      </c>
      <c r="N223" s="36" t="s">
        <v>593</v>
      </c>
      <c r="O223" s="37" t="s">
        <v>587</v>
      </c>
      <c r="P223" s="31"/>
      <c r="Q223" s="31">
        <f>$B$5-Table1[[#This Row],[Latitude]]</f>
        <v>1.9699999999999989</v>
      </c>
      <c r="R223" s="31">
        <f>$B$6-Table1[[#This Row],[Longitude]]</f>
        <v>-7.3199999999999932</v>
      </c>
    </row>
    <row r="224" spans="5:18">
      <c r="E224" s="12" t="s">
        <v>594</v>
      </c>
      <c r="F224" s="13" t="s">
        <v>595</v>
      </c>
      <c r="G224" s="13">
        <v>73521</v>
      </c>
      <c r="H224" s="13">
        <v>34.64</v>
      </c>
      <c r="I224" s="13">
        <v>-99.31</v>
      </c>
      <c r="J224" s="13" t="s">
        <v>335</v>
      </c>
      <c r="K224" s="13" t="s">
        <v>337</v>
      </c>
      <c r="L224" s="13">
        <v>15986</v>
      </c>
      <c r="M224" s="27">
        <f t="shared" si="5"/>
        <v>1355.089738056181</v>
      </c>
      <c r="N224" s="36" t="s">
        <v>594</v>
      </c>
      <c r="O224" s="37" t="s">
        <v>595</v>
      </c>
      <c r="P224" s="31"/>
      <c r="Q224" s="31">
        <f>$B$5-Table1[[#This Row],[Latitude]]</f>
        <v>8.4200000000000017</v>
      </c>
      <c r="R224" s="31">
        <f>$B$6-Table1[[#This Row],[Longitude]]</f>
        <v>11.350000000000009</v>
      </c>
    </row>
    <row r="225" spans="5:18">
      <c r="E225" s="12" t="s">
        <v>596</v>
      </c>
      <c r="F225" s="13" t="s">
        <v>595</v>
      </c>
      <c r="G225" s="13">
        <v>73624</v>
      </c>
      <c r="H225" s="13">
        <v>35.35</v>
      </c>
      <c r="I225" s="13">
        <v>-99.17</v>
      </c>
      <c r="J225" s="13" t="s">
        <v>342</v>
      </c>
      <c r="K225" s="13" t="s">
        <v>337</v>
      </c>
      <c r="L225" s="13">
        <v>1474</v>
      </c>
      <c r="M225" s="27">
        <f t="shared" si="5"/>
        <v>1289.3895944571964</v>
      </c>
      <c r="N225" s="36" t="s">
        <v>596</v>
      </c>
      <c r="O225" s="37" t="s">
        <v>595</v>
      </c>
      <c r="P225" s="31"/>
      <c r="Q225" s="31">
        <f>$B$5-Table1[[#This Row],[Latitude]]</f>
        <v>7.7100000000000009</v>
      </c>
      <c r="R225" s="31">
        <f>$B$6-Table1[[#This Row],[Longitude]]</f>
        <v>11.210000000000008</v>
      </c>
    </row>
    <row r="226" spans="5:18">
      <c r="E226" s="12" t="s">
        <v>597</v>
      </c>
      <c r="F226" s="13" t="s">
        <v>595</v>
      </c>
      <c r="G226" s="13">
        <v>73703</v>
      </c>
      <c r="H226" s="13">
        <v>36.4</v>
      </c>
      <c r="I226" s="13">
        <v>-97.86</v>
      </c>
      <c r="J226" s="13" t="s">
        <v>335</v>
      </c>
      <c r="K226" s="13" t="s">
        <v>337</v>
      </c>
      <c r="L226" s="13">
        <v>22729</v>
      </c>
      <c r="M226" s="27">
        <f t="shared" si="5"/>
        <v>1123.3713810545321</v>
      </c>
      <c r="N226" s="36" t="s">
        <v>597</v>
      </c>
      <c r="O226" s="37" t="s">
        <v>595</v>
      </c>
      <c r="P226" s="31"/>
      <c r="Q226" s="31">
        <f>$B$5-Table1[[#This Row],[Latitude]]</f>
        <v>6.6600000000000037</v>
      </c>
      <c r="R226" s="31">
        <f>$B$6-Table1[[#This Row],[Longitude]]</f>
        <v>9.9000000000000057</v>
      </c>
    </row>
    <row r="227" spans="5:18">
      <c r="E227" s="12" t="s">
        <v>598</v>
      </c>
      <c r="F227" s="13" t="s">
        <v>595</v>
      </c>
      <c r="G227" s="13">
        <v>73120</v>
      </c>
      <c r="H227" s="13">
        <v>35.46</v>
      </c>
      <c r="I227" s="13">
        <v>-97.51</v>
      </c>
      <c r="J227" s="13" t="s">
        <v>335</v>
      </c>
      <c r="K227" s="13" t="s">
        <v>337</v>
      </c>
      <c r="L227" s="13">
        <v>27488</v>
      </c>
      <c r="M227" s="27">
        <f t="shared" si="5"/>
        <v>1177.5390675322114</v>
      </c>
      <c r="N227" s="36" t="s">
        <v>598</v>
      </c>
      <c r="O227" s="37" t="s">
        <v>595</v>
      </c>
      <c r="P227" s="31"/>
      <c r="Q227" s="31">
        <f>$B$5-Table1[[#This Row],[Latitude]]</f>
        <v>7.6000000000000014</v>
      </c>
      <c r="R227" s="31">
        <f>$B$6-Table1[[#This Row],[Longitude]]</f>
        <v>9.5500000000000114</v>
      </c>
    </row>
    <row r="228" spans="5:18">
      <c r="E228" s="12" t="s">
        <v>599</v>
      </c>
      <c r="F228" s="13" t="s">
        <v>595</v>
      </c>
      <c r="G228" s="13">
        <v>74105</v>
      </c>
      <c r="H228" s="13">
        <v>36.119999999999997</v>
      </c>
      <c r="I228" s="13">
        <v>-95.91</v>
      </c>
      <c r="J228" s="13" t="s">
        <v>335</v>
      </c>
      <c r="K228" s="13" t="s">
        <v>337</v>
      </c>
      <c r="L228" s="13">
        <v>21371</v>
      </c>
      <c r="M228" s="27">
        <f t="shared" si="5"/>
        <v>1028.3728445427471</v>
      </c>
      <c r="N228" s="36" t="s">
        <v>599</v>
      </c>
      <c r="O228" s="37" t="s">
        <v>595</v>
      </c>
      <c r="P228" s="31"/>
      <c r="Q228" s="31">
        <f>$B$5-Table1[[#This Row],[Latitude]]</f>
        <v>6.9400000000000048</v>
      </c>
      <c r="R228" s="31">
        <f>$B$6-Table1[[#This Row],[Longitude]]</f>
        <v>7.9500000000000028</v>
      </c>
    </row>
    <row r="229" spans="5:18">
      <c r="E229" s="12" t="s">
        <v>600</v>
      </c>
      <c r="F229" s="13" t="s">
        <v>601</v>
      </c>
      <c r="G229" s="13">
        <v>97103</v>
      </c>
      <c r="H229" s="13">
        <v>46.12</v>
      </c>
      <c r="I229" s="13">
        <v>-123.67</v>
      </c>
      <c r="J229" s="13" t="s">
        <v>335</v>
      </c>
      <c r="K229" s="13" t="s">
        <v>337</v>
      </c>
      <c r="L229" s="13">
        <v>13122</v>
      </c>
      <c r="M229" s="27">
        <f t="shared" si="5"/>
        <v>2824.0781706165812</v>
      </c>
      <c r="N229" s="36" t="s">
        <v>600</v>
      </c>
      <c r="O229" s="37" t="s">
        <v>601</v>
      </c>
      <c r="P229" s="31"/>
      <c r="Q229" s="31">
        <f>$B$5-Table1[[#This Row],[Latitude]]</f>
        <v>-3.0599999999999952</v>
      </c>
      <c r="R229" s="31">
        <f>$B$6-Table1[[#This Row],[Longitude]]</f>
        <v>35.710000000000008</v>
      </c>
    </row>
    <row r="230" spans="5:18">
      <c r="E230" s="12" t="s">
        <v>602</v>
      </c>
      <c r="F230" s="13" t="s">
        <v>601</v>
      </c>
      <c r="G230" s="13">
        <v>97720</v>
      </c>
      <c r="H230" s="13">
        <v>43.59</v>
      </c>
      <c r="I230" s="13">
        <v>-118.89</v>
      </c>
      <c r="J230" s="13" t="s">
        <v>335</v>
      </c>
      <c r="K230" s="13" t="s">
        <v>337</v>
      </c>
      <c r="L230" s="13">
        <v>3288</v>
      </c>
      <c r="M230" s="27">
        <f t="shared" si="5"/>
        <v>2488.1350157756056</v>
      </c>
      <c r="N230" s="36" t="s">
        <v>602</v>
      </c>
      <c r="O230" s="37" t="s">
        <v>601</v>
      </c>
      <c r="P230" s="31"/>
      <c r="Q230" s="31">
        <f>$B$5-Table1[[#This Row],[Latitude]]</f>
        <v>-0.53000000000000114</v>
      </c>
      <c r="R230" s="31">
        <f>$B$6-Table1[[#This Row],[Longitude]]</f>
        <v>30.930000000000007</v>
      </c>
    </row>
    <row r="231" spans="5:18">
      <c r="E231" s="12" t="s">
        <v>603</v>
      </c>
      <c r="F231" s="13" t="s">
        <v>601</v>
      </c>
      <c r="G231" s="13">
        <v>97402</v>
      </c>
      <c r="H231" s="13">
        <v>44.04</v>
      </c>
      <c r="I231" s="13">
        <v>-123.22</v>
      </c>
      <c r="J231" s="13" t="s">
        <v>335</v>
      </c>
      <c r="K231" s="13" t="s">
        <v>337</v>
      </c>
      <c r="L231" s="13">
        <v>37798</v>
      </c>
      <c r="M231" s="27">
        <f t="shared" si="5"/>
        <v>2821.9530931940435</v>
      </c>
      <c r="N231" s="36" t="s">
        <v>603</v>
      </c>
      <c r="O231" s="37" t="s">
        <v>601</v>
      </c>
      <c r="P231" s="31"/>
      <c r="Q231" s="31">
        <f>$B$5-Table1[[#This Row],[Latitude]]</f>
        <v>-0.97999999999999687</v>
      </c>
      <c r="R231" s="31">
        <f>$B$6-Table1[[#This Row],[Longitude]]</f>
        <v>35.260000000000005</v>
      </c>
    </row>
    <row r="232" spans="5:18">
      <c r="E232" s="12" t="s">
        <v>604</v>
      </c>
      <c r="F232" s="13" t="s">
        <v>601</v>
      </c>
      <c r="G232" s="13">
        <v>97501</v>
      </c>
      <c r="H232" s="13">
        <v>42.28</v>
      </c>
      <c r="I232" s="13">
        <v>-122.9</v>
      </c>
      <c r="J232" s="13" t="s">
        <v>335</v>
      </c>
      <c r="K232" s="13" t="s">
        <v>337</v>
      </c>
      <c r="L232" s="13">
        <v>31960</v>
      </c>
      <c r="M232" s="27">
        <f t="shared" si="5"/>
        <v>2837.177660936552</v>
      </c>
      <c r="N232" s="36" t="s">
        <v>604</v>
      </c>
      <c r="O232" s="37" t="s">
        <v>601</v>
      </c>
      <c r="P232" s="31"/>
      <c r="Q232" s="31">
        <f>$B$5-Table1[[#This Row],[Latitude]]</f>
        <v>0.78000000000000114</v>
      </c>
      <c r="R232" s="31">
        <f>$B$6-Table1[[#This Row],[Longitude]]</f>
        <v>34.940000000000012</v>
      </c>
    </row>
    <row r="233" spans="5:18">
      <c r="E233" s="12" t="s">
        <v>605</v>
      </c>
      <c r="F233" s="13" t="s">
        <v>601</v>
      </c>
      <c r="G233" s="13">
        <v>97801</v>
      </c>
      <c r="H233" s="13">
        <v>45.73</v>
      </c>
      <c r="I233" s="13">
        <v>-118.79</v>
      </c>
      <c r="J233" s="13" t="s">
        <v>335</v>
      </c>
      <c r="K233" s="13" t="s">
        <v>337</v>
      </c>
      <c r="L233" s="13">
        <v>15535</v>
      </c>
      <c r="M233" s="27">
        <f t="shared" si="5"/>
        <v>2452.0458583503032</v>
      </c>
      <c r="N233" s="36" t="s">
        <v>605</v>
      </c>
      <c r="O233" s="37" t="s">
        <v>601</v>
      </c>
      <c r="P233" s="31"/>
      <c r="Q233" s="31">
        <f>$B$5-Table1[[#This Row],[Latitude]]</f>
        <v>-2.6699999999999946</v>
      </c>
      <c r="R233" s="31">
        <f>$B$6-Table1[[#This Row],[Longitude]]</f>
        <v>30.830000000000013</v>
      </c>
    </row>
    <row r="234" spans="5:18">
      <c r="E234" s="12" t="s">
        <v>491</v>
      </c>
      <c r="F234" s="13" t="s">
        <v>601</v>
      </c>
      <c r="G234" s="13">
        <v>97206</v>
      </c>
      <c r="H234" s="13">
        <v>45.48</v>
      </c>
      <c r="I234" s="13">
        <v>-122.6</v>
      </c>
      <c r="J234" s="13" t="s">
        <v>335</v>
      </c>
      <c r="K234" s="13" t="s">
        <v>337</v>
      </c>
      <c r="L234" s="13">
        <v>35891</v>
      </c>
      <c r="M234" s="27">
        <f t="shared" si="5"/>
        <v>2749.7043963924893</v>
      </c>
      <c r="N234" s="36" t="s">
        <v>491</v>
      </c>
      <c r="O234" s="37" t="s">
        <v>601</v>
      </c>
      <c r="P234" s="31"/>
      <c r="Q234" s="31">
        <f>$B$5-Table1[[#This Row],[Latitude]]</f>
        <v>-2.4199999999999946</v>
      </c>
      <c r="R234" s="31">
        <f>$B$6-Table1[[#This Row],[Longitude]]</f>
        <v>34.64</v>
      </c>
    </row>
    <row r="235" spans="5:18">
      <c r="E235" s="12" t="s">
        <v>606</v>
      </c>
      <c r="F235" s="13" t="s">
        <v>601</v>
      </c>
      <c r="G235" s="13">
        <v>97301</v>
      </c>
      <c r="H235" s="13">
        <v>44.9</v>
      </c>
      <c r="I235" s="13">
        <v>-122.92</v>
      </c>
      <c r="J235" s="13" t="s">
        <v>335</v>
      </c>
      <c r="K235" s="13" t="s">
        <v>337</v>
      </c>
      <c r="L235" s="13">
        <v>33441</v>
      </c>
      <c r="M235" s="27">
        <f t="shared" si="5"/>
        <v>2783.0742409907884</v>
      </c>
      <c r="N235" s="36" t="s">
        <v>606</v>
      </c>
      <c r="O235" s="37" t="s">
        <v>601</v>
      </c>
      <c r="P235" s="31"/>
      <c r="Q235" s="31">
        <f>$B$5-Table1[[#This Row],[Latitude]]</f>
        <v>-1.8399999999999963</v>
      </c>
      <c r="R235" s="31">
        <f>$B$6-Table1[[#This Row],[Longitude]]</f>
        <v>34.960000000000008</v>
      </c>
    </row>
    <row r="236" spans="5:18">
      <c r="E236" s="12" t="s">
        <v>607</v>
      </c>
      <c r="F236" s="13" t="s">
        <v>608</v>
      </c>
      <c r="G236" s="13">
        <v>18103</v>
      </c>
      <c r="H236" s="13">
        <v>40.590000000000003</v>
      </c>
      <c r="I236" s="13">
        <v>-75.47</v>
      </c>
      <c r="J236" s="13" t="s">
        <v>335</v>
      </c>
      <c r="K236" s="13" t="s">
        <v>337</v>
      </c>
      <c r="L236" s="13">
        <v>38997</v>
      </c>
      <c r="M236" s="27">
        <f t="shared" si="5"/>
        <v>1069.6084373988006</v>
      </c>
      <c r="N236" s="36" t="s">
        <v>607</v>
      </c>
      <c r="O236" s="37" t="s">
        <v>608</v>
      </c>
      <c r="P236" s="31"/>
      <c r="Q236" s="31">
        <f>$B$5-Table1[[#This Row],[Latitude]]</f>
        <v>2.4699999999999989</v>
      </c>
      <c r="R236" s="31">
        <f>$B$6-Table1[[#This Row],[Longitude]]</f>
        <v>-12.489999999999995</v>
      </c>
    </row>
    <row r="237" spans="5:18">
      <c r="E237" s="12" t="s">
        <v>609</v>
      </c>
      <c r="F237" s="13" t="s">
        <v>608</v>
      </c>
      <c r="G237" s="13">
        <v>18504</v>
      </c>
      <c r="H237" s="13">
        <v>41.4</v>
      </c>
      <c r="I237" s="13">
        <v>-75.66</v>
      </c>
      <c r="J237" s="13" t="s">
        <v>335</v>
      </c>
      <c r="K237" s="13" t="s">
        <v>337</v>
      </c>
      <c r="L237" s="13">
        <v>16957</v>
      </c>
      <c r="M237" s="27">
        <f t="shared" si="5"/>
        <v>1028.4124669880996</v>
      </c>
      <c r="N237" s="36" t="s">
        <v>609</v>
      </c>
      <c r="O237" s="37" t="s">
        <v>608</v>
      </c>
      <c r="P237" s="31"/>
      <c r="Q237" s="31">
        <f>$B$5-Table1[[#This Row],[Latitude]]</f>
        <v>1.6600000000000037</v>
      </c>
      <c r="R237" s="31">
        <f>$B$6-Table1[[#This Row],[Longitude]]</f>
        <v>-12.299999999999997</v>
      </c>
    </row>
    <row r="238" spans="5:18">
      <c r="E238" s="12" t="s">
        <v>610</v>
      </c>
      <c r="F238" s="13" t="s">
        <v>608</v>
      </c>
      <c r="G238" s="13">
        <v>16509</v>
      </c>
      <c r="H238" s="13">
        <v>42.12</v>
      </c>
      <c r="I238" s="13">
        <v>-80.08</v>
      </c>
      <c r="J238" s="13" t="s">
        <v>335</v>
      </c>
      <c r="K238" s="13" t="s">
        <v>337</v>
      </c>
      <c r="L238" s="13">
        <v>23284</v>
      </c>
      <c r="M238" s="27">
        <f t="shared" si="5"/>
        <v>653.2413718901272</v>
      </c>
      <c r="N238" s="36" t="s">
        <v>610</v>
      </c>
      <c r="O238" s="37" t="s">
        <v>608</v>
      </c>
      <c r="P238" s="31"/>
      <c r="Q238" s="31">
        <f>$B$5-Table1[[#This Row],[Latitude]]</f>
        <v>0.94000000000000483</v>
      </c>
      <c r="R238" s="31">
        <f>$B$6-Table1[[#This Row],[Longitude]]</f>
        <v>-7.8799999999999955</v>
      </c>
    </row>
    <row r="239" spans="5:18">
      <c r="E239" s="12" t="s">
        <v>611</v>
      </c>
      <c r="F239" s="13" t="s">
        <v>608</v>
      </c>
      <c r="G239" s="13">
        <v>17057</v>
      </c>
      <c r="H239" s="13">
        <v>40.19</v>
      </c>
      <c r="I239" s="13">
        <v>-76.7</v>
      </c>
      <c r="J239" s="13" t="s">
        <v>335</v>
      </c>
      <c r="K239" s="13" t="s">
        <v>337</v>
      </c>
      <c r="L239" s="13">
        <v>18622</v>
      </c>
      <c r="M239" s="27">
        <f t="shared" si="5"/>
        <v>987.89146138096044</v>
      </c>
      <c r="N239" s="36" t="s">
        <v>611</v>
      </c>
      <c r="O239" s="37" t="s">
        <v>608</v>
      </c>
      <c r="P239" s="31"/>
      <c r="Q239" s="31">
        <f>$B$5-Table1[[#This Row],[Latitude]]</f>
        <v>2.8700000000000045</v>
      </c>
      <c r="R239" s="31">
        <f>$B$6-Table1[[#This Row],[Longitude]]</f>
        <v>-11.259999999999991</v>
      </c>
    </row>
    <row r="240" spans="5:18">
      <c r="E240" s="12" t="s">
        <v>612</v>
      </c>
      <c r="F240" s="13" t="s">
        <v>608</v>
      </c>
      <c r="G240" s="13">
        <v>19115</v>
      </c>
      <c r="H240" s="13">
        <v>39.950000000000003</v>
      </c>
      <c r="I240" s="13">
        <v>-75.16</v>
      </c>
      <c r="J240" s="13" t="s">
        <v>335</v>
      </c>
      <c r="K240" s="13" t="s">
        <v>337</v>
      </c>
      <c r="L240" s="13">
        <v>26806</v>
      </c>
      <c r="M240" s="27">
        <f t="shared" si="5"/>
        <v>1119.251360755952</v>
      </c>
      <c r="N240" s="36" t="s">
        <v>612</v>
      </c>
      <c r="O240" s="37" t="s">
        <v>608</v>
      </c>
      <c r="P240" s="31"/>
      <c r="Q240" s="31">
        <f>$B$5-Table1[[#This Row],[Latitude]]</f>
        <v>3.1099999999999994</v>
      </c>
      <c r="R240" s="31">
        <f>$B$6-Table1[[#This Row],[Longitude]]</f>
        <v>-12.799999999999997</v>
      </c>
    </row>
    <row r="241" spans="5:18">
      <c r="E241" s="12" t="s">
        <v>613</v>
      </c>
      <c r="F241" s="13" t="s">
        <v>608</v>
      </c>
      <c r="G241" s="13">
        <v>15206</v>
      </c>
      <c r="H241" s="13">
        <v>40.43</v>
      </c>
      <c r="I241" s="13">
        <v>-79.97</v>
      </c>
      <c r="J241" s="13" t="s">
        <v>335</v>
      </c>
      <c r="K241" s="13" t="s">
        <v>337</v>
      </c>
      <c r="L241" s="13">
        <v>20440</v>
      </c>
      <c r="M241" s="27">
        <f t="shared" si="5"/>
        <v>724.12775539064899</v>
      </c>
      <c r="N241" s="36" t="s">
        <v>613</v>
      </c>
      <c r="O241" s="37" t="s">
        <v>608</v>
      </c>
      <c r="P241" s="31"/>
      <c r="Q241" s="31">
        <f>$B$5-Table1[[#This Row],[Latitude]]</f>
        <v>2.6300000000000026</v>
      </c>
      <c r="R241" s="31">
        <f>$B$6-Table1[[#This Row],[Longitude]]</f>
        <v>-7.9899999999999949</v>
      </c>
    </row>
    <row r="242" spans="5:18">
      <c r="E242" s="12" t="s">
        <v>614</v>
      </c>
      <c r="F242" s="13" t="s">
        <v>608</v>
      </c>
      <c r="G242" s="13">
        <v>17701</v>
      </c>
      <c r="H242" s="13">
        <v>41.23</v>
      </c>
      <c r="I242" s="13">
        <v>-77.03</v>
      </c>
      <c r="J242" s="13" t="s">
        <v>335</v>
      </c>
      <c r="K242" s="13" t="s">
        <v>337</v>
      </c>
      <c r="L242" s="13">
        <v>32448</v>
      </c>
      <c r="M242" s="27">
        <f t="shared" si="5"/>
        <v>923.08687084913743</v>
      </c>
      <c r="N242" s="36" t="s">
        <v>614</v>
      </c>
      <c r="O242" s="37" t="s">
        <v>608</v>
      </c>
      <c r="P242" s="31"/>
      <c r="Q242" s="31">
        <f>$B$5-Table1[[#This Row],[Latitude]]</f>
        <v>1.8300000000000054</v>
      </c>
      <c r="R242" s="31">
        <f>$B$6-Table1[[#This Row],[Longitude]]</f>
        <v>-10.929999999999993</v>
      </c>
    </row>
    <row r="243" spans="5:18">
      <c r="E243" s="12" t="s">
        <v>615</v>
      </c>
      <c r="F243" s="13" t="s">
        <v>616</v>
      </c>
      <c r="G243" s="13">
        <v>2909</v>
      </c>
      <c r="H243" s="13">
        <v>41.82</v>
      </c>
      <c r="I243" s="13">
        <v>-71.41</v>
      </c>
      <c r="J243" s="13" t="s">
        <v>335</v>
      </c>
      <c r="K243" s="13" t="s">
        <v>337</v>
      </c>
      <c r="L243" s="13">
        <v>27797</v>
      </c>
      <c r="M243" s="27">
        <f t="shared" si="5"/>
        <v>1362.8359826032865</v>
      </c>
      <c r="N243" s="36" t="s">
        <v>615</v>
      </c>
      <c r="O243" s="37" t="s">
        <v>616</v>
      </c>
      <c r="P243" s="31"/>
      <c r="Q243" s="31">
        <f>$B$5-Table1[[#This Row],[Latitude]]</f>
        <v>1.240000000000002</v>
      </c>
      <c r="R243" s="31">
        <f>$B$6-Table1[[#This Row],[Longitude]]</f>
        <v>-16.549999999999997</v>
      </c>
    </row>
    <row r="244" spans="5:18">
      <c r="E244" s="12" t="s">
        <v>617</v>
      </c>
      <c r="F244" s="13" t="s">
        <v>618</v>
      </c>
      <c r="G244" s="13">
        <v>29906</v>
      </c>
      <c r="H244" s="13">
        <v>32.42</v>
      </c>
      <c r="I244" s="13">
        <v>-80.680000000000007</v>
      </c>
      <c r="J244" s="13" t="s">
        <v>335</v>
      </c>
      <c r="K244" s="13" t="s">
        <v>337</v>
      </c>
      <c r="L244" s="13">
        <v>14894</v>
      </c>
      <c r="M244" s="27">
        <f t="shared" si="5"/>
        <v>1343.890426161212</v>
      </c>
      <c r="N244" s="36" t="s">
        <v>617</v>
      </c>
      <c r="O244" s="37" t="s">
        <v>618</v>
      </c>
      <c r="P244" s="31"/>
      <c r="Q244" s="31">
        <f>$B$5-Table1[[#This Row],[Latitude]]</f>
        <v>10.64</v>
      </c>
      <c r="R244" s="31">
        <f>$B$6-Table1[[#This Row],[Longitude]]</f>
        <v>-7.2799999999999869</v>
      </c>
    </row>
    <row r="245" spans="5:18">
      <c r="E245" s="12" t="s">
        <v>619</v>
      </c>
      <c r="F245" s="13" t="s">
        <v>618</v>
      </c>
      <c r="G245" s="13">
        <v>29407</v>
      </c>
      <c r="H245" s="13">
        <v>32.78</v>
      </c>
      <c r="I245" s="13">
        <v>-79.989999999999995</v>
      </c>
      <c r="J245" s="13" t="s">
        <v>335</v>
      </c>
      <c r="K245" s="13" t="s">
        <v>337</v>
      </c>
      <c r="L245" s="13">
        <v>27701</v>
      </c>
      <c r="M245" s="27">
        <f t="shared" si="5"/>
        <v>1338.4313076742812</v>
      </c>
      <c r="N245" s="36" t="s">
        <v>619</v>
      </c>
      <c r="O245" s="37" t="s">
        <v>618</v>
      </c>
      <c r="P245" s="31"/>
      <c r="Q245" s="31">
        <f>$B$5-Table1[[#This Row],[Latitude]]</f>
        <v>10.280000000000001</v>
      </c>
      <c r="R245" s="31">
        <f>$B$6-Table1[[#This Row],[Longitude]]</f>
        <v>-7.9699999999999989</v>
      </c>
    </row>
    <row r="246" spans="5:18">
      <c r="E246" s="12" t="s">
        <v>521</v>
      </c>
      <c r="F246" s="13" t="s">
        <v>618</v>
      </c>
      <c r="G246" s="13">
        <v>29203</v>
      </c>
      <c r="H246" s="13">
        <v>34</v>
      </c>
      <c r="I246" s="13">
        <v>-81.03</v>
      </c>
      <c r="J246" s="13" t="s">
        <v>335</v>
      </c>
      <c r="K246" s="13" t="s">
        <v>337</v>
      </c>
      <c r="L246" s="13">
        <v>27309</v>
      </c>
      <c r="M246" s="27">
        <f t="shared" si="5"/>
        <v>1172.9944877253997</v>
      </c>
      <c r="N246" s="36" t="s">
        <v>521</v>
      </c>
      <c r="O246" s="37" t="s">
        <v>618</v>
      </c>
      <c r="P246" s="31"/>
      <c r="Q246" s="31">
        <f>$B$5-Table1[[#This Row],[Latitude]]</f>
        <v>9.0600000000000023</v>
      </c>
      <c r="R246" s="31">
        <f>$B$6-Table1[[#This Row],[Longitude]]</f>
        <v>-6.9299999999999926</v>
      </c>
    </row>
    <row r="247" spans="5:18">
      <c r="E247" s="12" t="s">
        <v>620</v>
      </c>
      <c r="F247" s="13" t="s">
        <v>618</v>
      </c>
      <c r="G247" s="13">
        <v>29605</v>
      </c>
      <c r="H247" s="13">
        <v>34.83</v>
      </c>
      <c r="I247" s="13">
        <v>-82.37</v>
      </c>
      <c r="J247" s="13" t="s">
        <v>335</v>
      </c>
      <c r="K247" s="13" t="s">
        <v>337</v>
      </c>
      <c r="L247" s="13">
        <v>25802</v>
      </c>
      <c r="M247" s="27">
        <f t="shared" si="5"/>
        <v>1034.3666975643275</v>
      </c>
      <c r="N247" s="36" t="s">
        <v>620</v>
      </c>
      <c r="O247" s="37" t="s">
        <v>618</v>
      </c>
      <c r="P247" s="31"/>
      <c r="Q247" s="31">
        <f>$B$5-Table1[[#This Row],[Latitude]]</f>
        <v>8.230000000000004</v>
      </c>
      <c r="R247" s="31">
        <f>$B$6-Table1[[#This Row],[Longitude]]</f>
        <v>-5.5899999999999892</v>
      </c>
    </row>
    <row r="248" spans="5:18">
      <c r="E248" s="12" t="s">
        <v>621</v>
      </c>
      <c r="F248" s="13" t="s">
        <v>618</v>
      </c>
      <c r="G248" s="13">
        <v>29588</v>
      </c>
      <c r="H248" s="13">
        <v>33.630000000000003</v>
      </c>
      <c r="I248" s="13">
        <v>-79.02</v>
      </c>
      <c r="J248" s="13" t="s">
        <v>335</v>
      </c>
      <c r="K248" s="13" t="s">
        <v>337</v>
      </c>
      <c r="L248" s="13">
        <v>29718</v>
      </c>
      <c r="M248" s="27">
        <f t="shared" si="5"/>
        <v>1304.9585750756987</v>
      </c>
      <c r="N248" s="36" t="s">
        <v>621</v>
      </c>
      <c r="O248" s="37" t="s">
        <v>618</v>
      </c>
      <c r="P248" s="31"/>
      <c r="Q248" s="31">
        <f>$B$5-Table1[[#This Row],[Latitude]]</f>
        <v>9.43</v>
      </c>
      <c r="R248" s="31">
        <f>$B$6-Table1[[#This Row],[Longitude]]</f>
        <v>-8.9399999999999977</v>
      </c>
    </row>
    <row r="249" spans="5:18">
      <c r="E249" s="12" t="s">
        <v>622</v>
      </c>
      <c r="F249" s="13" t="s">
        <v>623</v>
      </c>
      <c r="G249" s="13">
        <v>57401</v>
      </c>
      <c r="H249" s="13">
        <v>45.46</v>
      </c>
      <c r="I249" s="13">
        <v>-98.48</v>
      </c>
      <c r="J249" s="13" t="s">
        <v>335</v>
      </c>
      <c r="K249" s="13" t="s">
        <v>337</v>
      </c>
      <c r="L249" s="13">
        <v>23965</v>
      </c>
      <c r="M249" s="27">
        <f t="shared" si="5"/>
        <v>878.47291068108586</v>
      </c>
      <c r="N249" s="36" t="s">
        <v>622</v>
      </c>
      <c r="O249" s="37" t="s">
        <v>623</v>
      </c>
      <c r="P249" s="31"/>
      <c r="Q249" s="31">
        <f>$B$5-Table1[[#This Row],[Latitude]]</f>
        <v>-2.3999999999999986</v>
      </c>
      <c r="R249" s="31">
        <f>$B$6-Table1[[#This Row],[Longitude]]</f>
        <v>10.52000000000001</v>
      </c>
    </row>
    <row r="250" spans="5:18">
      <c r="E250" s="12" t="s">
        <v>624</v>
      </c>
      <c r="F250" s="13" t="s">
        <v>623</v>
      </c>
      <c r="G250" s="13">
        <v>57350</v>
      </c>
      <c r="H250" s="13">
        <v>44.36</v>
      </c>
      <c r="I250" s="13">
        <v>-98.21</v>
      </c>
      <c r="J250" s="13" t="s">
        <v>335</v>
      </c>
      <c r="K250" s="13" t="s">
        <v>337</v>
      </c>
      <c r="L250" s="13">
        <v>11666</v>
      </c>
      <c r="M250" s="27">
        <f t="shared" si="5"/>
        <v>835.86570685311267</v>
      </c>
      <c r="N250" s="36" t="s">
        <v>624</v>
      </c>
      <c r="O250" s="37" t="s">
        <v>623</v>
      </c>
      <c r="P250" s="31"/>
      <c r="Q250" s="31">
        <f>$B$5-Table1[[#This Row],[Latitude]]</f>
        <v>-1.2999999999999972</v>
      </c>
      <c r="R250" s="31">
        <f>$B$6-Table1[[#This Row],[Longitude]]</f>
        <v>10.25</v>
      </c>
    </row>
    <row r="251" spans="5:18">
      <c r="E251" s="12" t="s">
        <v>625</v>
      </c>
      <c r="F251" s="13" t="s">
        <v>623</v>
      </c>
      <c r="G251" s="13">
        <v>57701</v>
      </c>
      <c r="H251" s="13">
        <v>44.07</v>
      </c>
      <c r="I251" s="13">
        <v>-103.23</v>
      </c>
      <c r="J251" s="13" t="s">
        <v>335</v>
      </c>
      <c r="K251" s="13" t="s">
        <v>337</v>
      </c>
      <c r="L251" s="13">
        <v>31822</v>
      </c>
      <c r="M251" s="27">
        <f t="shared" si="5"/>
        <v>1233.6484174592672</v>
      </c>
      <c r="N251" s="36" t="s">
        <v>625</v>
      </c>
      <c r="O251" s="37" t="s">
        <v>623</v>
      </c>
      <c r="P251" s="31"/>
      <c r="Q251" s="31">
        <f>$B$5-Table1[[#This Row],[Latitude]]</f>
        <v>-1.009999999999998</v>
      </c>
      <c r="R251" s="31">
        <f>$B$6-Table1[[#This Row],[Longitude]]</f>
        <v>15.27000000000001</v>
      </c>
    </row>
    <row r="252" spans="5:18">
      <c r="E252" s="12" t="s">
        <v>626</v>
      </c>
      <c r="F252" s="13" t="s">
        <v>623</v>
      </c>
      <c r="G252" s="13">
        <v>57106</v>
      </c>
      <c r="H252" s="13">
        <v>43.54</v>
      </c>
      <c r="I252" s="13">
        <v>-96.73</v>
      </c>
      <c r="J252" s="13" t="s">
        <v>335</v>
      </c>
      <c r="K252" s="13" t="s">
        <v>337</v>
      </c>
      <c r="L252" s="13">
        <v>38092</v>
      </c>
      <c r="M252" s="27">
        <f t="shared" si="5"/>
        <v>711.38033039612503</v>
      </c>
      <c r="N252" s="36" t="s">
        <v>626</v>
      </c>
      <c r="O252" s="37" t="s">
        <v>623</v>
      </c>
      <c r="P252" s="31"/>
      <c r="Q252" s="31">
        <f>$B$5-Table1[[#This Row],[Latitude]]</f>
        <v>-0.47999999999999687</v>
      </c>
      <c r="R252" s="31">
        <f>$B$6-Table1[[#This Row],[Longitude]]</f>
        <v>8.7700000000000102</v>
      </c>
    </row>
    <row r="253" spans="5:18">
      <c r="E253" s="12" t="s">
        <v>627</v>
      </c>
      <c r="F253" s="13" t="s">
        <v>628</v>
      </c>
      <c r="G253" s="13">
        <v>37620</v>
      </c>
      <c r="H253" s="13">
        <v>36.56</v>
      </c>
      <c r="I253" s="13">
        <v>-82.19</v>
      </c>
      <c r="J253" s="13" t="s">
        <v>335</v>
      </c>
      <c r="K253" s="13" t="s">
        <v>337</v>
      </c>
      <c r="L253" s="13">
        <v>29934</v>
      </c>
      <c r="M253" s="27">
        <f t="shared" si="5"/>
        <v>874.30538769824693</v>
      </c>
      <c r="N253" s="36" t="s">
        <v>627</v>
      </c>
      <c r="O253" s="37" t="s">
        <v>628</v>
      </c>
      <c r="P253" s="31"/>
      <c r="Q253" s="31">
        <f>$B$5-Table1[[#This Row],[Latitude]]</f>
        <v>6.5</v>
      </c>
      <c r="R253" s="31">
        <f>$B$6-Table1[[#This Row],[Longitude]]</f>
        <v>-5.769999999999996</v>
      </c>
    </row>
    <row r="254" spans="5:18">
      <c r="E254" s="12" t="s">
        <v>629</v>
      </c>
      <c r="F254" s="13" t="s">
        <v>628</v>
      </c>
      <c r="G254" s="13">
        <v>37421</v>
      </c>
      <c r="H254" s="13">
        <v>35.06</v>
      </c>
      <c r="I254" s="13">
        <v>-85.25</v>
      </c>
      <c r="J254" s="13" t="s">
        <v>335</v>
      </c>
      <c r="K254" s="13" t="s">
        <v>337</v>
      </c>
      <c r="L254" s="13">
        <v>36603</v>
      </c>
      <c r="M254" s="27">
        <f t="shared" si="5"/>
        <v>919.67163850948577</v>
      </c>
      <c r="N254" s="36" t="s">
        <v>629</v>
      </c>
      <c r="O254" s="37" t="s">
        <v>628</v>
      </c>
      <c r="P254" s="31"/>
      <c r="Q254" s="31">
        <f>$B$5-Table1[[#This Row],[Latitude]]</f>
        <v>8</v>
      </c>
      <c r="R254" s="31">
        <f>$B$6-Table1[[#This Row],[Longitude]]</f>
        <v>-2.7099999999999937</v>
      </c>
    </row>
    <row r="255" spans="5:18">
      <c r="E255" s="12" t="s">
        <v>630</v>
      </c>
      <c r="F255" s="13" t="s">
        <v>628</v>
      </c>
      <c r="G255" s="13">
        <v>37922</v>
      </c>
      <c r="H255" s="13">
        <v>35.97</v>
      </c>
      <c r="I255" s="13">
        <v>-83.94</v>
      </c>
      <c r="J255" s="13" t="s">
        <v>335</v>
      </c>
      <c r="K255" s="13" t="s">
        <v>337</v>
      </c>
      <c r="L255" s="13">
        <v>29783</v>
      </c>
      <c r="M255" s="27">
        <f t="shared" si="5"/>
        <v>860.21310557789855</v>
      </c>
      <c r="N255" s="36" t="s">
        <v>630</v>
      </c>
      <c r="O255" s="37" t="s">
        <v>628</v>
      </c>
      <c r="P255" s="31"/>
      <c r="Q255" s="31">
        <f>$B$5-Table1[[#This Row],[Latitude]]</f>
        <v>7.0900000000000034</v>
      </c>
      <c r="R255" s="31">
        <f>$B$6-Table1[[#This Row],[Longitude]]</f>
        <v>-4.019999999999996</v>
      </c>
    </row>
    <row r="256" spans="5:18">
      <c r="E256" s="12" t="s">
        <v>631</v>
      </c>
      <c r="F256" s="13" t="s">
        <v>628</v>
      </c>
      <c r="G256" s="13">
        <v>38109</v>
      </c>
      <c r="H256" s="13">
        <v>35.1</v>
      </c>
      <c r="I256" s="13">
        <v>-90</v>
      </c>
      <c r="J256" s="13" t="s">
        <v>335</v>
      </c>
      <c r="K256" s="13" t="s">
        <v>337</v>
      </c>
      <c r="L256" s="13">
        <v>37835</v>
      </c>
      <c r="M256" s="27">
        <f t="shared" si="5"/>
        <v>902.37408979201064</v>
      </c>
      <c r="N256" s="36" t="s">
        <v>631</v>
      </c>
      <c r="O256" s="37" t="s">
        <v>628</v>
      </c>
      <c r="P256" s="31"/>
      <c r="Q256" s="31">
        <f>$B$5-Table1[[#This Row],[Latitude]]</f>
        <v>7.9600000000000009</v>
      </c>
      <c r="R256" s="31">
        <f>$B$6-Table1[[#This Row],[Longitude]]</f>
        <v>2.0400000000000063</v>
      </c>
    </row>
    <row r="257" spans="5:18">
      <c r="E257" s="12" t="s">
        <v>632</v>
      </c>
      <c r="F257" s="13" t="s">
        <v>628</v>
      </c>
      <c r="G257" s="13">
        <v>37211</v>
      </c>
      <c r="H257" s="13">
        <v>36.17</v>
      </c>
      <c r="I257" s="13">
        <v>-86.78</v>
      </c>
      <c r="J257" s="13" t="s">
        <v>335</v>
      </c>
      <c r="K257" s="13" t="s">
        <v>337</v>
      </c>
      <c r="L257" s="13">
        <v>53955</v>
      </c>
      <c r="M257" s="27">
        <f t="shared" si="5"/>
        <v>772.74745961407439</v>
      </c>
      <c r="N257" s="36" t="s">
        <v>632</v>
      </c>
      <c r="O257" s="37" t="s">
        <v>628</v>
      </c>
      <c r="P257" s="31"/>
      <c r="Q257" s="31">
        <f>$B$5-Table1[[#This Row],[Latitude]]</f>
        <v>6.8900000000000006</v>
      </c>
      <c r="R257" s="31">
        <f>$B$6-Table1[[#This Row],[Longitude]]</f>
        <v>-1.1799999999999926</v>
      </c>
    </row>
    <row r="258" spans="5:18">
      <c r="E258" s="12" t="s">
        <v>633</v>
      </c>
      <c r="F258" s="13" t="s">
        <v>628</v>
      </c>
      <c r="G258" s="13">
        <v>37830</v>
      </c>
      <c r="H258" s="13">
        <v>35.96</v>
      </c>
      <c r="I258" s="13">
        <v>-84.29</v>
      </c>
      <c r="J258" s="13" t="s">
        <v>335</v>
      </c>
      <c r="K258" s="13" t="s">
        <v>337</v>
      </c>
      <c r="L258" s="13">
        <v>24008</v>
      </c>
      <c r="M258" s="27">
        <f t="shared" ref="M258:M304" si="6">ACOS(COS(RADIANS(90-$B$5))*COS(RADIANS(90-H258))+SIN(RADIANS(90-$B$5))*SIN(RADIANS(90-H258))*COS(RADIANS($B$6-I258)))*6371</f>
        <v>849.71266495256896</v>
      </c>
      <c r="N258" s="36" t="s">
        <v>633</v>
      </c>
      <c r="O258" s="37" t="s">
        <v>628</v>
      </c>
      <c r="P258" s="31"/>
      <c r="Q258" s="31">
        <f>$B$5-Table1[[#This Row],[Latitude]]</f>
        <v>7.1000000000000014</v>
      </c>
      <c r="R258" s="31">
        <f>$B$6-Table1[[#This Row],[Longitude]]</f>
        <v>-3.6699999999999875</v>
      </c>
    </row>
    <row r="259" spans="5:18">
      <c r="E259" s="12" t="s">
        <v>634</v>
      </c>
      <c r="F259" s="13" t="s">
        <v>635</v>
      </c>
      <c r="G259" s="13">
        <v>79605</v>
      </c>
      <c r="H259" s="13">
        <v>32.450000000000003</v>
      </c>
      <c r="I259" s="13">
        <v>-99.73</v>
      </c>
      <c r="J259" s="13" t="s">
        <v>335</v>
      </c>
      <c r="K259" s="13" t="s">
        <v>337</v>
      </c>
      <c r="L259" s="13">
        <v>23294</v>
      </c>
      <c r="M259" s="27">
        <f t="shared" si="6"/>
        <v>1566.0773753316801</v>
      </c>
      <c r="N259" s="36" t="s">
        <v>634</v>
      </c>
      <c r="O259" s="37" t="s">
        <v>635</v>
      </c>
      <c r="P259" s="31"/>
      <c r="Q259" s="31">
        <f>$B$5-Table1[[#This Row],[Latitude]]</f>
        <v>10.61</v>
      </c>
      <c r="R259" s="31">
        <f>$B$6-Table1[[#This Row],[Longitude]]</f>
        <v>11.77000000000001</v>
      </c>
    </row>
    <row r="260" spans="5:18">
      <c r="E260" s="12" t="s">
        <v>636</v>
      </c>
      <c r="F260" s="13" t="s">
        <v>635</v>
      </c>
      <c r="G260" s="13">
        <v>79107</v>
      </c>
      <c r="H260" s="13">
        <v>35.200000000000003</v>
      </c>
      <c r="I260" s="13">
        <v>-101.81</v>
      </c>
      <c r="J260" s="13" t="s">
        <v>335</v>
      </c>
      <c r="K260" s="13" t="s">
        <v>337</v>
      </c>
      <c r="L260" s="13">
        <v>23567</v>
      </c>
      <c r="M260" s="27">
        <f t="shared" si="6"/>
        <v>1477.0117309730369</v>
      </c>
      <c r="N260" s="36" t="s">
        <v>636</v>
      </c>
      <c r="O260" s="37" t="s">
        <v>635</v>
      </c>
      <c r="P260" s="31"/>
      <c r="Q260" s="31">
        <f>$B$5-Table1[[#This Row],[Latitude]]</f>
        <v>7.8599999999999994</v>
      </c>
      <c r="R260" s="31">
        <f>$B$6-Table1[[#This Row],[Longitude]]</f>
        <v>13.850000000000009</v>
      </c>
    </row>
    <row r="261" spans="5:18">
      <c r="E261" s="12" t="s">
        <v>637</v>
      </c>
      <c r="F261" s="13" t="s">
        <v>635</v>
      </c>
      <c r="G261" s="13">
        <v>78748</v>
      </c>
      <c r="H261" s="13">
        <v>30.26</v>
      </c>
      <c r="I261" s="13">
        <v>-97.74</v>
      </c>
      <c r="J261" s="13" t="s">
        <v>335</v>
      </c>
      <c r="K261" s="13" t="s">
        <v>337</v>
      </c>
      <c r="L261" s="13">
        <v>31973</v>
      </c>
      <c r="M261" s="27">
        <f t="shared" si="6"/>
        <v>1666.6412088307145</v>
      </c>
      <c r="N261" s="36" t="s">
        <v>637</v>
      </c>
      <c r="O261" s="37" t="s">
        <v>635</v>
      </c>
      <c r="P261" s="31"/>
      <c r="Q261" s="31">
        <f>$B$5-Table1[[#This Row],[Latitude]]</f>
        <v>12.8</v>
      </c>
      <c r="R261" s="31">
        <f>$B$6-Table1[[#This Row],[Longitude]]</f>
        <v>9.7800000000000011</v>
      </c>
    </row>
    <row r="262" spans="5:18">
      <c r="E262" s="12" t="s">
        <v>638</v>
      </c>
      <c r="F262" s="13" t="s">
        <v>635</v>
      </c>
      <c r="G262" s="13">
        <v>78520</v>
      </c>
      <c r="H262" s="13">
        <v>25.92</v>
      </c>
      <c r="I262" s="13">
        <v>-97.48</v>
      </c>
      <c r="J262" s="13" t="s">
        <v>335</v>
      </c>
      <c r="K262" s="13" t="s">
        <v>337</v>
      </c>
      <c r="L262" s="13">
        <v>44082</v>
      </c>
      <c r="M262" s="27">
        <f t="shared" si="6"/>
        <v>2092.676576420477</v>
      </c>
      <c r="N262" s="36" t="s">
        <v>638</v>
      </c>
      <c r="O262" s="37" t="s">
        <v>635</v>
      </c>
      <c r="P262" s="31"/>
      <c r="Q262" s="31">
        <f>$B$5-Table1[[#This Row],[Latitude]]</f>
        <v>17.14</v>
      </c>
      <c r="R262" s="31">
        <f>$B$6-Table1[[#This Row],[Longitude]]</f>
        <v>9.5200000000000102</v>
      </c>
    </row>
    <row r="263" spans="5:18">
      <c r="E263" s="12" t="s">
        <v>639</v>
      </c>
      <c r="F263" s="13" t="s">
        <v>635</v>
      </c>
      <c r="G263" s="13">
        <v>78413</v>
      </c>
      <c r="H263" s="13">
        <v>27.8</v>
      </c>
      <c r="I263" s="13">
        <v>-97.39</v>
      </c>
      <c r="J263" s="13" t="s">
        <v>335</v>
      </c>
      <c r="K263" s="13" t="s">
        <v>337</v>
      </c>
      <c r="L263" s="13">
        <v>27973</v>
      </c>
      <c r="M263" s="27">
        <f t="shared" si="6"/>
        <v>1896.7803528164397</v>
      </c>
      <c r="N263" s="36" t="s">
        <v>639</v>
      </c>
      <c r="O263" s="37" t="s">
        <v>635</v>
      </c>
      <c r="P263" s="31"/>
      <c r="Q263" s="31">
        <f>$B$5-Table1[[#This Row],[Latitude]]</f>
        <v>15.260000000000002</v>
      </c>
      <c r="R263" s="31">
        <f>$B$6-Table1[[#This Row],[Longitude]]</f>
        <v>9.4300000000000068</v>
      </c>
    </row>
    <row r="264" spans="5:18">
      <c r="E264" s="12" t="s">
        <v>640</v>
      </c>
      <c r="F264" s="13" t="s">
        <v>635</v>
      </c>
      <c r="G264" s="13">
        <v>75217</v>
      </c>
      <c r="H264" s="13">
        <v>32.79</v>
      </c>
      <c r="I264" s="13">
        <v>-96.76</v>
      </c>
      <c r="J264" s="13" t="s">
        <v>335</v>
      </c>
      <c r="K264" s="13" t="s">
        <v>337</v>
      </c>
      <c r="L264" s="13">
        <v>57055</v>
      </c>
      <c r="M264" s="27">
        <f t="shared" si="6"/>
        <v>1376.5639026446759</v>
      </c>
      <c r="N264" s="36" t="s">
        <v>640</v>
      </c>
      <c r="O264" s="37" t="s">
        <v>635</v>
      </c>
      <c r="P264" s="31"/>
      <c r="Q264" s="31">
        <f>$B$5-Table1[[#This Row],[Latitude]]</f>
        <v>10.270000000000003</v>
      </c>
      <c r="R264" s="31">
        <f>$B$6-Table1[[#This Row],[Longitude]]</f>
        <v>8.8000000000000114</v>
      </c>
    </row>
    <row r="265" spans="5:18">
      <c r="E265" s="12" t="s">
        <v>641</v>
      </c>
      <c r="F265" s="13" t="s">
        <v>635</v>
      </c>
      <c r="G265" s="13">
        <v>78840</v>
      </c>
      <c r="H265" s="13">
        <v>29.37</v>
      </c>
      <c r="I265" s="13">
        <v>-100.89</v>
      </c>
      <c r="J265" s="13" t="s">
        <v>335</v>
      </c>
      <c r="K265" s="13" t="s">
        <v>337</v>
      </c>
      <c r="L265" s="13">
        <v>34843</v>
      </c>
      <c r="M265" s="27">
        <f t="shared" si="6"/>
        <v>1908.9461763415127</v>
      </c>
      <c r="N265" s="36" t="s">
        <v>641</v>
      </c>
      <c r="O265" s="37" t="s">
        <v>635</v>
      </c>
      <c r="P265" s="31"/>
      <c r="Q265" s="31">
        <f>$B$5-Table1[[#This Row],[Latitude]]</f>
        <v>13.690000000000001</v>
      </c>
      <c r="R265" s="31">
        <f>$B$6-Table1[[#This Row],[Longitude]]</f>
        <v>12.930000000000007</v>
      </c>
    </row>
    <row r="266" spans="5:18">
      <c r="E266" s="12" t="s">
        <v>642</v>
      </c>
      <c r="F266" s="13" t="s">
        <v>635</v>
      </c>
      <c r="G266" s="13">
        <v>79912</v>
      </c>
      <c r="H266" s="13">
        <v>31.84</v>
      </c>
      <c r="I266" s="13">
        <v>-106.43</v>
      </c>
      <c r="J266" s="13" t="s">
        <v>335</v>
      </c>
      <c r="K266" s="13" t="s">
        <v>337</v>
      </c>
      <c r="L266" s="13">
        <v>58177</v>
      </c>
      <c r="M266" s="27">
        <f t="shared" si="6"/>
        <v>2045.1987325553896</v>
      </c>
      <c r="N266" s="36" t="s">
        <v>642</v>
      </c>
      <c r="O266" s="37" t="s">
        <v>635</v>
      </c>
      <c r="P266" s="31"/>
      <c r="Q266" s="31">
        <f>$B$5-Table1[[#This Row],[Latitude]]</f>
        <v>11.220000000000002</v>
      </c>
      <c r="R266" s="31">
        <f>$B$6-Table1[[#This Row],[Longitude]]</f>
        <v>18.470000000000013</v>
      </c>
    </row>
    <row r="267" spans="5:18">
      <c r="E267" s="12" t="s">
        <v>643</v>
      </c>
      <c r="F267" s="13" t="s">
        <v>635</v>
      </c>
      <c r="G267" s="13">
        <v>77550</v>
      </c>
      <c r="H267" s="13">
        <v>29.3</v>
      </c>
      <c r="I267" s="13">
        <v>-94.79</v>
      </c>
      <c r="J267" s="13" t="s">
        <v>335</v>
      </c>
      <c r="K267" s="13" t="s">
        <v>337</v>
      </c>
      <c r="L267" s="13">
        <v>15089</v>
      </c>
      <c r="M267" s="27">
        <f t="shared" si="6"/>
        <v>1646.795877774226</v>
      </c>
      <c r="N267" s="36" t="s">
        <v>643</v>
      </c>
      <c r="O267" s="37" t="s">
        <v>635</v>
      </c>
      <c r="P267" s="31"/>
      <c r="Q267" s="31">
        <f>$B$5-Table1[[#This Row],[Latitude]]</f>
        <v>13.760000000000002</v>
      </c>
      <c r="R267" s="31">
        <f>$B$6-Table1[[#This Row],[Longitude]]</f>
        <v>6.8300000000000125</v>
      </c>
    </row>
    <row r="268" spans="5:18">
      <c r="E268" s="12" t="s">
        <v>644</v>
      </c>
      <c r="F268" s="13" t="s">
        <v>635</v>
      </c>
      <c r="G268" s="13">
        <v>77084</v>
      </c>
      <c r="H268" s="13">
        <v>29.76</v>
      </c>
      <c r="I268" s="13">
        <v>-95.38</v>
      </c>
      <c r="J268" s="13" t="s">
        <v>335</v>
      </c>
      <c r="K268" s="13" t="s">
        <v>337</v>
      </c>
      <c r="L268" s="13">
        <v>72890</v>
      </c>
      <c r="M268" s="27">
        <f t="shared" si="6"/>
        <v>1619.4385689540682</v>
      </c>
      <c r="N268" s="36" t="s">
        <v>644</v>
      </c>
      <c r="O268" s="37" t="s">
        <v>635</v>
      </c>
      <c r="P268" s="31"/>
      <c r="Q268" s="31">
        <f>$B$5-Table1[[#This Row],[Latitude]]</f>
        <v>13.3</v>
      </c>
      <c r="R268" s="31">
        <f>$B$6-Table1[[#This Row],[Longitude]]</f>
        <v>7.4200000000000017</v>
      </c>
    </row>
    <row r="269" spans="5:18">
      <c r="E269" s="12" t="s">
        <v>645</v>
      </c>
      <c r="F269" s="13" t="s">
        <v>635</v>
      </c>
      <c r="G269" s="13">
        <v>78041</v>
      </c>
      <c r="H269" s="13">
        <v>27.53</v>
      </c>
      <c r="I269" s="13">
        <v>-99.48</v>
      </c>
      <c r="J269" s="13" t="s">
        <v>335</v>
      </c>
      <c r="K269" s="13" t="s">
        <v>337</v>
      </c>
      <c r="L269" s="13">
        <v>35152</v>
      </c>
      <c r="M269" s="27">
        <f t="shared" si="6"/>
        <v>2014.2150119527282</v>
      </c>
      <c r="N269" s="36" t="s">
        <v>645</v>
      </c>
      <c r="O269" s="37" t="s">
        <v>635</v>
      </c>
      <c r="P269" s="31"/>
      <c r="Q269" s="31">
        <f>$B$5-Table1[[#This Row],[Latitude]]</f>
        <v>15.530000000000001</v>
      </c>
      <c r="R269" s="31">
        <f>$B$6-Table1[[#This Row],[Longitude]]</f>
        <v>11.52000000000001</v>
      </c>
    </row>
    <row r="270" spans="5:18">
      <c r="E270" s="12" t="s">
        <v>646</v>
      </c>
      <c r="F270" s="13" t="s">
        <v>635</v>
      </c>
      <c r="G270" s="13">
        <v>79424</v>
      </c>
      <c r="H270" s="13">
        <v>33.57</v>
      </c>
      <c r="I270" s="13">
        <v>-101.87</v>
      </c>
      <c r="J270" s="13" t="s">
        <v>335</v>
      </c>
      <c r="K270" s="13" t="s">
        <v>337</v>
      </c>
      <c r="L270" s="13">
        <v>32403</v>
      </c>
      <c r="M270" s="27">
        <f t="shared" si="6"/>
        <v>1604.314525638998</v>
      </c>
      <c r="N270" s="36" t="s">
        <v>646</v>
      </c>
      <c r="O270" s="37" t="s">
        <v>635</v>
      </c>
      <c r="P270" s="31"/>
      <c r="Q270" s="31">
        <f>$B$5-Table1[[#This Row],[Latitude]]</f>
        <v>9.490000000000002</v>
      </c>
      <c r="R270" s="31">
        <f>$B$6-Table1[[#This Row],[Longitude]]</f>
        <v>13.910000000000011</v>
      </c>
    </row>
    <row r="271" spans="5:18">
      <c r="E271" s="12" t="s">
        <v>647</v>
      </c>
      <c r="F271" s="13" t="s">
        <v>635</v>
      </c>
      <c r="G271" s="13">
        <v>79705</v>
      </c>
      <c r="H271" s="13">
        <v>32.020000000000003</v>
      </c>
      <c r="I271" s="13">
        <v>-102.1</v>
      </c>
      <c r="J271" s="13" t="s">
        <v>335</v>
      </c>
      <c r="K271" s="13" t="s">
        <v>337</v>
      </c>
      <c r="L271" s="13">
        <v>25476</v>
      </c>
      <c r="M271" s="27">
        <f t="shared" si="6"/>
        <v>1744.9893265510093</v>
      </c>
      <c r="N271" s="36" t="s">
        <v>647</v>
      </c>
      <c r="O271" s="37" t="s">
        <v>635</v>
      </c>
      <c r="P271" s="31"/>
      <c r="Q271" s="31">
        <f>$B$5-Table1[[#This Row],[Latitude]]</f>
        <v>11.04</v>
      </c>
      <c r="R271" s="31">
        <f>$B$6-Table1[[#This Row],[Longitude]]</f>
        <v>14.14</v>
      </c>
    </row>
    <row r="272" spans="5:18">
      <c r="E272" s="12" t="s">
        <v>648</v>
      </c>
      <c r="F272" s="13" t="s">
        <v>635</v>
      </c>
      <c r="G272" s="13">
        <v>77642</v>
      </c>
      <c r="H272" s="13">
        <v>29.89</v>
      </c>
      <c r="I272" s="13">
        <v>-93.92</v>
      </c>
      <c r="J272" s="13" t="s">
        <v>335</v>
      </c>
      <c r="K272" s="13" t="s">
        <v>337</v>
      </c>
      <c r="L272" s="13">
        <v>26905</v>
      </c>
      <c r="M272" s="27">
        <f t="shared" si="6"/>
        <v>1557.2934361993737</v>
      </c>
      <c r="N272" s="36" t="s">
        <v>648</v>
      </c>
      <c r="O272" s="37" t="s">
        <v>635</v>
      </c>
      <c r="P272" s="31"/>
      <c r="Q272" s="31">
        <f>$B$5-Table1[[#This Row],[Latitude]]</f>
        <v>13.170000000000002</v>
      </c>
      <c r="R272" s="31">
        <f>$B$6-Table1[[#This Row],[Longitude]]</f>
        <v>5.960000000000008</v>
      </c>
    </row>
    <row r="273" spans="5:18">
      <c r="E273" s="12" t="s">
        <v>649</v>
      </c>
      <c r="F273" s="13" t="s">
        <v>635</v>
      </c>
      <c r="G273" s="13">
        <v>76904</v>
      </c>
      <c r="H273" s="13">
        <v>31.44</v>
      </c>
      <c r="I273" s="13">
        <v>-100.45</v>
      </c>
      <c r="J273" s="13" t="s">
        <v>335</v>
      </c>
      <c r="K273" s="13" t="s">
        <v>337</v>
      </c>
      <c r="L273" s="13">
        <v>24239</v>
      </c>
      <c r="M273" s="27">
        <f t="shared" si="6"/>
        <v>1696.5745886818761</v>
      </c>
      <c r="N273" s="36" t="s">
        <v>649</v>
      </c>
      <c r="O273" s="37" t="s">
        <v>635</v>
      </c>
      <c r="P273" s="31"/>
      <c r="Q273" s="31">
        <f>$B$5-Table1[[#This Row],[Latitude]]</f>
        <v>11.620000000000001</v>
      </c>
      <c r="R273" s="31">
        <f>$B$6-Table1[[#This Row],[Longitude]]</f>
        <v>12.490000000000009</v>
      </c>
    </row>
    <row r="274" spans="5:18">
      <c r="E274" s="12" t="s">
        <v>650</v>
      </c>
      <c r="F274" s="13" t="s">
        <v>635</v>
      </c>
      <c r="G274" s="13">
        <v>78207</v>
      </c>
      <c r="H274" s="13">
        <v>29.45</v>
      </c>
      <c r="I274" s="13">
        <v>-98.5</v>
      </c>
      <c r="J274" s="13" t="s">
        <v>335</v>
      </c>
      <c r="K274" s="13" t="s">
        <v>337</v>
      </c>
      <c r="L274" s="13">
        <v>32629</v>
      </c>
      <c r="M274" s="27">
        <f t="shared" si="6"/>
        <v>1780.8878036625056</v>
      </c>
      <c r="N274" s="36" t="s">
        <v>650</v>
      </c>
      <c r="O274" s="37" t="s">
        <v>635</v>
      </c>
      <c r="P274" s="31"/>
      <c r="Q274" s="31">
        <f>$B$5-Table1[[#This Row],[Latitude]]</f>
        <v>13.610000000000003</v>
      </c>
      <c r="R274" s="31">
        <f>$B$6-Table1[[#This Row],[Longitude]]</f>
        <v>10.540000000000006</v>
      </c>
    </row>
    <row r="275" spans="5:18">
      <c r="E275" s="12" t="s">
        <v>651</v>
      </c>
      <c r="F275" s="13" t="s">
        <v>635</v>
      </c>
      <c r="G275" s="13">
        <v>75090</v>
      </c>
      <c r="H275" s="13">
        <v>33.61</v>
      </c>
      <c r="I275" s="13">
        <v>-96.6</v>
      </c>
      <c r="J275" s="13" t="s">
        <v>335</v>
      </c>
      <c r="K275" s="13" t="s">
        <v>337</v>
      </c>
      <c r="L275" s="13">
        <v>16524</v>
      </c>
      <c r="M275" s="27">
        <f t="shared" si="6"/>
        <v>1291.4868262739083</v>
      </c>
      <c r="N275" s="36" t="s">
        <v>651</v>
      </c>
      <c r="O275" s="37" t="s">
        <v>635</v>
      </c>
      <c r="P275" s="31"/>
      <c r="Q275" s="31">
        <f>$B$5-Table1[[#This Row],[Latitude]]</f>
        <v>9.4500000000000028</v>
      </c>
      <c r="R275" s="31">
        <f>$B$6-Table1[[#This Row],[Longitude]]</f>
        <v>8.64</v>
      </c>
    </row>
    <row r="276" spans="5:18">
      <c r="E276" s="12" t="s">
        <v>652</v>
      </c>
      <c r="F276" s="13" t="s">
        <v>635</v>
      </c>
      <c r="G276" s="13">
        <v>76705</v>
      </c>
      <c r="H276" s="13">
        <v>31.56</v>
      </c>
      <c r="I276" s="13">
        <v>-97.18</v>
      </c>
      <c r="J276" s="13" t="s">
        <v>335</v>
      </c>
      <c r="K276" s="13" t="s">
        <v>337</v>
      </c>
      <c r="L276" s="13">
        <v>20530</v>
      </c>
      <c r="M276" s="27">
        <f t="shared" si="6"/>
        <v>1514.4084033791698</v>
      </c>
      <c r="N276" s="36" t="s">
        <v>652</v>
      </c>
      <c r="O276" s="37" t="s">
        <v>635</v>
      </c>
      <c r="P276" s="31"/>
      <c r="Q276" s="31">
        <f>$B$5-Table1[[#This Row],[Latitude]]</f>
        <v>11.500000000000004</v>
      </c>
      <c r="R276" s="31">
        <f>$B$6-Table1[[#This Row],[Longitude]]</f>
        <v>9.2200000000000131</v>
      </c>
    </row>
    <row r="277" spans="5:18">
      <c r="E277" s="12" t="s">
        <v>653</v>
      </c>
      <c r="F277" s="13" t="s">
        <v>635</v>
      </c>
      <c r="G277" s="13">
        <v>76308</v>
      </c>
      <c r="H277" s="13">
        <v>33.89</v>
      </c>
      <c r="I277" s="13">
        <v>-98.51</v>
      </c>
      <c r="J277" s="13" t="s">
        <v>335</v>
      </c>
      <c r="K277" s="13" t="s">
        <v>337</v>
      </c>
      <c r="L277" s="13">
        <v>15648</v>
      </c>
      <c r="M277" s="27">
        <f t="shared" si="6"/>
        <v>1370.0428958569764</v>
      </c>
      <c r="N277" s="36" t="s">
        <v>653</v>
      </c>
      <c r="O277" s="37" t="s">
        <v>635</v>
      </c>
      <c r="P277" s="31"/>
      <c r="Q277" s="31">
        <f>$B$5-Table1[[#This Row],[Latitude]]</f>
        <v>9.1700000000000017</v>
      </c>
      <c r="R277" s="31">
        <f>$B$6-Table1[[#This Row],[Longitude]]</f>
        <v>10.550000000000011</v>
      </c>
    </row>
    <row r="278" spans="5:18">
      <c r="E278" s="12" t="s">
        <v>654</v>
      </c>
      <c r="F278" s="13" t="s">
        <v>655</v>
      </c>
      <c r="G278" s="13">
        <v>84119</v>
      </c>
      <c r="H278" s="13">
        <v>40.700000000000003</v>
      </c>
      <c r="I278" s="13">
        <v>-111.94</v>
      </c>
      <c r="J278" s="13" t="s">
        <v>335</v>
      </c>
      <c r="K278" s="13" t="s">
        <v>337</v>
      </c>
      <c r="L278" s="13">
        <v>39848</v>
      </c>
      <c r="M278" s="27">
        <f t="shared" si="6"/>
        <v>1995.6287305248527</v>
      </c>
      <c r="N278" s="36" t="s">
        <v>654</v>
      </c>
      <c r="O278" s="37" t="s">
        <v>655</v>
      </c>
      <c r="P278" s="31"/>
      <c r="Q278" s="31">
        <f>$B$5-Table1[[#This Row],[Latitude]]</f>
        <v>2.3599999999999994</v>
      </c>
      <c r="R278" s="31">
        <f>$B$6-Table1[[#This Row],[Longitude]]</f>
        <v>23.980000000000004</v>
      </c>
    </row>
    <row r="279" spans="5:18">
      <c r="E279" s="12" t="s">
        <v>656</v>
      </c>
      <c r="F279" s="13" t="s">
        <v>655</v>
      </c>
      <c r="G279" s="13">
        <v>84083</v>
      </c>
      <c r="H279" s="13">
        <v>40.840000000000003</v>
      </c>
      <c r="I279" s="13">
        <v>-114.02</v>
      </c>
      <c r="J279" s="13" t="s">
        <v>335</v>
      </c>
      <c r="K279" s="13" t="s">
        <v>337</v>
      </c>
      <c r="L279" s="13">
        <v>1265</v>
      </c>
      <c r="M279" s="27">
        <f t="shared" si="6"/>
        <v>2160.4302967462136</v>
      </c>
      <c r="N279" s="36" t="s">
        <v>656</v>
      </c>
      <c r="O279" s="37" t="s">
        <v>655</v>
      </c>
      <c r="P279" s="31"/>
      <c r="Q279" s="31">
        <f>$B$5-Table1[[#This Row],[Latitude]]</f>
        <v>2.2199999999999989</v>
      </c>
      <c r="R279" s="31">
        <f>$B$6-Table1[[#This Row],[Longitude]]</f>
        <v>26.060000000000002</v>
      </c>
    </row>
    <row r="280" spans="5:18">
      <c r="E280" s="8" t="s">
        <v>657</v>
      </c>
      <c r="F280" s="10" t="s">
        <v>658</v>
      </c>
      <c r="G280" s="10">
        <v>5401</v>
      </c>
      <c r="H280" s="10">
        <v>44.48</v>
      </c>
      <c r="I280" s="10">
        <v>-73.22</v>
      </c>
      <c r="J280" s="10" t="s">
        <v>335</v>
      </c>
      <c r="K280" s="10" t="s">
        <v>337</v>
      </c>
      <c r="L280" s="10">
        <v>16845</v>
      </c>
      <c r="M280" s="27">
        <f t="shared" si="6"/>
        <v>1192.3885432716072</v>
      </c>
      <c r="N280" s="33" t="s">
        <v>657</v>
      </c>
      <c r="O280" s="23" t="s">
        <v>658</v>
      </c>
      <c r="P280" s="31"/>
      <c r="Q280" s="31">
        <f>$B$5-Table1[[#This Row],[Latitude]]</f>
        <v>-1.4199999999999946</v>
      </c>
      <c r="R280" s="31">
        <f>$B$6-Table1[[#This Row],[Longitude]]</f>
        <v>-14.739999999999995</v>
      </c>
    </row>
    <row r="281" spans="5:18">
      <c r="E281" s="8" t="s">
        <v>659</v>
      </c>
      <c r="F281" s="10" t="s">
        <v>660</v>
      </c>
      <c r="G281" s="10">
        <v>23666</v>
      </c>
      <c r="H281" s="10">
        <v>37.04</v>
      </c>
      <c r="I281" s="10">
        <v>-76.290000000000006</v>
      </c>
      <c r="J281" s="10" t="s">
        <v>335</v>
      </c>
      <c r="K281" s="10" t="s">
        <v>337</v>
      </c>
      <c r="L281" s="10">
        <v>41120</v>
      </c>
      <c r="M281" s="27">
        <f t="shared" si="6"/>
        <v>1196.0492561512069</v>
      </c>
      <c r="N281" s="33" t="s">
        <v>659</v>
      </c>
      <c r="O281" s="23" t="s">
        <v>660</v>
      </c>
      <c r="P281" s="31"/>
      <c r="Q281" s="31">
        <f>$B$5-Table1[[#This Row],[Latitude]]</f>
        <v>6.0200000000000031</v>
      </c>
      <c r="R281" s="31">
        <f>$B$6-Table1[[#This Row],[Longitude]]</f>
        <v>-11.669999999999987</v>
      </c>
    </row>
    <row r="282" spans="5:18">
      <c r="E282" s="8" t="s">
        <v>661</v>
      </c>
      <c r="F282" s="10" t="s">
        <v>660</v>
      </c>
      <c r="G282" s="10">
        <v>24502</v>
      </c>
      <c r="H282" s="10">
        <v>37.4</v>
      </c>
      <c r="I282" s="10">
        <v>-79.19</v>
      </c>
      <c r="J282" s="10" t="s">
        <v>335</v>
      </c>
      <c r="K282" s="10" t="s">
        <v>337</v>
      </c>
      <c r="L282" s="10">
        <v>28461</v>
      </c>
      <c r="M282" s="27">
        <f t="shared" si="6"/>
        <v>973.91981877515877</v>
      </c>
      <c r="N282" s="33" t="s">
        <v>661</v>
      </c>
      <c r="O282" s="23" t="s">
        <v>660</v>
      </c>
      <c r="P282" s="31"/>
      <c r="Q282" s="31">
        <f>$B$5-Table1[[#This Row],[Latitude]]</f>
        <v>5.6600000000000037</v>
      </c>
      <c r="R282" s="31">
        <f>$B$6-Table1[[#This Row],[Longitude]]</f>
        <v>-8.769999999999996</v>
      </c>
    </row>
    <row r="283" spans="5:18">
      <c r="E283" s="8" t="s">
        <v>536</v>
      </c>
      <c r="F283" s="10" t="s">
        <v>660</v>
      </c>
      <c r="G283" s="10">
        <v>23503</v>
      </c>
      <c r="H283" s="10">
        <v>36.840000000000003</v>
      </c>
      <c r="I283" s="10">
        <v>-76.28</v>
      </c>
      <c r="J283" s="10" t="s">
        <v>335</v>
      </c>
      <c r="K283" s="10" t="s">
        <v>337</v>
      </c>
      <c r="L283" s="10">
        <v>24283</v>
      </c>
      <c r="M283" s="27">
        <f t="shared" si="6"/>
        <v>1210.4538029033886</v>
      </c>
      <c r="N283" s="33" t="s">
        <v>536</v>
      </c>
      <c r="O283" s="23" t="s">
        <v>660</v>
      </c>
      <c r="P283" s="31"/>
      <c r="Q283" s="31">
        <f>$B$5-Table1[[#This Row],[Latitude]]</f>
        <v>6.2199999999999989</v>
      </c>
      <c r="R283" s="31">
        <f>$B$6-Table1[[#This Row],[Longitude]]</f>
        <v>-11.679999999999993</v>
      </c>
    </row>
    <row r="284" spans="5:18">
      <c r="E284" s="8" t="s">
        <v>662</v>
      </c>
      <c r="F284" s="10" t="s">
        <v>660</v>
      </c>
      <c r="G284" s="10">
        <v>22134</v>
      </c>
      <c r="H284" s="10">
        <v>38.520000000000003</v>
      </c>
      <c r="I284" s="10">
        <v>-77.290000000000006</v>
      </c>
      <c r="J284" s="10" t="s">
        <v>335</v>
      </c>
      <c r="K284" s="10" t="s">
        <v>337</v>
      </c>
      <c r="L284" s="10">
        <v>4215</v>
      </c>
      <c r="M284" s="27">
        <f t="shared" si="6"/>
        <v>1029.2610556689308</v>
      </c>
      <c r="N284" s="33" t="s">
        <v>662</v>
      </c>
      <c r="O284" s="23" t="s">
        <v>660</v>
      </c>
      <c r="P284" s="31"/>
      <c r="Q284" s="31">
        <f>$B$5-Table1[[#This Row],[Latitude]]</f>
        <v>4.5399999999999991</v>
      </c>
      <c r="R284" s="31">
        <f>$B$6-Table1[[#This Row],[Longitude]]</f>
        <v>-10.669999999999987</v>
      </c>
    </row>
    <row r="285" spans="5:18">
      <c r="E285" s="8" t="s">
        <v>663</v>
      </c>
      <c r="F285" s="10" t="s">
        <v>660</v>
      </c>
      <c r="G285" s="10">
        <v>23223</v>
      </c>
      <c r="H285" s="10">
        <v>37.549999999999997</v>
      </c>
      <c r="I285" s="10">
        <v>-77.459999999999994</v>
      </c>
      <c r="J285" s="10" t="s">
        <v>335</v>
      </c>
      <c r="K285" s="10" t="s">
        <v>337</v>
      </c>
      <c r="L285" s="10">
        <v>32635</v>
      </c>
      <c r="M285" s="27">
        <f t="shared" si="6"/>
        <v>1079.4936443760639</v>
      </c>
      <c r="N285" s="33" t="s">
        <v>663</v>
      </c>
      <c r="O285" s="23" t="s">
        <v>660</v>
      </c>
      <c r="P285" s="31"/>
      <c r="Q285" s="31">
        <f>$B$5-Table1[[#This Row],[Latitude]]</f>
        <v>5.5100000000000051</v>
      </c>
      <c r="R285" s="31">
        <f>$B$6-Table1[[#This Row],[Longitude]]</f>
        <v>-10.5</v>
      </c>
    </row>
    <row r="286" spans="5:18">
      <c r="E286" s="8" t="s">
        <v>664</v>
      </c>
      <c r="F286" s="10" t="s">
        <v>665</v>
      </c>
      <c r="G286" s="10">
        <v>98208</v>
      </c>
      <c r="H286" s="10">
        <v>47.9</v>
      </c>
      <c r="I286" s="10">
        <v>-122.18</v>
      </c>
      <c r="J286" s="10" t="s">
        <v>335</v>
      </c>
      <c r="K286" s="10" t="s">
        <v>337</v>
      </c>
      <c r="L286" s="10">
        <v>42115</v>
      </c>
      <c r="M286" s="27">
        <f t="shared" si="6"/>
        <v>2698.4434245522953</v>
      </c>
      <c r="N286" s="33" t="s">
        <v>664</v>
      </c>
      <c r="O286" s="23" t="s">
        <v>665</v>
      </c>
      <c r="P286" s="31"/>
      <c r="Q286" s="31">
        <f>$B$5-Table1[[#This Row],[Latitude]]</f>
        <v>-4.8399999999999963</v>
      </c>
      <c r="R286" s="31">
        <f>$B$6-Table1[[#This Row],[Longitude]]</f>
        <v>34.220000000000013</v>
      </c>
    </row>
    <row r="287" spans="5:18">
      <c r="E287" s="8" t="s">
        <v>666</v>
      </c>
      <c r="F287" s="10" t="s">
        <v>665</v>
      </c>
      <c r="G287" s="10">
        <v>98501</v>
      </c>
      <c r="H287" s="10">
        <v>46.97</v>
      </c>
      <c r="I287" s="10">
        <v>-122.87</v>
      </c>
      <c r="J287" s="10" t="s">
        <v>335</v>
      </c>
      <c r="K287" s="10" t="s">
        <v>337</v>
      </c>
      <c r="L287" s="10">
        <v>31077</v>
      </c>
      <c r="M287" s="27">
        <f t="shared" si="6"/>
        <v>2754.9376646312799</v>
      </c>
      <c r="N287" s="33" t="s">
        <v>666</v>
      </c>
      <c r="O287" s="23" t="s">
        <v>665</v>
      </c>
      <c r="P287" s="31"/>
      <c r="Q287" s="31">
        <f>$B$5-Table1[[#This Row],[Latitude]]</f>
        <v>-3.9099999999999966</v>
      </c>
      <c r="R287" s="31">
        <f>$B$6-Table1[[#This Row],[Longitude]]</f>
        <v>34.910000000000011</v>
      </c>
    </row>
    <row r="288" spans="5:18">
      <c r="E288" s="8" t="s">
        <v>667</v>
      </c>
      <c r="F288" s="10" t="s">
        <v>665</v>
      </c>
      <c r="G288" s="10">
        <v>98404</v>
      </c>
      <c r="H288" s="10">
        <v>47.2</v>
      </c>
      <c r="I288" s="10">
        <v>-122.4</v>
      </c>
      <c r="J288" s="10" t="s">
        <v>335</v>
      </c>
      <c r="K288" s="10" t="s">
        <v>337</v>
      </c>
      <c r="L288" s="10">
        <v>23625</v>
      </c>
      <c r="M288" s="27">
        <f t="shared" si="6"/>
        <v>2717.8902287760752</v>
      </c>
      <c r="N288" s="33" t="s">
        <v>667</v>
      </c>
      <c r="O288" s="23" t="s">
        <v>665</v>
      </c>
      <c r="P288" s="31"/>
      <c r="Q288" s="31">
        <f>$B$5-Table1[[#This Row],[Latitude]]</f>
        <v>-4.1400000000000006</v>
      </c>
      <c r="R288" s="31">
        <f>$B$6-Table1[[#This Row],[Longitude]]</f>
        <v>34.440000000000012</v>
      </c>
    </row>
    <row r="289" spans="5:18">
      <c r="E289" s="8" t="s">
        <v>668</v>
      </c>
      <c r="F289" s="10" t="s">
        <v>665</v>
      </c>
      <c r="G289" s="10">
        <v>98115</v>
      </c>
      <c r="H289" s="10">
        <v>47.68</v>
      </c>
      <c r="I289" s="10">
        <v>-122.28</v>
      </c>
      <c r="J289" s="10" t="s">
        <v>335</v>
      </c>
      <c r="K289" s="10" t="s">
        <v>337</v>
      </c>
      <c r="L289" s="10">
        <v>39262</v>
      </c>
      <c r="M289" s="27">
        <f t="shared" si="6"/>
        <v>2706.5940497759502</v>
      </c>
      <c r="N289" s="33" t="s">
        <v>668</v>
      </c>
      <c r="O289" s="23" t="s">
        <v>665</v>
      </c>
      <c r="P289" s="31"/>
      <c r="Q289" s="31">
        <f>$B$5-Table1[[#This Row],[Latitude]]</f>
        <v>-4.6199999999999974</v>
      </c>
      <c r="R289" s="31">
        <f>$B$6-Table1[[#This Row],[Longitude]]</f>
        <v>34.320000000000007</v>
      </c>
    </row>
    <row r="290" spans="5:18">
      <c r="E290" s="8" t="s">
        <v>669</v>
      </c>
      <c r="F290" s="10" t="s">
        <v>665</v>
      </c>
      <c r="G290" s="10">
        <v>99208</v>
      </c>
      <c r="H290" s="10">
        <v>47.78</v>
      </c>
      <c r="I290" s="10">
        <v>-117.45</v>
      </c>
      <c r="J290" s="10" t="s">
        <v>335</v>
      </c>
      <c r="K290" s="10" t="s">
        <v>337</v>
      </c>
      <c r="L290" s="10">
        <v>39208</v>
      </c>
      <c r="M290" s="27">
        <f t="shared" si="6"/>
        <v>2345.4099743220168</v>
      </c>
      <c r="N290" s="33" t="s">
        <v>669</v>
      </c>
      <c r="O290" s="23" t="s">
        <v>665</v>
      </c>
      <c r="P290" s="31"/>
      <c r="Q290" s="31">
        <f>$B$5-Table1[[#This Row],[Latitude]]</f>
        <v>-4.7199999999999989</v>
      </c>
      <c r="R290" s="31">
        <f>$B$6-Table1[[#This Row],[Longitude]]</f>
        <v>29.490000000000009</v>
      </c>
    </row>
    <row r="291" spans="5:18">
      <c r="E291" s="8" t="s">
        <v>670</v>
      </c>
      <c r="F291" s="10" t="s">
        <v>665</v>
      </c>
      <c r="G291" s="10">
        <v>99362</v>
      </c>
      <c r="H291" s="10">
        <v>46.11</v>
      </c>
      <c r="I291" s="10">
        <v>-118.3</v>
      </c>
      <c r="J291" s="10" t="s">
        <v>335</v>
      </c>
      <c r="K291" s="10" t="s">
        <v>337</v>
      </c>
      <c r="L291" s="10">
        <v>30329</v>
      </c>
      <c r="M291" s="27">
        <f t="shared" si="6"/>
        <v>2411.5940225121753</v>
      </c>
      <c r="N291" s="33" t="s">
        <v>670</v>
      </c>
      <c r="O291" s="23" t="s">
        <v>665</v>
      </c>
      <c r="P291" s="31"/>
      <c r="Q291" s="31">
        <f>$B$5-Table1[[#This Row],[Latitude]]</f>
        <v>-3.0499999999999972</v>
      </c>
      <c r="R291" s="31">
        <f>$B$6-Table1[[#This Row],[Longitude]]</f>
        <v>30.340000000000003</v>
      </c>
    </row>
    <row r="292" spans="5:18">
      <c r="E292" s="8" t="s">
        <v>671</v>
      </c>
      <c r="F292" s="10" t="s">
        <v>665</v>
      </c>
      <c r="G292" s="10">
        <v>98902</v>
      </c>
      <c r="H292" s="10">
        <v>46.59</v>
      </c>
      <c r="I292" s="10">
        <v>-120.53</v>
      </c>
      <c r="J292" s="10" t="s">
        <v>335</v>
      </c>
      <c r="K292" s="10" t="s">
        <v>337</v>
      </c>
      <c r="L292" s="10">
        <v>31952</v>
      </c>
      <c r="M292" s="27">
        <f t="shared" si="6"/>
        <v>2579.6672983132244</v>
      </c>
      <c r="N292" s="33" t="s">
        <v>671</v>
      </c>
      <c r="O292" s="23" t="s">
        <v>665</v>
      </c>
      <c r="P292" s="31"/>
      <c r="Q292" s="31">
        <f>$B$5-Table1[[#This Row],[Latitude]]</f>
        <v>-3.5300000000000011</v>
      </c>
      <c r="R292" s="31">
        <f>$B$6-Table1[[#This Row],[Longitude]]</f>
        <v>32.570000000000007</v>
      </c>
    </row>
    <row r="293" spans="5:18">
      <c r="E293" s="8" t="s">
        <v>672</v>
      </c>
      <c r="F293" s="10" t="s">
        <v>673</v>
      </c>
      <c r="G293" s="10">
        <v>25801</v>
      </c>
      <c r="H293" s="10">
        <v>37.78</v>
      </c>
      <c r="I293" s="10">
        <v>-81.180000000000007</v>
      </c>
      <c r="J293" s="10" t="s">
        <v>335</v>
      </c>
      <c r="K293" s="10" t="s">
        <v>337</v>
      </c>
      <c r="L293" s="10">
        <v>21630</v>
      </c>
      <c r="M293" s="27">
        <f t="shared" si="6"/>
        <v>820.49881224332705</v>
      </c>
      <c r="N293" s="33" t="s">
        <v>672</v>
      </c>
      <c r="O293" s="23" t="s">
        <v>673</v>
      </c>
      <c r="P293" s="31"/>
      <c r="Q293" s="31">
        <f>$B$5-Table1[[#This Row],[Latitude]]</f>
        <v>5.2800000000000011</v>
      </c>
      <c r="R293" s="31">
        <f>$B$6-Table1[[#This Row],[Longitude]]</f>
        <v>-6.7799999999999869</v>
      </c>
    </row>
    <row r="294" spans="5:18">
      <c r="E294" s="8" t="s">
        <v>619</v>
      </c>
      <c r="F294" s="10" t="s">
        <v>673</v>
      </c>
      <c r="G294" s="10">
        <v>25314</v>
      </c>
      <c r="H294" s="10">
        <v>38.35</v>
      </c>
      <c r="I294" s="10">
        <v>-81.63</v>
      </c>
      <c r="J294" s="10" t="s">
        <v>335</v>
      </c>
      <c r="K294" s="10" t="s">
        <v>337</v>
      </c>
      <c r="L294" s="10">
        <v>13109</v>
      </c>
      <c r="M294" s="27">
        <f t="shared" si="6"/>
        <v>747.23658974798946</v>
      </c>
      <c r="N294" s="33" t="s">
        <v>619</v>
      </c>
      <c r="O294" s="23" t="s">
        <v>673</v>
      </c>
      <c r="P294" s="31"/>
      <c r="Q294" s="31">
        <f>$B$5-Table1[[#This Row],[Latitude]]</f>
        <v>4.7100000000000009</v>
      </c>
      <c r="R294" s="31">
        <f>$B$6-Table1[[#This Row],[Longitude]]</f>
        <v>-6.3299999999999983</v>
      </c>
    </row>
    <row r="295" spans="5:18">
      <c r="E295" s="8" t="s">
        <v>674</v>
      </c>
      <c r="F295" s="10" t="s">
        <v>673</v>
      </c>
      <c r="G295" s="10">
        <v>26241</v>
      </c>
      <c r="H295" s="10">
        <v>38.92</v>
      </c>
      <c r="I295" s="10">
        <v>-79.849999999999994</v>
      </c>
      <c r="J295" s="10" t="s">
        <v>335</v>
      </c>
      <c r="K295" s="10" t="s">
        <v>337</v>
      </c>
      <c r="L295" s="10">
        <v>11523</v>
      </c>
      <c r="M295" s="27">
        <f t="shared" si="6"/>
        <v>821.14024892172699</v>
      </c>
      <c r="N295" s="33" t="s">
        <v>674</v>
      </c>
      <c r="O295" s="23" t="s">
        <v>673</v>
      </c>
      <c r="P295" s="31"/>
      <c r="Q295" s="31">
        <f>$B$5-Table1[[#This Row],[Latitude]]</f>
        <v>4.1400000000000006</v>
      </c>
      <c r="R295" s="31">
        <f>$B$6-Table1[[#This Row],[Longitude]]</f>
        <v>-8.11</v>
      </c>
    </row>
    <row r="296" spans="5:18">
      <c r="E296" s="8" t="s">
        <v>675</v>
      </c>
      <c r="F296" s="10" t="s">
        <v>673</v>
      </c>
      <c r="G296" s="10">
        <v>25705</v>
      </c>
      <c r="H296" s="10">
        <v>38.409999999999997</v>
      </c>
      <c r="I296" s="10">
        <v>-82.43</v>
      </c>
      <c r="J296" s="10" t="s">
        <v>335</v>
      </c>
      <c r="K296" s="10" t="s">
        <v>337</v>
      </c>
      <c r="L296" s="10">
        <v>15882</v>
      </c>
      <c r="M296" s="27">
        <f t="shared" si="6"/>
        <v>695.69325719117921</v>
      </c>
      <c r="N296" s="33" t="s">
        <v>675</v>
      </c>
      <c r="O296" s="23" t="s">
        <v>673</v>
      </c>
      <c r="P296" s="31"/>
      <c r="Q296" s="31">
        <f>$B$5-Table1[[#This Row],[Latitude]]</f>
        <v>4.6500000000000057</v>
      </c>
      <c r="R296" s="31">
        <f>$B$6-Table1[[#This Row],[Longitude]]</f>
        <v>-5.5299999999999869</v>
      </c>
    </row>
    <row r="297" spans="5:18">
      <c r="E297" s="8" t="s">
        <v>676</v>
      </c>
      <c r="F297" s="10" t="s">
        <v>677</v>
      </c>
      <c r="G297" s="10">
        <v>54313</v>
      </c>
      <c r="H297" s="10">
        <v>44.52</v>
      </c>
      <c r="I297" s="10">
        <v>-87.98</v>
      </c>
      <c r="J297" s="10" t="s">
        <v>335</v>
      </c>
      <c r="K297" s="10" t="s">
        <v>337</v>
      </c>
      <c r="L297" s="10">
        <v>33490</v>
      </c>
      <c r="M297" s="27">
        <f t="shared" si="6"/>
        <v>162.3525287692222</v>
      </c>
      <c r="N297" s="33" t="s">
        <v>676</v>
      </c>
      <c r="O297" s="23" t="s">
        <v>677</v>
      </c>
      <c r="P297" s="31"/>
      <c r="Q297" s="31">
        <f>$B$5-Table1[[#This Row],[Latitude]]</f>
        <v>-1.4600000000000009</v>
      </c>
      <c r="R297" s="31">
        <f>$B$6-Table1[[#This Row],[Longitude]]</f>
        <v>2.0000000000010232E-2</v>
      </c>
    </row>
    <row r="298" spans="5:18">
      <c r="E298" s="8" t="s">
        <v>678</v>
      </c>
      <c r="F298" s="10" t="s">
        <v>677</v>
      </c>
      <c r="G298" s="10">
        <v>54601</v>
      </c>
      <c r="H298" s="10">
        <v>43.82</v>
      </c>
      <c r="I298" s="10">
        <v>-91.23</v>
      </c>
      <c r="J298" s="10" t="s">
        <v>335</v>
      </c>
      <c r="K298" s="10" t="s">
        <v>337</v>
      </c>
      <c r="L298" s="10">
        <v>33522</v>
      </c>
      <c r="M298" s="27">
        <f t="shared" si="6"/>
        <v>277.18588268279342</v>
      </c>
      <c r="N298" s="33" t="s">
        <v>678</v>
      </c>
      <c r="O298" s="23" t="s">
        <v>677</v>
      </c>
      <c r="P298" s="31"/>
      <c r="Q298" s="31">
        <f>$B$5-Table1[[#This Row],[Latitude]]</f>
        <v>-0.75999999999999801</v>
      </c>
      <c r="R298" s="31">
        <f>$B$6-Table1[[#This Row],[Longitude]]</f>
        <v>3.2700000000000102</v>
      </c>
    </row>
    <row r="299" spans="5:18">
      <c r="E299" s="8" t="s">
        <v>679</v>
      </c>
      <c r="F299" s="10" t="s">
        <v>677</v>
      </c>
      <c r="G299" s="10">
        <v>53704</v>
      </c>
      <c r="H299" s="10">
        <v>43.07</v>
      </c>
      <c r="I299" s="10">
        <v>-89.38</v>
      </c>
      <c r="J299" s="10" t="s">
        <v>335</v>
      </c>
      <c r="K299" s="10" t="s">
        <v>337</v>
      </c>
      <c r="L299" s="10">
        <v>37614</v>
      </c>
      <c r="M299" s="27">
        <f t="shared" si="6"/>
        <v>115.36014869924843</v>
      </c>
      <c r="N299" s="33" t="s">
        <v>679</v>
      </c>
      <c r="O299" s="23" t="s">
        <v>677</v>
      </c>
      <c r="P299" s="31"/>
      <c r="Q299" s="31">
        <f>$B$5-Table1[[#This Row],[Latitude]]</f>
        <v>-9.9999999999980105E-3</v>
      </c>
      <c r="R299" s="31">
        <f>$B$6-Table1[[#This Row],[Longitude]]</f>
        <v>1.4200000000000017</v>
      </c>
    </row>
    <row r="300" spans="5:18">
      <c r="E300" s="8" t="s">
        <v>680</v>
      </c>
      <c r="F300" s="10" t="s">
        <v>677</v>
      </c>
      <c r="G300" s="10">
        <v>53215</v>
      </c>
      <c r="H300" s="10">
        <v>43.06</v>
      </c>
      <c r="I300" s="10">
        <v>-87.96</v>
      </c>
      <c r="J300" s="10" t="s">
        <v>335</v>
      </c>
      <c r="K300" s="10" t="s">
        <v>337</v>
      </c>
      <c r="L300" s="10">
        <v>43304</v>
      </c>
      <c r="M300" s="27">
        <f t="shared" si="6"/>
        <v>9.4935297966003418E-5</v>
      </c>
      <c r="N300" s="33" t="s">
        <v>680</v>
      </c>
      <c r="O300" s="23" t="s">
        <v>677</v>
      </c>
      <c r="P300" s="31"/>
      <c r="Q300" s="31">
        <f>$B$5-Table1[[#This Row],[Latitude]]</f>
        <v>0</v>
      </c>
      <c r="R300" s="31">
        <f>$B$6-Table1[[#This Row],[Longitude]]</f>
        <v>0</v>
      </c>
    </row>
    <row r="301" spans="5:18">
      <c r="E301" s="8" t="s">
        <v>681</v>
      </c>
      <c r="F301" s="10" t="s">
        <v>682</v>
      </c>
      <c r="G301" s="10">
        <v>82604</v>
      </c>
      <c r="H301" s="10">
        <v>42.83</v>
      </c>
      <c r="I301" s="10">
        <v>-106.32</v>
      </c>
      <c r="J301" s="10" t="s">
        <v>335</v>
      </c>
      <c r="K301" s="10" t="s">
        <v>337</v>
      </c>
      <c r="L301" s="10">
        <v>19989</v>
      </c>
      <c r="M301" s="27">
        <f t="shared" si="6"/>
        <v>1491.6560921331052</v>
      </c>
      <c r="N301" s="33" t="s">
        <v>681</v>
      </c>
      <c r="O301" s="23" t="s">
        <v>682</v>
      </c>
      <c r="P301" s="31"/>
      <c r="Q301" s="31">
        <f>$B$5-Table1[[#This Row],[Latitude]]</f>
        <v>0.23000000000000398</v>
      </c>
      <c r="R301" s="31">
        <f>$B$6-Table1[[#This Row],[Longitude]]</f>
        <v>18.36</v>
      </c>
    </row>
    <row r="302" spans="5:18">
      <c r="E302" s="8" t="s">
        <v>683</v>
      </c>
      <c r="F302" s="10" t="s">
        <v>682</v>
      </c>
      <c r="G302" s="10">
        <v>82001</v>
      </c>
      <c r="H302" s="10">
        <v>41.14</v>
      </c>
      <c r="I302" s="10">
        <v>-104.79</v>
      </c>
      <c r="J302" s="10" t="s">
        <v>335</v>
      </c>
      <c r="K302" s="10" t="s">
        <v>337</v>
      </c>
      <c r="L302" s="10">
        <v>26842</v>
      </c>
      <c r="M302" s="27">
        <f t="shared" si="6"/>
        <v>1402.4094692615151</v>
      </c>
      <c r="N302" s="33" t="s">
        <v>683</v>
      </c>
      <c r="O302" s="23" t="s">
        <v>682</v>
      </c>
      <c r="P302" s="31"/>
      <c r="Q302" s="31">
        <f>$B$5-Table1[[#This Row],[Latitude]]</f>
        <v>1.9200000000000017</v>
      </c>
      <c r="R302" s="31">
        <f>$B$6-Table1[[#This Row],[Longitude]]</f>
        <v>16.830000000000013</v>
      </c>
    </row>
    <row r="303" spans="5:18">
      <c r="E303" s="8" t="s">
        <v>684</v>
      </c>
      <c r="F303" s="10" t="s">
        <v>682</v>
      </c>
      <c r="G303" s="10">
        <v>82520</v>
      </c>
      <c r="H303" s="10">
        <v>42.83</v>
      </c>
      <c r="I303" s="10">
        <v>-108.72</v>
      </c>
      <c r="J303" s="10" t="s">
        <v>335</v>
      </c>
      <c r="K303" s="10" t="s">
        <v>337</v>
      </c>
      <c r="L303" s="10">
        <v>9746</v>
      </c>
      <c r="M303" s="27">
        <f t="shared" si="6"/>
        <v>1685.6447593417079</v>
      </c>
      <c r="N303" s="33" t="s">
        <v>684</v>
      </c>
      <c r="O303" s="23" t="s">
        <v>682</v>
      </c>
      <c r="P303" s="31"/>
      <c r="Q303" s="31">
        <f>$B$5-Table1[[#This Row],[Latitude]]</f>
        <v>0.23000000000000398</v>
      </c>
      <c r="R303" s="31">
        <f>$B$6-Table1[[#This Row],[Longitude]]</f>
        <v>20.760000000000005</v>
      </c>
    </row>
    <row r="304" spans="5:18">
      <c r="E304" s="21" t="s">
        <v>685</v>
      </c>
      <c r="F304" s="22" t="s">
        <v>682</v>
      </c>
      <c r="G304" s="22">
        <v>82801</v>
      </c>
      <c r="H304" s="22">
        <v>44.79</v>
      </c>
      <c r="I304" s="22">
        <v>-106.95</v>
      </c>
      <c r="J304" s="22" t="s">
        <v>335</v>
      </c>
      <c r="K304" s="22" t="s">
        <v>337</v>
      </c>
      <c r="L304" s="22">
        <v>20321</v>
      </c>
      <c r="M304" s="28">
        <f t="shared" si="6"/>
        <v>1529.4307384499446</v>
      </c>
      <c r="N304" s="38" t="s">
        <v>685</v>
      </c>
      <c r="O304" s="24" t="s">
        <v>682</v>
      </c>
      <c r="P304" s="32"/>
      <c r="Q304" s="32">
        <f>$B$5-Table1[[#This Row],[Latitude]]</f>
        <v>-1.7299999999999969</v>
      </c>
      <c r="R304" s="32">
        <f>$B$6-Table1[[#This Row],[Longitude]]</f>
        <v>18.990000000000009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30A0"/>
  </sheetPr>
  <dimension ref="A1:T37"/>
  <sheetViews>
    <sheetView topLeftCell="A7" zoomScale="90" zoomScaleNormal="90" workbookViewId="0">
      <selection activeCell="Q23" sqref="Q23"/>
    </sheetView>
  </sheetViews>
  <sheetFormatPr defaultRowHeight="14.4"/>
  <cols>
    <col min="1" max="1" width="13.77734375" bestFit="1" customWidth="1"/>
    <col min="2" max="2" width="14.109375" customWidth="1"/>
    <col min="4" max="4" width="16.77734375" bestFit="1" customWidth="1"/>
    <col min="5" max="5" width="18.21875" bestFit="1" customWidth="1"/>
    <col min="6" max="6" width="13.33203125" customWidth="1"/>
    <col min="16" max="16" width="16.88671875" bestFit="1" customWidth="1"/>
    <col min="17" max="17" width="17.21875" bestFit="1" customWidth="1"/>
  </cols>
  <sheetData>
    <row r="1" spans="1:20">
      <c r="A1" s="39" t="s">
        <v>721</v>
      </c>
      <c r="B1" s="41" t="str">
        <f>'Gale Dash'!G16</f>
        <v>Milwaukee</v>
      </c>
    </row>
    <row r="2" spans="1:20">
      <c r="A2" s="42" t="s">
        <v>720</v>
      </c>
      <c r="B2" s="44" t="str">
        <f>VLOOKUP('Gale Dash'!E16,stateabreviation,2)</f>
        <v>WI</v>
      </c>
    </row>
    <row r="3" spans="1:20">
      <c r="A3" s="42" t="s">
        <v>737</v>
      </c>
      <c r="B3" s="44">
        <f>'Gale Dash'!D19</f>
        <v>42979</v>
      </c>
    </row>
    <row r="4" spans="1:20">
      <c r="A4" s="42" t="s">
        <v>745</v>
      </c>
      <c r="B4" s="44">
        <f t="array" ref="B4">INDEX(Table1[[City]:[Zipcode]],MATCH(OptimalCities!B1&amp;OptimalCities!B2,Table1[City]&amp;Table1[State],0),3)</f>
        <v>53215</v>
      </c>
    </row>
    <row r="5" spans="1:20" ht="15" thickBot="1">
      <c r="A5" s="45" t="s">
        <v>739</v>
      </c>
      <c r="B5" s="47" t="str">
        <f>winddirection</f>
        <v>SW</v>
      </c>
      <c r="H5" t="s">
        <v>746</v>
      </c>
      <c r="Q5" t="s">
        <v>743</v>
      </c>
      <c r="R5" t="s">
        <v>339</v>
      </c>
      <c r="S5" t="s">
        <v>744</v>
      </c>
      <c r="T5" t="s">
        <v>747</v>
      </c>
    </row>
    <row r="6" spans="1:20">
      <c r="A6" t="s">
        <v>729</v>
      </c>
      <c r="D6" t="s">
        <v>740</v>
      </c>
      <c r="E6" t="s">
        <v>741</v>
      </c>
      <c r="H6" t="s">
        <v>701</v>
      </c>
      <c r="I6" t="s">
        <v>534</v>
      </c>
      <c r="J6" t="s">
        <v>735</v>
      </c>
      <c r="K6" t="s">
        <v>732</v>
      </c>
      <c r="L6" t="s">
        <v>702</v>
      </c>
      <c r="M6" t="s">
        <v>736</v>
      </c>
      <c r="N6" t="s">
        <v>734</v>
      </c>
      <c r="O6" t="s">
        <v>733</v>
      </c>
      <c r="P6" t="s">
        <v>742</v>
      </c>
      <c r="Q6" s="51" t="str">
        <f>B1</f>
        <v>Milwaukee</v>
      </c>
      <c r="R6" s="51" t="str">
        <f>B2</f>
        <v>WI</v>
      </c>
      <c r="S6" s="51">
        <f>B4</f>
        <v>53215</v>
      </c>
    </row>
    <row r="7" spans="1:20">
      <c r="A7" s="48">
        <f>GeoData!B9</f>
        <v>115.36014869924843</v>
      </c>
      <c r="B7" t="str">
        <f>GeoData!C9</f>
        <v>MADISON</v>
      </c>
      <c r="C7" t="str">
        <f>GeoData!D9</f>
        <v>WI</v>
      </c>
      <c r="D7">
        <f>VLOOKUP(A7,Table1[[Distance]:[Longitude2]],5,FALSE)</f>
        <v>-9.9999999999980105E-3</v>
      </c>
      <c r="E7">
        <f>VLOOKUP(A7,Table1[[Distance]:[Longitude2]],6,FALSE)</f>
        <v>1.4200000000000017</v>
      </c>
      <c r="F7" t="str">
        <f>B7</f>
        <v>MADISON</v>
      </c>
      <c r="G7" t="str">
        <f>C7</f>
        <v>WI</v>
      </c>
      <c r="H7" s="49">
        <f>IF(AND($B$5=H$6,(OR(AND($D7&gt;0,$E7&gt;0),AND($D7&gt;0,$E7&lt;0)))),1,0)</f>
        <v>0</v>
      </c>
      <c r="I7" s="49">
        <f>IF(AND($B$5=I$6,(OR(AND($D7&gt;0,$E7&gt;0)))),1,0)</f>
        <v>0</v>
      </c>
      <c r="J7" s="49">
        <f>IF(AND($B$5=J$6,(OR(AND($D7&lt;0,$E7&gt;0),AND($D7&gt;0,$E7&gt;0)))),1,0)</f>
        <v>0</v>
      </c>
      <c r="K7" s="49">
        <f>IF(AND($B$5=K$6,(OR(AND($D7&lt;0,$E7&gt;0)))),1,0)</f>
        <v>0</v>
      </c>
      <c r="L7" s="49">
        <f>IF(AND($B$5=L$6,(OR(AND($D7&lt;0,$E7&gt;0),AND($D7&lt;0,$E7&lt;0)))),1,0)</f>
        <v>0</v>
      </c>
      <c r="M7" s="49">
        <f>IF(AND($B$5=M$6,(OR(AND($D7&lt;0,$E7&lt;0)))),1,0)</f>
        <v>0</v>
      </c>
      <c r="N7" s="49">
        <f>IF(AND($B$5=N$6,(OR(AND($D7&lt;0,$E7&lt;0),AND($D7&gt;0,$E7&lt;0)))),1,0)</f>
        <v>0</v>
      </c>
      <c r="O7" s="49">
        <f>IF(AND($B$5=O$6,(OR(AND($D7&gt;0,$E7&lt;0)))),1,0)</f>
        <v>0</v>
      </c>
      <c r="P7">
        <f>SUM(H7:O7)</f>
        <v>0</v>
      </c>
      <c r="Q7" s="50" t="str">
        <f>IF(P7=1,B7,"")</f>
        <v/>
      </c>
      <c r="R7" s="50" t="str">
        <f>IF(P7=1,C7,"")</f>
        <v/>
      </c>
      <c r="S7" s="50"/>
      <c r="T7" t="str">
        <f t="array" ref="T7">_xlfn.IFNA(INDEX(Table1[[Distance]:[State2]],MATCH(OptimalCities!Q7&amp;OptimalCities!R7,Table1[City2]&amp;Table1[State2],0),1),"")</f>
        <v/>
      </c>
    </row>
    <row r="8" spans="1:20">
      <c r="A8" s="48">
        <f>GeoData!B10</f>
        <v>117.89225206292508</v>
      </c>
      <c r="B8" t="str">
        <f>GeoData!C10</f>
        <v>ELK GROVE VILLAGE</v>
      </c>
      <c r="C8" t="str">
        <f>GeoData!D10</f>
        <v>IL</v>
      </c>
      <c r="D8">
        <f>VLOOKUP(A8,Table1[[Distance]:[Longitude2]],5,FALSE)</f>
        <v>1.0600000000000023</v>
      </c>
      <c r="E8">
        <f>VLOOKUP(A8,Table1[[Distance]:[Longitude2]],6,FALSE)</f>
        <v>3.0000000000001137E-2</v>
      </c>
      <c r="F8" t="str">
        <f t="shared" ref="F8:F35" si="0">B8</f>
        <v>ELK GROVE VILLAGE</v>
      </c>
      <c r="G8" t="str">
        <f t="shared" ref="G8:G35" si="1">C8</f>
        <v>IL</v>
      </c>
      <c r="H8" s="49">
        <f t="shared" ref="H8:H35" si="2">IF(AND($B$5=H$6,(OR(AND($D8&gt;0,$E8&gt;0),AND($D8&gt;0,$E8&lt;0)))),1,0)</f>
        <v>0</v>
      </c>
      <c r="I8" s="49">
        <f t="shared" ref="I8:I35" si="3">IF(AND($B$5=I$6,(OR(AND($D8&gt;0,$E8&gt;0)))),1,0)</f>
        <v>0</v>
      </c>
      <c r="J8" s="49">
        <f t="shared" ref="J8:J35" si="4">IF(AND($B$5=J$6,(OR(AND($D8&lt;0,$E8&gt;0),AND($D8&gt;0,$E8&gt;0)))),1,0)</f>
        <v>0</v>
      </c>
      <c r="K8" s="49">
        <f t="shared" ref="K8:K35" si="5">IF(AND($B$5=K$6,(OR(AND($D8&lt;0,$E8&gt;0)))),1,0)</f>
        <v>0</v>
      </c>
      <c r="L8" s="49">
        <f t="shared" ref="L8:L35" si="6">IF(AND($B$5=L$6,(OR(AND($D8&lt;0,$E8&gt;0),AND($D8&lt;0,$E8&lt;0)))),1,0)</f>
        <v>0</v>
      </c>
      <c r="M8" s="49">
        <f t="shared" ref="M8:M35" si="7">IF(AND($B$5=M$6,(OR(AND($D8&lt;0,$E8&lt;0)))),1,0)</f>
        <v>0</v>
      </c>
      <c r="N8" s="49">
        <f t="shared" ref="N8:N35" si="8">IF(AND($B$5=N$6,(OR(AND($D8&lt;0,$E8&lt;0),AND($D8&gt;0,$E8&lt;0)))),1,0)</f>
        <v>0</v>
      </c>
      <c r="O8" s="49">
        <f t="shared" ref="O8:O35" si="9">IF(AND($B$5=O$6,(OR(AND($D8&gt;0,$E8&lt;0)))),1,0)</f>
        <v>0</v>
      </c>
      <c r="P8">
        <f t="shared" ref="P8:P35" si="10">SUM(H8:O8)</f>
        <v>0</v>
      </c>
      <c r="Q8" s="50" t="str">
        <f t="shared" ref="Q8:Q35" si="11">IF(P8=1,B8,"")</f>
        <v/>
      </c>
      <c r="R8" s="50" t="str">
        <f t="shared" ref="R8:R35" si="12">IF(P8=1,C8,"")</f>
        <v/>
      </c>
      <c r="S8" s="50" t="str">
        <f t="array" ref="S8">_xlfn.IFNA(INDEX(Table1[[City]:[Zipcode]],MATCH(OptimalCities!Q8&amp;OptimalCities!R8,Table1[City]&amp;Table1[State],0),3),"")</f>
        <v/>
      </c>
      <c r="T8" t="str">
        <f t="array" ref="T8">_xlfn.IFNA(INDEX(Table1[[Distance]:[State2]],MATCH(OptimalCities!Q8&amp;OptimalCities!R8,Table1[City2]&amp;Table1[State2],0),1),"")</f>
        <v/>
      </c>
    </row>
    <row r="9" spans="1:20">
      <c r="A9" s="48">
        <f>GeoData!B11</f>
        <v>125.71967440954941</v>
      </c>
      <c r="B9" t="str">
        <f>GeoData!C11</f>
        <v>ROCKFORD</v>
      </c>
      <c r="C9" t="str">
        <f>GeoData!D11</f>
        <v>IL</v>
      </c>
      <c r="D9">
        <f>VLOOKUP(A9,Table1[[Distance]:[Longitude2]],5,FALSE)</f>
        <v>0.78999999999999915</v>
      </c>
      <c r="E9">
        <f>VLOOKUP(A9,Table1[[Distance]:[Longitude2]],6,FALSE)</f>
        <v>1.1000000000000085</v>
      </c>
      <c r="F9" t="str">
        <f t="shared" si="0"/>
        <v>ROCKFORD</v>
      </c>
      <c r="G9" t="str">
        <f t="shared" si="1"/>
        <v>IL</v>
      </c>
      <c r="H9" s="49">
        <f t="shared" si="2"/>
        <v>0</v>
      </c>
      <c r="I9" s="49">
        <f t="shared" si="3"/>
        <v>0</v>
      </c>
      <c r="J9" s="49">
        <f t="shared" si="4"/>
        <v>0</v>
      </c>
      <c r="K9" s="49">
        <f t="shared" si="5"/>
        <v>0</v>
      </c>
      <c r="L9" s="49">
        <f t="shared" si="6"/>
        <v>0</v>
      </c>
      <c r="M9" s="49">
        <f t="shared" si="7"/>
        <v>0</v>
      </c>
      <c r="N9" s="49">
        <f t="shared" si="8"/>
        <v>0</v>
      </c>
      <c r="O9" s="49">
        <f t="shared" si="9"/>
        <v>0</v>
      </c>
      <c r="P9">
        <f t="shared" si="10"/>
        <v>0</v>
      </c>
      <c r="Q9" s="50" t="str">
        <f t="shared" si="11"/>
        <v/>
      </c>
      <c r="R9" s="50" t="str">
        <f t="shared" si="12"/>
        <v/>
      </c>
      <c r="S9" s="50" t="str">
        <f t="array" ref="S9">_xlfn.IFNA(INDEX(Table1[[City]:[Zipcode]],MATCH(OptimalCities!Q9&amp;OptimalCities!R9,Table1[City]&amp;Table1[State],0),3),"")</f>
        <v/>
      </c>
      <c r="T9" t="str">
        <f t="array" ref="T9">_xlfn.IFNA(INDEX(Table1[[Distance]:[State2]],MATCH(OptimalCities!Q9&amp;OptimalCities!R9,Table1[City2]&amp;Table1[State2],0),1),"")</f>
        <v/>
      </c>
    </row>
    <row r="10" spans="1:20">
      <c r="A10" s="48">
        <f>GeoData!B12</f>
        <v>139.87822493613766</v>
      </c>
      <c r="B10" t="str">
        <f>GeoData!C12</f>
        <v>MUSKEGON</v>
      </c>
      <c r="C10" t="str">
        <f>GeoData!D12</f>
        <v>MI</v>
      </c>
      <c r="D10">
        <f>VLOOKUP(A10,Table1[[Distance]:[Longitude2]],5,FALSE)</f>
        <v>-0.15999999999999659</v>
      </c>
      <c r="E10">
        <f>VLOOKUP(A10,Table1[[Distance]:[Longitude2]],6,FALSE)</f>
        <v>-1.7099999999999937</v>
      </c>
      <c r="F10" t="str">
        <f t="shared" si="0"/>
        <v>MUSKEGON</v>
      </c>
      <c r="G10" t="str">
        <f t="shared" si="1"/>
        <v>MI</v>
      </c>
      <c r="H10" s="49">
        <f t="shared" si="2"/>
        <v>0</v>
      </c>
      <c r="I10" s="49">
        <f t="shared" si="3"/>
        <v>0</v>
      </c>
      <c r="J10" s="49">
        <f t="shared" si="4"/>
        <v>0</v>
      </c>
      <c r="K10" s="49">
        <f t="shared" si="5"/>
        <v>0</v>
      </c>
      <c r="L10" s="49">
        <f t="shared" si="6"/>
        <v>0</v>
      </c>
      <c r="M10" s="49">
        <f t="shared" si="7"/>
        <v>1</v>
      </c>
      <c r="N10" s="49">
        <f t="shared" si="8"/>
        <v>0</v>
      </c>
      <c r="O10" s="49">
        <f t="shared" si="9"/>
        <v>0</v>
      </c>
      <c r="P10">
        <f t="shared" si="10"/>
        <v>1</v>
      </c>
      <c r="Q10" s="50" t="str">
        <f t="shared" si="11"/>
        <v>MUSKEGON</v>
      </c>
      <c r="R10" s="50" t="str">
        <f t="shared" si="12"/>
        <v>MI</v>
      </c>
      <c r="S10" s="50">
        <f t="array" ref="S10">_xlfn.IFNA(INDEX(Table1[[City]:[Zipcode]],MATCH(OptimalCities!Q10&amp;OptimalCities!R10,Table1[City]&amp;Table1[State],0),3),"")</f>
        <v>49441</v>
      </c>
      <c r="T10">
        <f t="array" ref="T10">_xlfn.IFNA(INDEX(Table1[[Distance]:[State2]],MATCH(OptimalCities!Q10&amp;OptimalCities!R10,Table1[City2]&amp;Table1[State2],0),1),"")</f>
        <v>139.87822493613766</v>
      </c>
    </row>
    <row r="11" spans="1:20">
      <c r="A11" s="48">
        <f>GeoData!B13</f>
        <v>147.69303726353061</v>
      </c>
      <c r="B11" t="str">
        <f>GeoData!C13</f>
        <v>BURBANK</v>
      </c>
      <c r="C11" t="str">
        <f>GeoData!D13</f>
        <v>IL</v>
      </c>
      <c r="D11">
        <f>VLOOKUP(A11,Table1[[Distance]:[Longitude2]],5,FALSE)</f>
        <v>1.3200000000000003</v>
      </c>
      <c r="E11">
        <f>VLOOKUP(A11,Table1[[Distance]:[Longitude2]],6,FALSE)</f>
        <v>-0.19999999999998863</v>
      </c>
      <c r="F11" t="str">
        <f t="shared" si="0"/>
        <v>BURBANK</v>
      </c>
      <c r="G11" t="str">
        <f t="shared" si="1"/>
        <v>IL</v>
      </c>
      <c r="H11" s="49">
        <f t="shared" si="2"/>
        <v>0</v>
      </c>
      <c r="I11" s="49">
        <f t="shared" si="3"/>
        <v>0</v>
      </c>
      <c r="J11" s="49">
        <f t="shared" si="4"/>
        <v>0</v>
      </c>
      <c r="K11" s="49">
        <f t="shared" si="5"/>
        <v>0</v>
      </c>
      <c r="L11" s="49">
        <f t="shared" si="6"/>
        <v>0</v>
      </c>
      <c r="M11" s="49">
        <f t="shared" si="7"/>
        <v>0</v>
      </c>
      <c r="N11" s="49">
        <f t="shared" si="8"/>
        <v>0</v>
      </c>
      <c r="O11" s="49">
        <f t="shared" si="9"/>
        <v>0</v>
      </c>
      <c r="P11">
        <f t="shared" si="10"/>
        <v>0</v>
      </c>
      <c r="Q11" s="50" t="str">
        <f t="shared" si="11"/>
        <v/>
      </c>
      <c r="R11" s="50" t="str">
        <f t="shared" si="12"/>
        <v/>
      </c>
      <c r="S11" s="50" t="str">
        <f t="array" ref="S11">_xlfn.IFNA(INDEX(Table1[[City]:[Zipcode]],MATCH(OptimalCities!Q11&amp;OptimalCities!R11,Table1[City]&amp;Table1[State],0),3),"")</f>
        <v/>
      </c>
      <c r="T11" t="str">
        <f t="array" ref="T11">_xlfn.IFNA(INDEX(Table1[[Distance]:[State2]],MATCH(OptimalCities!Q11&amp;OptimalCities!R11,Table1[City2]&amp;Table1[State2],0),1),"")</f>
        <v/>
      </c>
    </row>
    <row r="12" spans="1:20">
      <c r="A12" s="48">
        <f>GeoData!B14</f>
        <v>162.3525287692222</v>
      </c>
      <c r="B12" t="str">
        <f>GeoData!C14</f>
        <v>GREEN BAY</v>
      </c>
      <c r="C12" t="str">
        <f>GeoData!D14</f>
        <v>WI</v>
      </c>
      <c r="D12">
        <f>VLOOKUP(A12,Table1[[Distance]:[Longitude2]],5,FALSE)</f>
        <v>-1.4600000000000009</v>
      </c>
      <c r="E12">
        <f>VLOOKUP(A12,Table1[[Distance]:[Longitude2]],6,FALSE)</f>
        <v>2.0000000000010232E-2</v>
      </c>
      <c r="F12" t="str">
        <f t="shared" si="0"/>
        <v>GREEN BAY</v>
      </c>
      <c r="G12" t="str">
        <f t="shared" si="1"/>
        <v>WI</v>
      </c>
      <c r="H12" s="49">
        <f t="shared" si="2"/>
        <v>0</v>
      </c>
      <c r="I12" s="49">
        <f t="shared" si="3"/>
        <v>0</v>
      </c>
      <c r="J12" s="49">
        <f t="shared" si="4"/>
        <v>0</v>
      </c>
      <c r="K12" s="49">
        <f t="shared" si="5"/>
        <v>0</v>
      </c>
      <c r="L12" s="49">
        <f t="shared" si="6"/>
        <v>0</v>
      </c>
      <c r="M12" s="49">
        <f t="shared" si="7"/>
        <v>0</v>
      </c>
      <c r="N12" s="49">
        <f t="shared" si="8"/>
        <v>0</v>
      </c>
      <c r="O12" s="49">
        <f t="shared" si="9"/>
        <v>0</v>
      </c>
      <c r="P12">
        <f t="shared" si="10"/>
        <v>0</v>
      </c>
      <c r="Q12" s="50" t="str">
        <f t="shared" si="11"/>
        <v/>
      </c>
      <c r="R12" s="50" t="str">
        <f t="shared" si="12"/>
        <v/>
      </c>
      <c r="S12" s="50" t="str">
        <f t="array" ref="S12">_xlfn.IFNA(INDEX(Table1[[City]:[Zipcode]],MATCH(OptimalCities!Q12&amp;OptimalCities!R12,Table1[City]&amp;Table1[State],0),3),"")</f>
        <v/>
      </c>
      <c r="T12" t="str">
        <f t="array" ref="T12">_xlfn.IFNA(INDEX(Table1[[Distance]:[State2]],MATCH(OptimalCities!Q12&amp;OptimalCities!R12,Table1[City2]&amp;Table1[State2],0),1),"")</f>
        <v/>
      </c>
    </row>
    <row r="13" spans="1:20">
      <c r="A13" s="48">
        <f>GeoData!B15</f>
        <v>174.1420222985472</v>
      </c>
      <c r="B13" t="str">
        <f>GeoData!C15</f>
        <v>HIGHLAND</v>
      </c>
      <c r="C13" t="str">
        <f>GeoData!D15</f>
        <v>IN</v>
      </c>
      <c r="D13">
        <f>VLOOKUP(A13,Table1[[Distance]:[Longitude2]],5,FALSE)</f>
        <v>1.5200000000000031</v>
      </c>
      <c r="E13">
        <f>VLOOKUP(A13,Table1[[Distance]:[Longitude2]],6,FALSE)</f>
        <v>-0.50999999999999091</v>
      </c>
      <c r="F13" t="str">
        <f t="shared" si="0"/>
        <v>HIGHLAND</v>
      </c>
      <c r="G13" t="str">
        <f t="shared" si="1"/>
        <v>IN</v>
      </c>
      <c r="H13" s="49">
        <f t="shared" si="2"/>
        <v>0</v>
      </c>
      <c r="I13" s="49">
        <f t="shared" si="3"/>
        <v>0</v>
      </c>
      <c r="J13" s="49">
        <f t="shared" si="4"/>
        <v>0</v>
      </c>
      <c r="K13" s="49">
        <f t="shared" si="5"/>
        <v>0</v>
      </c>
      <c r="L13" s="49">
        <f t="shared" si="6"/>
        <v>0</v>
      </c>
      <c r="M13" s="49">
        <f t="shared" si="7"/>
        <v>0</v>
      </c>
      <c r="N13" s="49">
        <f t="shared" si="8"/>
        <v>0</v>
      </c>
      <c r="O13" s="49">
        <f t="shared" si="9"/>
        <v>0</v>
      </c>
      <c r="P13">
        <f t="shared" si="10"/>
        <v>0</v>
      </c>
      <c r="Q13" s="50" t="str">
        <f t="shared" si="11"/>
        <v/>
      </c>
      <c r="R13" s="50" t="str">
        <f t="shared" si="12"/>
        <v/>
      </c>
      <c r="S13" s="50" t="str">
        <f t="array" ref="S13">_xlfn.IFNA(INDEX(Table1[[City]:[Zipcode]],MATCH(OptimalCities!Q13&amp;OptimalCities!R13,Table1[City]&amp;Table1[State],0),3),"")</f>
        <v/>
      </c>
      <c r="T13" t="str">
        <f t="array" ref="T13">_xlfn.IFNA(INDEX(Table1[[Distance]:[State2]],MATCH(OptimalCities!Q13&amp;OptimalCities!R13,Table1[City2]&amp;Table1[State2],0),1),"")</f>
        <v/>
      </c>
    </row>
    <row r="14" spans="1:20">
      <c r="A14" s="48">
        <f>GeoData!B16</f>
        <v>176.58321354289859</v>
      </c>
      <c r="B14" t="str">
        <f>GeoData!C16</f>
        <v>SAWYER</v>
      </c>
      <c r="C14" t="str">
        <f>GeoData!D16</f>
        <v>MI</v>
      </c>
      <c r="D14">
        <f>VLOOKUP(A14,Table1[[Distance]:[Longitude2]],5,FALSE)</f>
        <v>1.2000000000000028</v>
      </c>
      <c r="E14">
        <f>VLOOKUP(A14,Table1[[Distance]:[Longitude2]],6,FALSE)</f>
        <v>-1.4099999999999966</v>
      </c>
      <c r="F14" t="str">
        <f t="shared" si="0"/>
        <v>SAWYER</v>
      </c>
      <c r="G14" t="str">
        <f t="shared" si="1"/>
        <v>MI</v>
      </c>
      <c r="H14" s="49">
        <f t="shared" si="2"/>
        <v>0</v>
      </c>
      <c r="I14" s="49">
        <f t="shared" si="3"/>
        <v>0</v>
      </c>
      <c r="J14" s="49">
        <f t="shared" si="4"/>
        <v>0</v>
      </c>
      <c r="K14" s="49">
        <f t="shared" si="5"/>
        <v>0</v>
      </c>
      <c r="L14" s="49">
        <f t="shared" si="6"/>
        <v>0</v>
      </c>
      <c r="M14" s="49">
        <f t="shared" si="7"/>
        <v>0</v>
      </c>
      <c r="N14" s="49">
        <f t="shared" si="8"/>
        <v>0</v>
      </c>
      <c r="O14" s="49">
        <f t="shared" si="9"/>
        <v>0</v>
      </c>
      <c r="P14">
        <f t="shared" si="10"/>
        <v>0</v>
      </c>
      <c r="Q14" s="50" t="str">
        <f t="shared" si="11"/>
        <v/>
      </c>
      <c r="R14" s="50" t="str">
        <f t="shared" si="12"/>
        <v/>
      </c>
      <c r="S14" s="50" t="str">
        <f t="array" ref="S14">_xlfn.IFNA(INDEX(Table1[[City]:[Zipcode]],MATCH(OptimalCities!Q14&amp;OptimalCities!R14,Table1[City]&amp;Table1[State],0),3),"")</f>
        <v/>
      </c>
      <c r="T14" t="str">
        <f t="array" ref="T14">_xlfn.IFNA(INDEX(Table1[[Distance]:[State2]],MATCH(OptimalCities!Q14&amp;OptimalCities!R14,Table1[City2]&amp;Table1[State2],0),1),"")</f>
        <v/>
      </c>
    </row>
    <row r="15" spans="1:20">
      <c r="A15" s="48">
        <f>GeoData!B17</f>
        <v>188.14800099764415</v>
      </c>
      <c r="B15" t="str">
        <f>GeoData!C17</f>
        <v>GRAND RAPIDS</v>
      </c>
      <c r="C15" t="str">
        <f>GeoData!D17</f>
        <v>MI</v>
      </c>
      <c r="D15">
        <f>VLOOKUP(A15,Table1[[Distance]:[Longitude2]],5,FALSE)</f>
        <v>0.10000000000000142</v>
      </c>
      <c r="E15">
        <f>VLOOKUP(A15,Table1[[Distance]:[Longitude2]],6,FALSE)</f>
        <v>-2.3099999999999881</v>
      </c>
      <c r="F15" t="str">
        <f t="shared" si="0"/>
        <v>GRAND RAPIDS</v>
      </c>
      <c r="G15" t="str">
        <f t="shared" si="1"/>
        <v>MI</v>
      </c>
      <c r="H15" s="49">
        <f t="shared" si="2"/>
        <v>0</v>
      </c>
      <c r="I15" s="49">
        <f t="shared" si="3"/>
        <v>0</v>
      </c>
      <c r="J15" s="49">
        <f t="shared" si="4"/>
        <v>0</v>
      </c>
      <c r="K15" s="49">
        <f t="shared" si="5"/>
        <v>0</v>
      </c>
      <c r="L15" s="49">
        <f t="shared" si="6"/>
        <v>0</v>
      </c>
      <c r="M15" s="49">
        <f t="shared" si="7"/>
        <v>0</v>
      </c>
      <c r="N15" s="49">
        <f t="shared" si="8"/>
        <v>0</v>
      </c>
      <c r="O15" s="49">
        <f t="shared" si="9"/>
        <v>0</v>
      </c>
      <c r="P15">
        <f t="shared" si="10"/>
        <v>0</v>
      </c>
      <c r="Q15" s="50" t="str">
        <f t="shared" si="11"/>
        <v/>
      </c>
      <c r="R15" s="50" t="str">
        <f t="shared" si="12"/>
        <v/>
      </c>
      <c r="S15" s="50" t="str">
        <f t="array" ref="S15">_xlfn.IFNA(INDEX(Table1[[City]:[Zipcode]],MATCH(OptimalCities!Q15&amp;OptimalCities!R15,Table1[City]&amp;Table1[State],0),3),"")</f>
        <v/>
      </c>
      <c r="T15" t="str">
        <f t="array" ref="T15">_xlfn.IFNA(INDEX(Table1[[Distance]:[State2]],MATCH(OptimalCities!Q15&amp;OptimalCities!R15,Table1[City2]&amp;Table1[State2],0),1),"")</f>
        <v/>
      </c>
    </row>
    <row r="16" spans="1:20">
      <c r="A16" s="48">
        <f>GeoData!B18</f>
        <v>231.33005337497266</v>
      </c>
      <c r="B16" t="str">
        <f>GeoData!C18</f>
        <v>DUBUQUE</v>
      </c>
      <c r="C16" t="str">
        <f>GeoData!D18</f>
        <v>IA</v>
      </c>
      <c r="D16">
        <f>VLOOKUP(A16,Table1[[Distance]:[Longitude2]],5,FALSE)</f>
        <v>0.56000000000000227</v>
      </c>
      <c r="E16">
        <f>VLOOKUP(A16,Table1[[Distance]:[Longitude2]],6,FALSE)</f>
        <v>2.730000000000004</v>
      </c>
      <c r="F16" t="str">
        <f t="shared" si="0"/>
        <v>DUBUQUE</v>
      </c>
      <c r="G16" t="str">
        <f t="shared" si="1"/>
        <v>IA</v>
      </c>
      <c r="H16" s="49">
        <f t="shared" si="2"/>
        <v>0</v>
      </c>
      <c r="I16" s="49">
        <f t="shared" si="3"/>
        <v>0</v>
      </c>
      <c r="J16" s="49">
        <f t="shared" si="4"/>
        <v>0</v>
      </c>
      <c r="K16" s="49">
        <f t="shared" si="5"/>
        <v>0</v>
      </c>
      <c r="L16" s="49">
        <f t="shared" si="6"/>
        <v>0</v>
      </c>
      <c r="M16" s="49">
        <f t="shared" si="7"/>
        <v>0</v>
      </c>
      <c r="N16" s="49">
        <f t="shared" si="8"/>
        <v>0</v>
      </c>
      <c r="O16" s="49">
        <f t="shared" si="9"/>
        <v>0</v>
      </c>
      <c r="P16">
        <f t="shared" si="10"/>
        <v>0</v>
      </c>
      <c r="Q16" s="50" t="str">
        <f t="shared" si="11"/>
        <v/>
      </c>
      <c r="R16" s="50" t="str">
        <f t="shared" si="12"/>
        <v/>
      </c>
      <c r="S16" s="50" t="str">
        <f t="array" ref="S16">_xlfn.IFNA(INDEX(Table1[[City]:[Zipcode]],MATCH(OptimalCities!Q16&amp;OptimalCities!R16,Table1[City]&amp;Table1[State],0),3),"")</f>
        <v/>
      </c>
      <c r="T16" t="str">
        <f t="array" ref="T16">_xlfn.IFNA(INDEX(Table1[[Distance]:[State2]],MATCH(OptimalCities!Q16&amp;OptimalCities!R16,Table1[City2]&amp;Table1[State2],0),1),"")</f>
        <v/>
      </c>
    </row>
    <row r="17" spans="1:20">
      <c r="A17" s="48">
        <f>GeoData!B19</f>
        <v>271.75054196785703</v>
      </c>
      <c r="B17" t="str">
        <f>GeoData!C19</f>
        <v>MOLINE</v>
      </c>
      <c r="C17" t="str">
        <f>GeoData!D19</f>
        <v>IL</v>
      </c>
      <c r="D17">
        <f>VLOOKUP(A17,Table1[[Distance]:[Longitude2]],5,FALSE)</f>
        <v>1.5800000000000054</v>
      </c>
      <c r="E17">
        <f>VLOOKUP(A17,Table1[[Distance]:[Longitude2]],6,FALSE)</f>
        <v>2.5200000000000102</v>
      </c>
      <c r="F17" t="str">
        <f t="shared" si="0"/>
        <v>MOLINE</v>
      </c>
      <c r="G17" t="str">
        <f t="shared" si="1"/>
        <v>IL</v>
      </c>
      <c r="H17" s="49">
        <f t="shared" si="2"/>
        <v>0</v>
      </c>
      <c r="I17" s="49">
        <f t="shared" si="3"/>
        <v>0</v>
      </c>
      <c r="J17" s="49">
        <f t="shared" si="4"/>
        <v>0</v>
      </c>
      <c r="K17" s="49">
        <f t="shared" si="5"/>
        <v>0</v>
      </c>
      <c r="L17" s="49">
        <f t="shared" si="6"/>
        <v>0</v>
      </c>
      <c r="M17" s="49">
        <f t="shared" si="7"/>
        <v>0</v>
      </c>
      <c r="N17" s="49">
        <f t="shared" si="8"/>
        <v>0</v>
      </c>
      <c r="O17" s="49">
        <f t="shared" si="9"/>
        <v>0</v>
      </c>
      <c r="P17">
        <f t="shared" si="10"/>
        <v>0</v>
      </c>
      <c r="Q17" s="50" t="str">
        <f t="shared" si="11"/>
        <v/>
      </c>
      <c r="R17" s="50" t="str">
        <f t="shared" si="12"/>
        <v/>
      </c>
      <c r="S17" s="50" t="str">
        <f t="array" ref="S17">_xlfn.IFNA(INDEX(Table1[[City]:[Zipcode]],MATCH(OptimalCities!Q17&amp;OptimalCities!R17,Table1[City]&amp;Table1[State],0),3),"")</f>
        <v/>
      </c>
      <c r="T17" t="str">
        <f t="array" ref="T17">_xlfn.IFNA(INDEX(Table1[[Distance]:[State2]],MATCH(OptimalCities!Q17&amp;OptimalCities!R17,Table1[City2]&amp;Table1[State2],0),1),"")</f>
        <v/>
      </c>
    </row>
    <row r="18" spans="1:20">
      <c r="A18" s="48">
        <f>GeoData!B20</f>
        <v>277.18588268279342</v>
      </c>
      <c r="B18" t="str">
        <f>GeoData!C20</f>
        <v>LA CROSSE</v>
      </c>
      <c r="C18" t="str">
        <f>GeoData!D20</f>
        <v>WI</v>
      </c>
      <c r="D18">
        <f>VLOOKUP(A18,Table1[[Distance]:[Longitude2]],5,FALSE)</f>
        <v>-0.75999999999999801</v>
      </c>
      <c r="E18">
        <f>VLOOKUP(A18,Table1[[Distance]:[Longitude2]],6,FALSE)</f>
        <v>3.2700000000000102</v>
      </c>
      <c r="F18" t="str">
        <f t="shared" si="0"/>
        <v>LA CROSSE</v>
      </c>
      <c r="G18" t="str">
        <f t="shared" si="1"/>
        <v>WI</v>
      </c>
      <c r="H18" s="49">
        <f t="shared" si="2"/>
        <v>0</v>
      </c>
      <c r="I18" s="49">
        <f t="shared" si="3"/>
        <v>0</v>
      </c>
      <c r="J18" s="49">
        <f t="shared" si="4"/>
        <v>0</v>
      </c>
      <c r="K18" s="49">
        <f t="shared" si="5"/>
        <v>0</v>
      </c>
      <c r="L18" s="49">
        <f t="shared" si="6"/>
        <v>0</v>
      </c>
      <c r="M18" s="49">
        <f t="shared" si="7"/>
        <v>0</v>
      </c>
      <c r="N18" s="49">
        <f t="shared" si="8"/>
        <v>0</v>
      </c>
      <c r="O18" s="49">
        <f t="shared" si="9"/>
        <v>0</v>
      </c>
      <c r="P18">
        <f t="shared" si="10"/>
        <v>0</v>
      </c>
      <c r="Q18" s="50" t="str">
        <f t="shared" si="11"/>
        <v/>
      </c>
      <c r="R18" s="50" t="str">
        <f t="shared" si="12"/>
        <v/>
      </c>
      <c r="S18" s="50" t="str">
        <f t="array" ref="S18">_xlfn.IFNA(INDEX(Table1[[City]:[Zipcode]],MATCH(OptimalCities!Q18&amp;OptimalCities!R18,Table1[City]&amp;Table1[State],0),3),"")</f>
        <v/>
      </c>
      <c r="T18" t="str">
        <f t="array" ref="T18">_xlfn.IFNA(INDEX(Table1[[Distance]:[State2]],MATCH(OptimalCities!Q18&amp;OptimalCities!R18,Table1[City2]&amp;Table1[State2],0),1),"")</f>
        <v/>
      </c>
    </row>
    <row r="19" spans="1:20">
      <c r="A19" s="48">
        <f>GeoData!B21</f>
        <v>280.70016351376341</v>
      </c>
      <c r="B19" t="str">
        <f>GeoData!C21</f>
        <v>LANSING</v>
      </c>
      <c r="C19" t="str">
        <f>GeoData!D21</f>
        <v>MI</v>
      </c>
      <c r="D19">
        <f>VLOOKUP(A19,Table1[[Distance]:[Longitude2]],5,FALSE)</f>
        <v>0.35999999999999943</v>
      </c>
      <c r="E19">
        <f>VLOOKUP(A19,Table1[[Distance]:[Longitude2]],6,FALSE)</f>
        <v>-3.4099999999999966</v>
      </c>
      <c r="F19" t="str">
        <f t="shared" si="0"/>
        <v>LANSING</v>
      </c>
      <c r="G19" t="str">
        <f t="shared" si="1"/>
        <v>MI</v>
      </c>
      <c r="H19" s="49">
        <f t="shared" si="2"/>
        <v>0</v>
      </c>
      <c r="I19" s="49">
        <f t="shared" si="3"/>
        <v>0</v>
      </c>
      <c r="J19" s="49">
        <f t="shared" si="4"/>
        <v>0</v>
      </c>
      <c r="K19" s="49">
        <f t="shared" si="5"/>
        <v>0</v>
      </c>
      <c r="L19" s="49">
        <f t="shared" si="6"/>
        <v>0</v>
      </c>
      <c r="M19" s="49">
        <f t="shared" si="7"/>
        <v>0</v>
      </c>
      <c r="N19" s="49">
        <f t="shared" si="8"/>
        <v>0</v>
      </c>
      <c r="O19" s="49">
        <f t="shared" si="9"/>
        <v>0</v>
      </c>
      <c r="P19">
        <f t="shared" si="10"/>
        <v>0</v>
      </c>
      <c r="Q19" s="50" t="str">
        <f t="shared" si="11"/>
        <v/>
      </c>
      <c r="R19" s="50" t="str">
        <f t="shared" si="12"/>
        <v/>
      </c>
      <c r="S19" s="50" t="str">
        <f t="array" ref="S19">_xlfn.IFNA(INDEX(Table1[[City]:[Zipcode]],MATCH(OptimalCities!Q19&amp;OptimalCities!R19,Table1[City]&amp;Table1[State],0),3),"")</f>
        <v/>
      </c>
      <c r="T19" t="str">
        <f t="array" ref="T19">_xlfn.IFNA(INDEX(Table1[[Distance]:[State2]],MATCH(OptimalCities!Q19&amp;OptimalCities!R19,Table1[City2]&amp;Table1[State2],0),1),"")</f>
        <v/>
      </c>
    </row>
    <row r="20" spans="1:20">
      <c r="A20" s="48">
        <f>GeoData!B22</f>
        <v>291.48550794775173</v>
      </c>
      <c r="B20" t="str">
        <f>GeoData!C22</f>
        <v>PEORIA</v>
      </c>
      <c r="C20" t="str">
        <f>GeoData!D22</f>
        <v>IL</v>
      </c>
      <c r="D20">
        <f>VLOOKUP(A20,Table1[[Distance]:[Longitude2]],5,FALSE)</f>
        <v>2.3200000000000003</v>
      </c>
      <c r="E20">
        <f>VLOOKUP(A20,Table1[[Distance]:[Longitude2]],6,FALSE)</f>
        <v>1.6400000000000006</v>
      </c>
      <c r="F20" t="str">
        <f t="shared" si="0"/>
        <v>PEORIA</v>
      </c>
      <c r="G20" t="str">
        <f t="shared" si="1"/>
        <v>IL</v>
      </c>
      <c r="H20" s="49">
        <f t="shared" si="2"/>
        <v>0</v>
      </c>
      <c r="I20" s="49">
        <f t="shared" si="3"/>
        <v>0</v>
      </c>
      <c r="J20" s="49">
        <f t="shared" si="4"/>
        <v>0</v>
      </c>
      <c r="K20" s="49">
        <f t="shared" si="5"/>
        <v>0</v>
      </c>
      <c r="L20" s="49">
        <f t="shared" si="6"/>
        <v>0</v>
      </c>
      <c r="M20" s="49">
        <f t="shared" si="7"/>
        <v>0</v>
      </c>
      <c r="N20" s="49">
        <f t="shared" si="8"/>
        <v>0</v>
      </c>
      <c r="O20" s="49">
        <f t="shared" si="9"/>
        <v>0</v>
      </c>
      <c r="P20">
        <f t="shared" si="10"/>
        <v>0</v>
      </c>
      <c r="Q20" s="50" t="str">
        <f t="shared" si="11"/>
        <v/>
      </c>
      <c r="R20" s="50" t="str">
        <f t="shared" si="12"/>
        <v/>
      </c>
      <c r="S20" s="50" t="str">
        <f t="array" ref="S20">_xlfn.IFNA(INDEX(Table1[[City]:[Zipcode]],MATCH(OptimalCities!Q20&amp;OptimalCities!R20,Table1[City]&amp;Table1[State],0),3),"")</f>
        <v/>
      </c>
      <c r="T20" t="str">
        <f t="array" ref="T20">_xlfn.IFNA(INDEX(Table1[[Distance]:[State2]],MATCH(OptimalCities!Q20&amp;OptimalCities!R20,Table1[City2]&amp;Table1[State2],0),1),"")</f>
        <v/>
      </c>
    </row>
    <row r="21" spans="1:20">
      <c r="A21" s="48">
        <f>GeoData!B23</f>
        <v>301.14572277549524</v>
      </c>
      <c r="B21" t="str">
        <f>GeoData!C23</f>
        <v>PERU</v>
      </c>
      <c r="C21" t="str">
        <f>GeoData!D23</f>
        <v>IN</v>
      </c>
      <c r="D21">
        <f>VLOOKUP(A21,Table1[[Distance]:[Longitude2]],5,FALSE)</f>
        <v>2.3100000000000023</v>
      </c>
      <c r="E21">
        <f>VLOOKUP(A21,Table1[[Distance]:[Longitude2]],6,FALSE)</f>
        <v>-1.8999999999999915</v>
      </c>
      <c r="F21" t="str">
        <f t="shared" si="0"/>
        <v>PERU</v>
      </c>
      <c r="G21" t="str">
        <f t="shared" si="1"/>
        <v>IN</v>
      </c>
      <c r="H21" s="49">
        <f t="shared" si="2"/>
        <v>0</v>
      </c>
      <c r="I21" s="49">
        <f t="shared" si="3"/>
        <v>0</v>
      </c>
      <c r="J21" s="49">
        <f t="shared" si="4"/>
        <v>0</v>
      </c>
      <c r="K21" s="49">
        <f t="shared" si="5"/>
        <v>0</v>
      </c>
      <c r="L21" s="49">
        <f t="shared" si="6"/>
        <v>0</v>
      </c>
      <c r="M21" s="49">
        <f t="shared" si="7"/>
        <v>0</v>
      </c>
      <c r="N21" s="49">
        <f t="shared" si="8"/>
        <v>0</v>
      </c>
      <c r="O21" s="49">
        <f t="shared" si="9"/>
        <v>0</v>
      </c>
      <c r="P21">
        <f t="shared" si="10"/>
        <v>0</v>
      </c>
      <c r="Q21" s="50" t="str">
        <f t="shared" si="11"/>
        <v/>
      </c>
      <c r="R21" s="50" t="str">
        <f t="shared" si="12"/>
        <v/>
      </c>
      <c r="S21" s="50" t="str">
        <f t="array" ref="S21">_xlfn.IFNA(INDEX(Table1[[City]:[Zipcode]],MATCH(OptimalCities!Q21&amp;OptimalCities!R21,Table1[City]&amp;Table1[State],0),3),"")</f>
        <v/>
      </c>
      <c r="T21" t="str">
        <f t="array" ref="T21">_xlfn.IFNA(INDEX(Table1[[Distance]:[State2]],MATCH(OptimalCities!Q21&amp;OptimalCities!R21,Table1[City2]&amp;Table1[State2],0),1),"")</f>
        <v/>
      </c>
    </row>
    <row r="22" spans="1:20">
      <c r="A22" s="48">
        <f>GeoData!B24</f>
        <v>307.30310755503399</v>
      </c>
      <c r="B22" t="str">
        <f>GeoData!C24</f>
        <v>RANTOUL</v>
      </c>
      <c r="C22" t="str">
        <f>GeoData!D24</f>
        <v>IL</v>
      </c>
      <c r="D22">
        <f>VLOOKUP(A22,Table1[[Distance]:[Longitude2]],5,FALSE)</f>
        <v>2.7600000000000051</v>
      </c>
      <c r="E22">
        <f>VLOOKUP(A22,Table1[[Distance]:[Longitude2]],6,FALSE)</f>
        <v>0.19000000000001194</v>
      </c>
      <c r="F22" t="str">
        <f t="shared" si="0"/>
        <v>RANTOUL</v>
      </c>
      <c r="G22" t="str">
        <f t="shared" si="1"/>
        <v>IL</v>
      </c>
      <c r="H22" s="49">
        <f t="shared" si="2"/>
        <v>0</v>
      </c>
      <c r="I22" s="49">
        <f t="shared" si="3"/>
        <v>0</v>
      </c>
      <c r="J22" s="49">
        <f t="shared" si="4"/>
        <v>0</v>
      </c>
      <c r="K22" s="49">
        <f t="shared" si="5"/>
        <v>0</v>
      </c>
      <c r="L22" s="49">
        <f t="shared" si="6"/>
        <v>0</v>
      </c>
      <c r="M22" s="49">
        <f t="shared" si="7"/>
        <v>0</v>
      </c>
      <c r="N22" s="49">
        <f t="shared" si="8"/>
        <v>0</v>
      </c>
      <c r="O22" s="49">
        <f t="shared" si="9"/>
        <v>0</v>
      </c>
      <c r="P22">
        <f t="shared" si="10"/>
        <v>0</v>
      </c>
      <c r="Q22" s="50" t="str">
        <f t="shared" si="11"/>
        <v/>
      </c>
      <c r="R22" s="50" t="str">
        <f t="shared" si="12"/>
        <v/>
      </c>
      <c r="S22" s="50" t="str">
        <f t="array" ref="S22">_xlfn.IFNA(INDEX(Table1[[City]:[Zipcode]],MATCH(OptimalCities!Q22&amp;OptimalCities!R22,Table1[City]&amp;Table1[State],0),3),"")</f>
        <v/>
      </c>
      <c r="T22" t="str">
        <f t="array" ref="T22">_xlfn.IFNA(INDEX(Table1[[Distance]:[State2]],MATCH(OptimalCities!Q22&amp;OptimalCities!R22,Table1[City2]&amp;Table1[State2],0),1),"")</f>
        <v/>
      </c>
    </row>
    <row r="23" spans="1:20">
      <c r="A23" s="48">
        <f>GeoData!B25</f>
        <v>321.73903904579288</v>
      </c>
      <c r="B23" t="str">
        <f>GeoData!C25</f>
        <v>FORT WAYNE</v>
      </c>
      <c r="C23" t="str">
        <f>GeoData!D25</f>
        <v>IN</v>
      </c>
      <c r="D23">
        <f>VLOOKUP(A23,Table1[[Distance]:[Longitude2]],5,FALSE)</f>
        <v>1.990000000000002</v>
      </c>
      <c r="E23">
        <f>VLOOKUP(A23,Table1[[Distance]:[Longitude2]],6,FALSE)</f>
        <v>-2.8299999999999983</v>
      </c>
      <c r="F23" t="str">
        <f t="shared" si="0"/>
        <v>FORT WAYNE</v>
      </c>
      <c r="G23" t="str">
        <f t="shared" si="1"/>
        <v>IN</v>
      </c>
      <c r="H23" s="49">
        <f t="shared" si="2"/>
        <v>0</v>
      </c>
      <c r="I23" s="49">
        <f t="shared" si="3"/>
        <v>0</v>
      </c>
      <c r="J23" s="49">
        <f t="shared" si="4"/>
        <v>0</v>
      </c>
      <c r="K23" s="49">
        <f t="shared" si="5"/>
        <v>0</v>
      </c>
      <c r="L23" s="49">
        <f t="shared" si="6"/>
        <v>0</v>
      </c>
      <c r="M23" s="49">
        <f t="shared" si="7"/>
        <v>0</v>
      </c>
      <c r="N23" s="49">
        <f t="shared" si="8"/>
        <v>0</v>
      </c>
      <c r="O23" s="49">
        <f t="shared" si="9"/>
        <v>0</v>
      </c>
      <c r="P23">
        <f t="shared" si="10"/>
        <v>0</v>
      </c>
      <c r="Q23" s="50" t="str">
        <f t="shared" si="11"/>
        <v/>
      </c>
      <c r="R23" s="50" t="str">
        <f t="shared" si="12"/>
        <v/>
      </c>
      <c r="S23" s="50" t="str">
        <f t="array" ref="S23">_xlfn.IFNA(INDEX(Table1[[City]:[Zipcode]],MATCH(OptimalCities!Q23&amp;OptimalCities!R23,Table1[City]&amp;Table1[State],0),3),"")</f>
        <v/>
      </c>
      <c r="T23" t="str">
        <f t="array" ref="T23">_xlfn.IFNA(INDEX(Table1[[Distance]:[State2]],MATCH(OptimalCities!Q23&amp;OptimalCities!R23,Table1[City2]&amp;Table1[State2],0),1),"")</f>
        <v/>
      </c>
    </row>
    <row r="24" spans="1:20">
      <c r="A24" s="48">
        <f>GeoData!B26</f>
        <v>347.01335839697879</v>
      </c>
      <c r="B24" t="str">
        <f>GeoData!C26</f>
        <v>FLINT</v>
      </c>
      <c r="C24" t="str">
        <f>GeoData!D26</f>
        <v>MI</v>
      </c>
      <c r="D24">
        <f>VLOOKUP(A24,Table1[[Distance]:[Longitude2]],5,FALSE)</f>
        <v>3.9999999999999147E-2</v>
      </c>
      <c r="E24">
        <f>VLOOKUP(A24,Table1[[Distance]:[Longitude2]],6,FALSE)</f>
        <v>-4.269999999999996</v>
      </c>
      <c r="F24" t="str">
        <f t="shared" si="0"/>
        <v>FLINT</v>
      </c>
      <c r="G24" t="str">
        <f t="shared" si="1"/>
        <v>MI</v>
      </c>
      <c r="H24" s="49">
        <f t="shared" si="2"/>
        <v>0</v>
      </c>
      <c r="I24" s="49">
        <f t="shared" si="3"/>
        <v>0</v>
      </c>
      <c r="J24" s="49">
        <f t="shared" si="4"/>
        <v>0</v>
      </c>
      <c r="K24" s="49">
        <f t="shared" si="5"/>
        <v>0</v>
      </c>
      <c r="L24" s="49">
        <f t="shared" si="6"/>
        <v>0</v>
      </c>
      <c r="M24" s="49">
        <f t="shared" si="7"/>
        <v>0</v>
      </c>
      <c r="N24" s="49">
        <f t="shared" si="8"/>
        <v>0</v>
      </c>
      <c r="O24" s="49">
        <f t="shared" si="9"/>
        <v>0</v>
      </c>
      <c r="P24">
        <f t="shared" si="10"/>
        <v>0</v>
      </c>
      <c r="Q24" s="50" t="str">
        <f t="shared" si="11"/>
        <v/>
      </c>
      <c r="R24" s="50" t="str">
        <f t="shared" si="12"/>
        <v/>
      </c>
      <c r="S24" s="50" t="str">
        <f t="array" ref="S24">_xlfn.IFNA(INDEX(Table1[[City]:[Zipcode]],MATCH(OptimalCities!Q24&amp;OptimalCities!R24,Table1[City]&amp;Table1[State],0),3),"")</f>
        <v/>
      </c>
      <c r="T24" t="str">
        <f t="array" ref="T24">_xlfn.IFNA(INDEX(Table1[[Distance]:[State2]],MATCH(OptimalCities!Q24&amp;OptimalCities!R24,Table1[City2]&amp;Table1[State2],0),1),"")</f>
        <v/>
      </c>
    </row>
    <row r="25" spans="1:20">
      <c r="A25" s="48">
        <f>GeoData!B27</f>
        <v>363.82928007904269</v>
      </c>
      <c r="B25" t="str">
        <f>GeoData!C27</f>
        <v>WATERLOO</v>
      </c>
      <c r="C25" t="str">
        <f>GeoData!D27</f>
        <v>IA</v>
      </c>
      <c r="D25">
        <f>VLOOKUP(A25,Table1[[Distance]:[Longitude2]],5,FALSE)</f>
        <v>0.57000000000000028</v>
      </c>
      <c r="E25">
        <f>VLOOKUP(A25,Table1[[Distance]:[Longitude2]],6,FALSE)</f>
        <v>4.3900000000000006</v>
      </c>
      <c r="F25" t="str">
        <f t="shared" si="0"/>
        <v>WATERLOO</v>
      </c>
      <c r="G25" t="str">
        <f t="shared" si="1"/>
        <v>IA</v>
      </c>
      <c r="H25" s="49">
        <f t="shared" si="2"/>
        <v>0</v>
      </c>
      <c r="I25" s="49">
        <f t="shared" si="3"/>
        <v>0</v>
      </c>
      <c r="J25" s="49">
        <f t="shared" si="4"/>
        <v>0</v>
      </c>
      <c r="K25" s="49">
        <f t="shared" si="5"/>
        <v>0</v>
      </c>
      <c r="L25" s="49">
        <f t="shared" si="6"/>
        <v>0</v>
      </c>
      <c r="M25" s="49">
        <f t="shared" si="7"/>
        <v>0</v>
      </c>
      <c r="N25" s="49">
        <f t="shared" si="8"/>
        <v>0</v>
      </c>
      <c r="O25" s="49">
        <f t="shared" si="9"/>
        <v>0</v>
      </c>
      <c r="P25">
        <f t="shared" si="10"/>
        <v>0</v>
      </c>
      <c r="Q25" s="50" t="str">
        <f t="shared" si="11"/>
        <v/>
      </c>
      <c r="R25" s="50" t="str">
        <f t="shared" si="12"/>
        <v/>
      </c>
      <c r="S25" s="50" t="str">
        <f t="array" ref="S25">_xlfn.IFNA(INDEX(Table1[[City]:[Zipcode]],MATCH(OptimalCities!Q25&amp;OptimalCities!R25,Table1[City]&amp;Table1[State],0),3),"")</f>
        <v/>
      </c>
      <c r="T25" t="str">
        <f t="array" ref="T25">_xlfn.IFNA(INDEX(Table1[[Distance]:[State2]],MATCH(OptimalCities!Q25&amp;OptimalCities!R25,Table1[City2]&amp;Table1[State2],0),1),"")</f>
        <v/>
      </c>
    </row>
    <row r="26" spans="1:20">
      <c r="A26" s="48">
        <f>GeoData!B28</f>
        <v>378.53460029378641</v>
      </c>
      <c r="B26" t="str">
        <f>GeoData!C28</f>
        <v>ROCHESTER</v>
      </c>
      <c r="C26" t="str">
        <f>GeoData!D28</f>
        <v>MN</v>
      </c>
      <c r="D26">
        <f>VLOOKUP(A26,Table1[[Distance]:[Longitude2]],5,FALSE)</f>
        <v>-0.94999999999999574</v>
      </c>
      <c r="E26">
        <f>VLOOKUP(A26,Table1[[Distance]:[Longitude2]],6,FALSE)</f>
        <v>4.5100000000000051</v>
      </c>
      <c r="F26" t="str">
        <f t="shared" si="0"/>
        <v>ROCHESTER</v>
      </c>
      <c r="G26" t="str">
        <f t="shared" si="1"/>
        <v>MN</v>
      </c>
      <c r="H26" s="49">
        <f t="shared" si="2"/>
        <v>0</v>
      </c>
      <c r="I26" s="49">
        <f t="shared" si="3"/>
        <v>0</v>
      </c>
      <c r="J26" s="49">
        <f t="shared" si="4"/>
        <v>0</v>
      </c>
      <c r="K26" s="49">
        <f t="shared" si="5"/>
        <v>0</v>
      </c>
      <c r="L26" s="49">
        <f t="shared" si="6"/>
        <v>0</v>
      </c>
      <c r="M26" s="49">
        <f t="shared" si="7"/>
        <v>0</v>
      </c>
      <c r="N26" s="49">
        <f t="shared" si="8"/>
        <v>0</v>
      </c>
      <c r="O26" s="49">
        <f t="shared" si="9"/>
        <v>0</v>
      </c>
      <c r="P26">
        <f t="shared" si="10"/>
        <v>0</v>
      </c>
      <c r="Q26" s="50" t="str">
        <f t="shared" si="11"/>
        <v/>
      </c>
      <c r="R26" s="50" t="str">
        <f t="shared" si="12"/>
        <v/>
      </c>
      <c r="S26" s="50" t="str">
        <f t="array" ref="S26">_xlfn.IFNA(INDEX(Table1[[City]:[Zipcode]],MATCH(OptimalCities!Q26&amp;OptimalCities!R26,Table1[City]&amp;Table1[State],0),3),"")</f>
        <v/>
      </c>
      <c r="T26" t="str">
        <f t="array" ref="T26">_xlfn.IFNA(INDEX(Table1[[Distance]:[State2]],MATCH(OptimalCities!Q26&amp;OptimalCities!R26,Table1[City2]&amp;Table1[State2],0),1),"")</f>
        <v/>
      </c>
    </row>
    <row r="27" spans="1:20">
      <c r="A27" s="48">
        <f>GeoData!B29</f>
        <v>390.66395128122849</v>
      </c>
      <c r="B27" t="str">
        <f>GeoData!C29</f>
        <v>MARQUETTE</v>
      </c>
      <c r="C27" t="str">
        <f>GeoData!D29</f>
        <v>MI</v>
      </c>
      <c r="D27">
        <f>VLOOKUP(A27,Table1[[Distance]:[Longitude2]],5,FALSE)</f>
        <v>-3.4899999999999949</v>
      </c>
      <c r="E27">
        <f>VLOOKUP(A27,Table1[[Distance]:[Longitude2]],6,FALSE)</f>
        <v>-0.56999999999999318</v>
      </c>
      <c r="F27" t="str">
        <f t="shared" si="0"/>
        <v>MARQUETTE</v>
      </c>
      <c r="G27" t="str">
        <f t="shared" si="1"/>
        <v>MI</v>
      </c>
      <c r="H27" s="49">
        <f t="shared" si="2"/>
        <v>0</v>
      </c>
      <c r="I27" s="49">
        <f t="shared" si="3"/>
        <v>0</v>
      </c>
      <c r="J27" s="49">
        <f t="shared" si="4"/>
        <v>0</v>
      </c>
      <c r="K27" s="49">
        <f t="shared" si="5"/>
        <v>0</v>
      </c>
      <c r="L27" s="49">
        <f t="shared" si="6"/>
        <v>0</v>
      </c>
      <c r="M27" s="49">
        <f t="shared" si="7"/>
        <v>1</v>
      </c>
      <c r="N27" s="49">
        <f t="shared" si="8"/>
        <v>0</v>
      </c>
      <c r="O27" s="49">
        <f t="shared" si="9"/>
        <v>0</v>
      </c>
      <c r="P27">
        <f t="shared" si="10"/>
        <v>1</v>
      </c>
      <c r="Q27" s="50" t="str">
        <f t="shared" si="11"/>
        <v>MARQUETTE</v>
      </c>
      <c r="R27" s="50" t="str">
        <f t="shared" si="12"/>
        <v>MI</v>
      </c>
      <c r="S27" s="50">
        <f t="array" ref="S27">_xlfn.IFNA(INDEX(Table1[[City]:[Zipcode]],MATCH(OptimalCities!Q27&amp;OptimalCities!R27,Table1[City]&amp;Table1[State],0),3),"")</f>
        <v>49855</v>
      </c>
      <c r="T27">
        <f t="array" ref="T27">_xlfn.IFNA(INDEX(Table1[[Distance]:[State2]],MATCH(OptimalCities!Q27&amp;OptimalCities!R27,Table1[City2]&amp;Table1[State2],0),1),"")</f>
        <v>390.66395128122849</v>
      </c>
    </row>
    <row r="28" spans="1:20">
      <c r="A28" s="48">
        <f>GeoData!B30</f>
        <v>390.67253428762154</v>
      </c>
      <c r="B28" t="str">
        <f>GeoData!C30</f>
        <v>SPRINGFIELD</v>
      </c>
      <c r="C28" t="str">
        <f>GeoData!D30</f>
        <v>IL</v>
      </c>
      <c r="D28">
        <f>VLOOKUP(A28,Table1[[Distance]:[Longitude2]],5,FALSE)</f>
        <v>3.2800000000000011</v>
      </c>
      <c r="E28">
        <f>VLOOKUP(A28,Table1[[Distance]:[Longitude2]],6,FALSE)</f>
        <v>1.6800000000000068</v>
      </c>
      <c r="F28" t="str">
        <f t="shared" si="0"/>
        <v>SPRINGFIELD</v>
      </c>
      <c r="G28" t="str">
        <f t="shared" si="1"/>
        <v>IL</v>
      </c>
      <c r="H28" s="49">
        <f t="shared" si="2"/>
        <v>0</v>
      </c>
      <c r="I28" s="49">
        <f t="shared" si="3"/>
        <v>0</v>
      </c>
      <c r="J28" s="49">
        <f t="shared" si="4"/>
        <v>0</v>
      </c>
      <c r="K28" s="49">
        <f t="shared" si="5"/>
        <v>0</v>
      </c>
      <c r="L28" s="49">
        <f t="shared" si="6"/>
        <v>0</v>
      </c>
      <c r="M28" s="49">
        <f t="shared" si="7"/>
        <v>0</v>
      </c>
      <c r="N28" s="49">
        <f t="shared" si="8"/>
        <v>0</v>
      </c>
      <c r="O28" s="49">
        <f t="shared" si="9"/>
        <v>0</v>
      </c>
      <c r="P28">
        <f t="shared" si="10"/>
        <v>0</v>
      </c>
      <c r="Q28" s="50" t="str">
        <f t="shared" si="11"/>
        <v/>
      </c>
      <c r="R28" s="50" t="str">
        <f t="shared" si="12"/>
        <v/>
      </c>
      <c r="S28" s="50" t="str">
        <f t="array" ref="S28">_xlfn.IFNA(INDEX(Table1[[City]:[Zipcode]],MATCH(OptimalCities!Q28&amp;OptimalCities!R28,Table1[City]&amp;Table1[State],0),3),"")</f>
        <v/>
      </c>
      <c r="T28" t="str">
        <f t="array" ref="T28">_xlfn.IFNA(INDEX(Table1[[Distance]:[State2]],MATCH(OptimalCities!Q28&amp;OptimalCities!R28,Table1[City2]&amp;Table1[State2],0),1),"")</f>
        <v/>
      </c>
    </row>
    <row r="29" spans="1:20">
      <c r="A29" s="48">
        <f>GeoData!B31</f>
        <v>392.04318524966703</v>
      </c>
      <c r="B29" t="str">
        <f>GeoData!C31</f>
        <v>TOLEDO</v>
      </c>
      <c r="C29" t="str">
        <f>GeoData!D31</f>
        <v>OH</v>
      </c>
      <c r="D29">
        <f>VLOOKUP(A29,Table1[[Distance]:[Longitude2]],5,FALSE)</f>
        <v>1.4000000000000057</v>
      </c>
      <c r="E29">
        <f>VLOOKUP(A29,Table1[[Distance]:[Longitude2]],6,FALSE)</f>
        <v>-4.3799999999999955</v>
      </c>
      <c r="F29" t="str">
        <f t="shared" si="0"/>
        <v>TOLEDO</v>
      </c>
      <c r="G29" t="str">
        <f t="shared" si="1"/>
        <v>OH</v>
      </c>
      <c r="H29" s="49">
        <f t="shared" si="2"/>
        <v>0</v>
      </c>
      <c r="I29" s="49">
        <f t="shared" si="3"/>
        <v>0</v>
      </c>
      <c r="J29" s="49">
        <f t="shared" si="4"/>
        <v>0</v>
      </c>
      <c r="K29" s="49">
        <f t="shared" si="5"/>
        <v>0</v>
      </c>
      <c r="L29" s="49">
        <f t="shared" si="6"/>
        <v>0</v>
      </c>
      <c r="M29" s="49">
        <f t="shared" si="7"/>
        <v>0</v>
      </c>
      <c r="N29" s="49">
        <f t="shared" si="8"/>
        <v>0</v>
      </c>
      <c r="O29" s="49">
        <f t="shared" si="9"/>
        <v>0</v>
      </c>
      <c r="P29">
        <f t="shared" si="10"/>
        <v>0</v>
      </c>
      <c r="Q29" s="50" t="str">
        <f t="shared" si="11"/>
        <v/>
      </c>
      <c r="R29" s="50" t="str">
        <f t="shared" si="12"/>
        <v/>
      </c>
      <c r="S29" s="50" t="str">
        <f t="array" ref="S29">_xlfn.IFNA(INDEX(Table1[[City]:[Zipcode]],MATCH(OptimalCities!Q29&amp;OptimalCities!R29,Table1[City]&amp;Table1[State],0),3),"")</f>
        <v/>
      </c>
      <c r="T29" t="str">
        <f t="array" ref="T29">_xlfn.IFNA(INDEX(Table1[[Distance]:[State2]],MATCH(OptimalCities!Q29&amp;OptimalCities!R29,Table1[City2]&amp;Table1[State2],0),1),"")</f>
        <v/>
      </c>
    </row>
    <row r="30" spans="1:20">
      <c r="A30" s="48">
        <f>GeoData!B32</f>
        <v>396.0356967976528</v>
      </c>
      <c r="B30" t="str">
        <f>GeoData!C32</f>
        <v>INDIANAPOLIS</v>
      </c>
      <c r="C30" t="str">
        <f>GeoData!D32</f>
        <v>IN</v>
      </c>
      <c r="D30">
        <f>VLOOKUP(A30,Table1[[Distance]:[Longitude2]],5,FALSE)</f>
        <v>3.2899999999999991</v>
      </c>
      <c r="E30">
        <f>VLOOKUP(A30,Table1[[Distance]:[Longitude2]],6,FALSE)</f>
        <v>-1.8199999999999932</v>
      </c>
      <c r="F30" t="str">
        <f t="shared" si="0"/>
        <v>INDIANAPOLIS</v>
      </c>
      <c r="G30" t="str">
        <f t="shared" si="1"/>
        <v>IN</v>
      </c>
      <c r="H30" s="49">
        <f t="shared" si="2"/>
        <v>0</v>
      </c>
      <c r="I30" s="49">
        <f t="shared" si="3"/>
        <v>0</v>
      </c>
      <c r="J30" s="49">
        <f t="shared" si="4"/>
        <v>0</v>
      </c>
      <c r="K30" s="49">
        <f t="shared" si="5"/>
        <v>0</v>
      </c>
      <c r="L30" s="49">
        <f t="shared" si="6"/>
        <v>0</v>
      </c>
      <c r="M30" s="49">
        <f t="shared" si="7"/>
        <v>0</v>
      </c>
      <c r="N30" s="49">
        <f t="shared" si="8"/>
        <v>0</v>
      </c>
      <c r="O30" s="49">
        <f t="shared" si="9"/>
        <v>0</v>
      </c>
      <c r="P30">
        <f t="shared" si="10"/>
        <v>0</v>
      </c>
      <c r="Q30" s="50" t="str">
        <f t="shared" si="11"/>
        <v/>
      </c>
      <c r="R30" s="50" t="str">
        <f t="shared" si="12"/>
        <v/>
      </c>
      <c r="S30" s="50" t="str">
        <f t="array" ref="S30">_xlfn.IFNA(INDEX(Table1[[City]:[Zipcode]],MATCH(OptimalCities!Q30&amp;OptimalCities!R30,Table1[City]&amp;Table1[State],0),3),"")</f>
        <v/>
      </c>
      <c r="T30" t="str">
        <f t="array" ref="T30">_xlfn.IFNA(INDEX(Table1[[Distance]:[State2]],MATCH(OptimalCities!Q30&amp;OptimalCities!R30,Table1[City2]&amp;Table1[State2],0),1),"")</f>
        <v/>
      </c>
    </row>
    <row r="31" spans="1:20">
      <c r="A31" s="48">
        <f>GeoData!B33</f>
        <v>401.4497209973577</v>
      </c>
      <c r="B31" t="str">
        <f>GeoData!C33</f>
        <v>Oscada</v>
      </c>
      <c r="C31" t="str">
        <f>GeoData!D33</f>
        <v>MI</v>
      </c>
      <c r="D31">
        <f>VLOOKUP(A31,Table1[[Distance]:[Longitude2]],5,FALSE)</f>
        <v>-1.3599999999999994</v>
      </c>
      <c r="E31">
        <f>VLOOKUP(A31,Table1[[Distance]:[Longitude2]],6,FALSE)</f>
        <v>-4.6299999999999955</v>
      </c>
      <c r="F31" t="str">
        <f t="shared" si="0"/>
        <v>Oscada</v>
      </c>
      <c r="G31" t="str">
        <f t="shared" si="1"/>
        <v>MI</v>
      </c>
      <c r="H31" s="49">
        <f t="shared" si="2"/>
        <v>0</v>
      </c>
      <c r="I31" s="49">
        <f t="shared" si="3"/>
        <v>0</v>
      </c>
      <c r="J31" s="49">
        <f t="shared" si="4"/>
        <v>0</v>
      </c>
      <c r="K31" s="49">
        <f t="shared" si="5"/>
        <v>0</v>
      </c>
      <c r="L31" s="49">
        <f t="shared" si="6"/>
        <v>0</v>
      </c>
      <c r="M31" s="49">
        <f t="shared" si="7"/>
        <v>1</v>
      </c>
      <c r="N31" s="49">
        <f t="shared" si="8"/>
        <v>0</v>
      </c>
      <c r="O31" s="49">
        <f t="shared" si="9"/>
        <v>0</v>
      </c>
      <c r="P31">
        <f t="shared" si="10"/>
        <v>1</v>
      </c>
      <c r="Q31" s="50" t="str">
        <f t="shared" si="11"/>
        <v>Oscada</v>
      </c>
      <c r="R31" s="50" t="str">
        <f t="shared" si="12"/>
        <v>MI</v>
      </c>
      <c r="S31" s="50">
        <f t="array" ref="S31">_xlfn.IFNA(INDEX(Table1[[City]:[Zipcode]],MATCH(OptimalCities!Q31&amp;OptimalCities!R31,Table1[City]&amp;Table1[State],0),3),"")</f>
        <v>48750</v>
      </c>
      <c r="T31">
        <f t="array" ref="T31">_xlfn.IFNA(INDEX(Table1[[Distance]:[State2]],MATCH(OptimalCities!Q31&amp;OptimalCities!R31,Table1[City2]&amp;Table1[State2],0),1),"")</f>
        <v>401.4497209973577</v>
      </c>
    </row>
    <row r="32" spans="1:20">
      <c r="A32" s="48">
        <f>GeoData!B34</f>
        <v>404.09930389265429</v>
      </c>
      <c r="B32" t="str">
        <f>GeoData!C34</f>
        <v>DETROIT</v>
      </c>
      <c r="C32" t="str">
        <f>GeoData!D34</f>
        <v>MI</v>
      </c>
      <c r="D32">
        <f>VLOOKUP(A32,Table1[[Distance]:[Longitude2]],5,FALSE)</f>
        <v>0.67999999999999972</v>
      </c>
      <c r="E32">
        <f>VLOOKUP(A32,Table1[[Distance]:[Longitude2]],6,FALSE)</f>
        <v>-4.8599999999999994</v>
      </c>
      <c r="F32" t="str">
        <f t="shared" si="0"/>
        <v>DETROIT</v>
      </c>
      <c r="G32" t="str">
        <f t="shared" si="1"/>
        <v>MI</v>
      </c>
      <c r="H32" s="49">
        <f t="shared" si="2"/>
        <v>0</v>
      </c>
      <c r="I32" s="49">
        <f t="shared" si="3"/>
        <v>0</v>
      </c>
      <c r="J32" s="49">
        <f t="shared" si="4"/>
        <v>0</v>
      </c>
      <c r="K32" s="49">
        <f t="shared" si="5"/>
        <v>0</v>
      </c>
      <c r="L32" s="49">
        <f t="shared" si="6"/>
        <v>0</v>
      </c>
      <c r="M32" s="49">
        <f t="shared" si="7"/>
        <v>0</v>
      </c>
      <c r="N32" s="49">
        <f t="shared" si="8"/>
        <v>0</v>
      </c>
      <c r="O32" s="49">
        <f t="shared" si="9"/>
        <v>0</v>
      </c>
      <c r="P32">
        <f t="shared" si="10"/>
        <v>0</v>
      </c>
      <c r="Q32" s="50" t="str">
        <f t="shared" si="11"/>
        <v/>
      </c>
      <c r="R32" s="50" t="str">
        <f t="shared" si="12"/>
        <v/>
      </c>
      <c r="S32" s="50" t="str">
        <f t="array" ref="S32">_xlfn.IFNA(INDEX(Table1[[City]:[Zipcode]],MATCH(OptimalCities!Q32&amp;OptimalCities!R32,Table1[City]&amp;Table1[State],0),3),"")</f>
        <v/>
      </c>
      <c r="T32" t="str">
        <f t="array" ref="T32">_xlfn.IFNA(INDEX(Table1[[Distance]:[State2]],MATCH(OptimalCities!Q32&amp;OptimalCities!R32,Table1[City2]&amp;Table1[State2],0),1),"")</f>
        <v/>
      </c>
    </row>
    <row r="33" spans="1:20">
      <c r="A33" s="48">
        <f>GeoData!B35</f>
        <v>425.29053146705803</v>
      </c>
      <c r="B33" t="str">
        <f>GeoData!C35</f>
        <v>ALPENA</v>
      </c>
      <c r="C33" t="str">
        <f>GeoData!D35</f>
        <v>MI</v>
      </c>
      <c r="D33">
        <f>VLOOKUP(A33,Table1[[Distance]:[Longitude2]],5,FALSE)</f>
        <v>-2.009999999999998</v>
      </c>
      <c r="E33">
        <f>VLOOKUP(A33,Table1[[Distance]:[Longitude2]],6,FALSE)</f>
        <v>-4.5299999999999869</v>
      </c>
      <c r="F33" t="str">
        <f t="shared" si="0"/>
        <v>ALPENA</v>
      </c>
      <c r="G33" t="str">
        <f t="shared" si="1"/>
        <v>MI</v>
      </c>
      <c r="H33" s="49">
        <f t="shared" si="2"/>
        <v>0</v>
      </c>
      <c r="I33" s="49">
        <f t="shared" si="3"/>
        <v>0</v>
      </c>
      <c r="J33" s="49">
        <f t="shared" si="4"/>
        <v>0</v>
      </c>
      <c r="K33" s="49">
        <f t="shared" si="5"/>
        <v>0</v>
      </c>
      <c r="L33" s="49">
        <f t="shared" si="6"/>
        <v>0</v>
      </c>
      <c r="M33" s="49">
        <f t="shared" si="7"/>
        <v>1</v>
      </c>
      <c r="N33" s="49">
        <f t="shared" si="8"/>
        <v>0</v>
      </c>
      <c r="O33" s="49">
        <f t="shared" si="9"/>
        <v>0</v>
      </c>
      <c r="P33">
        <f t="shared" si="10"/>
        <v>1</v>
      </c>
      <c r="Q33" s="50" t="str">
        <f t="shared" si="11"/>
        <v>ALPENA</v>
      </c>
      <c r="R33" s="50" t="str">
        <f t="shared" si="12"/>
        <v>MI</v>
      </c>
      <c r="S33" s="50">
        <f t="array" ref="S33">_xlfn.IFNA(INDEX(Table1[[City]:[Zipcode]],MATCH(OptimalCities!Q33&amp;OptimalCities!R33,Table1[City]&amp;Table1[State],0),3),"")</f>
        <v>49707</v>
      </c>
      <c r="T33">
        <f t="array" ref="T33">_xlfn.IFNA(INDEX(Table1[[Distance]:[State2]],MATCH(OptimalCities!Q33&amp;OptimalCities!R33,Table1[City2]&amp;Table1[State2],0),1),"")</f>
        <v>425.29053146705803</v>
      </c>
    </row>
    <row r="34" spans="1:20">
      <c r="A34" s="48">
        <f>GeoData!B36</f>
        <v>461.20189311510495</v>
      </c>
      <c r="B34" t="str">
        <f>GeoData!C36</f>
        <v>COLUMBUS</v>
      </c>
      <c r="C34" t="str">
        <f>GeoData!D36</f>
        <v>IN</v>
      </c>
      <c r="D34">
        <f>VLOOKUP(A34,Table1[[Distance]:[Longitude2]],5,FALSE)</f>
        <v>3.8500000000000014</v>
      </c>
      <c r="E34">
        <f>VLOOKUP(A34,Table1[[Distance]:[Longitude2]],6,FALSE)</f>
        <v>-2.0499999999999972</v>
      </c>
      <c r="F34" t="str">
        <f t="shared" si="0"/>
        <v>COLUMBUS</v>
      </c>
      <c r="G34" t="str">
        <f t="shared" si="1"/>
        <v>IN</v>
      </c>
      <c r="H34" s="49">
        <f t="shared" si="2"/>
        <v>0</v>
      </c>
      <c r="I34" s="49">
        <f t="shared" si="3"/>
        <v>0</v>
      </c>
      <c r="J34" s="49">
        <f t="shared" si="4"/>
        <v>0</v>
      </c>
      <c r="K34" s="49">
        <f t="shared" si="5"/>
        <v>0</v>
      </c>
      <c r="L34" s="49">
        <f t="shared" si="6"/>
        <v>0</v>
      </c>
      <c r="M34" s="49">
        <f t="shared" si="7"/>
        <v>0</v>
      </c>
      <c r="N34" s="49">
        <f t="shared" si="8"/>
        <v>0</v>
      </c>
      <c r="O34" s="49">
        <f t="shared" si="9"/>
        <v>0</v>
      </c>
      <c r="P34">
        <f t="shared" si="10"/>
        <v>0</v>
      </c>
      <c r="Q34" s="50" t="str">
        <f t="shared" si="11"/>
        <v/>
      </c>
      <c r="R34" s="50" t="str">
        <f t="shared" si="12"/>
        <v/>
      </c>
      <c r="S34" s="50" t="str">
        <f t="array" ref="S34">_xlfn.IFNA(INDEX(Table1[[City]:[Zipcode]],MATCH(OptimalCities!Q34&amp;OptimalCities!R34,Table1[City]&amp;Table1[State],0),3),"")</f>
        <v/>
      </c>
      <c r="T34" t="str">
        <f t="array" ref="T34">_xlfn.IFNA(INDEX(Table1[[Distance]:[State2]],MATCH(OptimalCities!Q34&amp;OptimalCities!R34,Table1[City2]&amp;Table1[State2],0),1),"")</f>
        <v/>
      </c>
    </row>
    <row r="35" spans="1:20">
      <c r="A35" s="48">
        <f>GeoData!B37</f>
        <v>473.463261987495</v>
      </c>
      <c r="B35" t="str">
        <f>GeoData!C37</f>
        <v>MINNEAPOLIS</v>
      </c>
      <c r="C35" t="str">
        <f>GeoData!D37</f>
        <v>MN</v>
      </c>
      <c r="D35">
        <f>VLOOKUP(A35,Table1[[Distance]:[Longitude2]],5,FALSE)</f>
        <v>-1.8999999999999986</v>
      </c>
      <c r="E35">
        <f>VLOOKUP(A35,Table1[[Distance]:[Longitude2]],6,FALSE)</f>
        <v>5.3000000000000114</v>
      </c>
      <c r="F35" t="str">
        <f t="shared" si="0"/>
        <v>MINNEAPOLIS</v>
      </c>
      <c r="G35" t="str">
        <f t="shared" si="1"/>
        <v>MN</v>
      </c>
      <c r="H35" s="49">
        <f t="shared" si="2"/>
        <v>0</v>
      </c>
      <c r="I35" s="49">
        <f t="shared" si="3"/>
        <v>0</v>
      </c>
      <c r="J35" s="49">
        <f t="shared" si="4"/>
        <v>0</v>
      </c>
      <c r="K35" s="49">
        <f t="shared" si="5"/>
        <v>0</v>
      </c>
      <c r="L35" s="49">
        <f t="shared" si="6"/>
        <v>0</v>
      </c>
      <c r="M35" s="49">
        <f t="shared" si="7"/>
        <v>0</v>
      </c>
      <c r="N35" s="49">
        <f t="shared" si="8"/>
        <v>0</v>
      </c>
      <c r="O35" s="49">
        <f t="shared" si="9"/>
        <v>0</v>
      </c>
      <c r="P35">
        <f t="shared" si="10"/>
        <v>0</v>
      </c>
      <c r="Q35" s="50" t="str">
        <f t="shared" si="11"/>
        <v/>
      </c>
      <c r="R35" s="50" t="str">
        <f t="shared" si="12"/>
        <v/>
      </c>
      <c r="S35" s="50" t="str">
        <f t="array" ref="S35">_xlfn.IFNA(INDEX(Table1[[City]:[Zipcode]],MATCH(OptimalCities!Q35&amp;OptimalCities!R35,Table1[City]&amp;Table1[State],0),3),"")</f>
        <v/>
      </c>
      <c r="T35" t="str">
        <f t="array" ref="T35">_xlfn.IFNA(INDEX(Table1[[Distance]:[State2]],MATCH(OptimalCities!Q35&amp;OptimalCities!R35,Table1[City2]&amp;Table1[State2],0),1),"")</f>
        <v/>
      </c>
    </row>
    <row r="36" spans="1:20">
      <c r="Q36" s="52"/>
      <c r="R36" s="52"/>
      <c r="S36" s="52"/>
    </row>
    <row r="37" spans="1:20">
      <c r="Q37" s="52"/>
      <c r="R37" s="52"/>
      <c r="S3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33"/>
  <sheetViews>
    <sheetView zoomScale="90" zoomScaleNormal="90" workbookViewId="0">
      <selection activeCell="C4" sqref="C4"/>
    </sheetView>
  </sheetViews>
  <sheetFormatPr defaultRowHeight="14.4"/>
  <cols>
    <col min="1" max="1" width="12.6640625" customWidth="1"/>
    <col min="3" max="3" width="10.77734375" customWidth="1"/>
    <col min="7" max="7" width="13.6640625" customWidth="1"/>
    <col min="9" max="9" width="17.21875" bestFit="1" customWidth="1"/>
    <col min="13" max="13" width="11.77734375" customWidth="1"/>
    <col min="16" max="16" width="16.44140625" customWidth="1"/>
  </cols>
  <sheetData>
    <row r="1" spans="1:18">
      <c r="A1" s="43" t="str">
        <f>'Gale Dash'!E16</f>
        <v>WISCONSIN</v>
      </c>
      <c r="C1" s="74" t="s">
        <v>749</v>
      </c>
      <c r="D1" s="74"/>
      <c r="E1" s="74"/>
      <c r="F1" s="74"/>
      <c r="M1" s="74" t="s">
        <v>752</v>
      </c>
      <c r="N1" s="74"/>
      <c r="O1" s="74"/>
      <c r="P1" s="74"/>
    </row>
    <row r="2" spans="1:18" ht="15" thickBot="1">
      <c r="A2" s="43" t="str">
        <f>'Gale Dash'!G16</f>
        <v>Milwaukee</v>
      </c>
    </row>
    <row r="3" spans="1:18">
      <c r="A3" s="66">
        <f>'Gale Dash'!D19</f>
        <v>42979</v>
      </c>
      <c r="C3" s="60" t="str">
        <f>OptimalCities!Q5</f>
        <v>Ranged City</v>
      </c>
      <c r="D3" s="61" t="str">
        <f>OptimalCities!R5</f>
        <v>State</v>
      </c>
      <c r="E3" s="61" t="str">
        <f>OptimalCities!S5</f>
        <v>Zip</v>
      </c>
      <c r="F3" s="62" t="str">
        <f>OptimalCities!T5</f>
        <v>Distances</v>
      </c>
      <c r="M3" s="67" t="s">
        <v>743</v>
      </c>
      <c r="N3" s="68" t="s">
        <v>339</v>
      </c>
      <c r="O3" s="68" t="s">
        <v>744</v>
      </c>
      <c r="P3" s="69" t="s">
        <v>747</v>
      </c>
      <c r="Q3" s="73" t="s">
        <v>754</v>
      </c>
      <c r="R3" s="73" t="s">
        <v>755</v>
      </c>
    </row>
    <row r="4" spans="1:18" ht="15" thickBot="1">
      <c r="A4" s="43">
        <f>'Gale Dash'!F19</f>
        <v>60</v>
      </c>
      <c r="C4" s="63" t="str">
        <f>OptimalCities!Q6</f>
        <v>Milwaukee</v>
      </c>
      <c r="D4" s="64" t="str">
        <f>OptimalCities!R6</f>
        <v>WI</v>
      </c>
      <c r="E4" s="64">
        <f>OptimalCities!S6</f>
        <v>53215</v>
      </c>
      <c r="F4" s="65">
        <f>OptimalCities!T6</f>
        <v>0</v>
      </c>
      <c r="M4" s="70" t="e">
        <f ca="1">INDEX(Leg1Table,MATCH('Gale Dash'!$D$23,JourneyLegs!$I$5:$I$33,0),1)</f>
        <v>#N/A</v>
      </c>
      <c r="N4" s="71" t="e">
        <f ca="1">INDEX(Leg1Table,MATCH('Gale Dash'!$D$23,JourneyLegs!$I$5:$I$33,0),2)</f>
        <v>#N/A</v>
      </c>
      <c r="O4" s="71" t="e">
        <f ca="1">INDEX(Leg1Table,MATCH('Gale Dash'!$D$23,JourneyLegs!$I$5:$I$33,0),4)</f>
        <v>#N/A</v>
      </c>
      <c r="P4" s="72" t="s">
        <v>753</v>
      </c>
      <c r="Q4" t="e">
        <f t="array" aca="1" ref="Q4" ca="1">INDEX(Table1[[City]:[Longitude]],MATCH(M4&amp;N4,Table1[City]&amp;Table1[State],0),4)</f>
        <v>#N/A</v>
      </c>
      <c r="R4" t="e">
        <f t="array" aca="1" ref="R4" ca="1">INDEX(Table1[[City]:[Longitude]],MATCH(M4&amp;N4,Table1[City]&amp;Table1[State],0),5)</f>
        <v>#N/A</v>
      </c>
    </row>
    <row r="5" spans="1:18">
      <c r="A5" s="43">
        <f>'Gale Dash'!H19</f>
        <v>14</v>
      </c>
      <c r="B5" t="str">
        <f>IF(C5="","",MAX(B$4:B4)+1)</f>
        <v/>
      </c>
      <c r="C5" s="59" t="str">
        <f>OptimalCities!Q7</f>
        <v/>
      </c>
      <c r="D5" s="59" t="str">
        <f>OptimalCities!R7</f>
        <v/>
      </c>
      <c r="E5" s="59">
        <f>OptimalCities!S7</f>
        <v>0</v>
      </c>
      <c r="F5" s="59" t="str">
        <f>OptimalCities!T7</f>
        <v/>
      </c>
      <c r="G5" t="str">
        <f>IFERROR(INDEX($C$5:$C$33,MATCH(ROW()-ROW($H$4),$B$5:$B$33,0)),"")</f>
        <v>MUSKEGON</v>
      </c>
      <c r="H5" t="str">
        <f ca="1">OFFSET(INDEX($C$5:$C$33,MATCH(G5,$C$5:$C$33,0)),0,1)</f>
        <v>MI</v>
      </c>
      <c r="I5" t="str">
        <f ca="1">_xlfn.CONCAT(G5,", ",H5)</f>
        <v>MUSKEGON, MI</v>
      </c>
      <c r="J5">
        <f ca="1">IF(OFFSET(INDEX($C$5:$C$33,MATCH(G5,$C$5:$C$33,0)),0,2)=0,"",OFFSET(INDEX($C$5:$C$33,MATCH(G5,$C$5:$C$33,0)),0,2))</f>
        <v>49441</v>
      </c>
      <c r="K5">
        <f ca="1">IF(OFFSET(INDEX($C$5:$C$33,MATCH(G5,$C$5:$C$33,0)),0,3)=0,"",OFFSET(INDEX($C$5:$C$33,MATCH(G5,$C$5:$C$33,0)),0,3))</f>
        <v>139.87822493613766</v>
      </c>
    </row>
    <row r="6" spans="1:18">
      <c r="A6" t="str">
        <f>winddirection</f>
        <v>SW</v>
      </c>
      <c r="B6" t="str">
        <f>IF(C6="","",MAX(B$4:B5)+1)</f>
        <v/>
      </c>
      <c r="C6" s="59" t="str">
        <f>OptimalCities!Q8</f>
        <v/>
      </c>
      <c r="D6" s="59" t="str">
        <f>OptimalCities!R8</f>
        <v/>
      </c>
      <c r="E6" s="59" t="str">
        <f>OptimalCities!S8</f>
        <v/>
      </c>
      <c r="F6" s="59" t="str">
        <f>OptimalCities!T8</f>
        <v/>
      </c>
      <c r="G6" t="str">
        <f t="shared" ref="G6:G33" si="0">IFERROR(INDEX($C$5:$C$33,MATCH(ROW()-ROW($H$4),$B$5:$B$33,0)),"")</f>
        <v>MARQUETTE</v>
      </c>
      <c r="H6" t="str">
        <f t="shared" ref="H6:H33" ca="1" si="1">OFFSET(INDEX($C$5:$C$33,MATCH(G6,$C$5:$C$33,0)),0,1)</f>
        <v>MI</v>
      </c>
      <c r="I6" t="str">
        <f t="shared" ref="I6:I33" ca="1" si="2">_xlfn.CONCAT(G6,", ",H6)</f>
        <v>MARQUETTE, MI</v>
      </c>
      <c r="J6">
        <f t="shared" ref="J6:J33" ca="1" si="3">IF(OFFSET(INDEX($C$5:$C$33,MATCH(G6,$C$5:$C$33,0)),0,2)=0,"",OFFSET(INDEX($C$5:$C$33,MATCH(G6,$C$5:$C$33,0)),0,2))</f>
        <v>49855</v>
      </c>
      <c r="K6">
        <f t="shared" ref="K6:K33" ca="1" si="4">IF(OFFSET(INDEX($C$5:$C$33,MATCH(G6,$C$5:$C$33,0)),0,3)=0,"",OFFSET(INDEX($C$5:$C$33,MATCH(G6,$C$5:$C$33,0)),0,3))</f>
        <v>390.66395128122849</v>
      </c>
    </row>
    <row r="7" spans="1:18">
      <c r="B7" t="str">
        <f>IF(C7="","",MAX(B$4:B6)+1)</f>
        <v/>
      </c>
      <c r="C7" s="59" t="str">
        <f>OptimalCities!Q9</f>
        <v/>
      </c>
      <c r="D7" s="59" t="str">
        <f>OptimalCities!R9</f>
        <v/>
      </c>
      <c r="E7" s="59" t="str">
        <f>OptimalCities!S9</f>
        <v/>
      </c>
      <c r="F7" s="59" t="str">
        <f>OptimalCities!T9</f>
        <v/>
      </c>
      <c r="G7" t="str">
        <f t="shared" si="0"/>
        <v>Oscada</v>
      </c>
      <c r="H7" t="str">
        <f t="shared" ca="1" si="1"/>
        <v>MI</v>
      </c>
      <c r="I7" t="str">
        <f t="shared" ca="1" si="2"/>
        <v>Oscada, MI</v>
      </c>
      <c r="J7">
        <f t="shared" ca="1" si="3"/>
        <v>48750</v>
      </c>
      <c r="K7">
        <f t="shared" ca="1" si="4"/>
        <v>401.4497209973577</v>
      </c>
    </row>
    <row r="8" spans="1:18">
      <c r="B8">
        <f>IF(C8="","",MAX(B$4:B7)+1)</f>
        <v>1</v>
      </c>
      <c r="C8" s="59" t="str">
        <f>OptimalCities!Q10</f>
        <v>MUSKEGON</v>
      </c>
      <c r="D8" s="59" t="str">
        <f>OptimalCities!R10</f>
        <v>MI</v>
      </c>
      <c r="E8" s="59">
        <f>OptimalCities!S10</f>
        <v>49441</v>
      </c>
      <c r="F8" s="59">
        <f>OptimalCities!T10</f>
        <v>139.87822493613766</v>
      </c>
      <c r="G8" t="str">
        <f t="shared" si="0"/>
        <v>ALPENA</v>
      </c>
      <c r="H8" t="str">
        <f t="shared" ca="1" si="1"/>
        <v>MI</v>
      </c>
      <c r="I8" t="str">
        <f t="shared" ca="1" si="2"/>
        <v>ALPENA, MI</v>
      </c>
      <c r="J8">
        <f ca="1">IF(OFFSET(INDEX($C$5:$C$33,MATCH(G8,$C$5:$C$33,0)),0,2)=0,"",OFFSET(INDEX($C$5:$C$33,MATCH(G8,$C$5:$C$33,0)),0,2))</f>
        <v>49707</v>
      </c>
      <c r="K8">
        <f t="shared" ca="1" si="4"/>
        <v>425.29053146705803</v>
      </c>
    </row>
    <row r="9" spans="1:18">
      <c r="B9" t="str">
        <f>IF(C9="","",MAX(B$4:B8)+1)</f>
        <v/>
      </c>
      <c r="C9" s="59" t="str">
        <f>OptimalCities!Q11</f>
        <v/>
      </c>
      <c r="D9" s="59" t="str">
        <f>OptimalCities!R11</f>
        <v/>
      </c>
      <c r="E9" s="59" t="str">
        <f>OptimalCities!S11</f>
        <v/>
      </c>
      <c r="F9" s="59" t="str">
        <f>OptimalCities!T11</f>
        <v/>
      </c>
      <c r="G9" t="str">
        <f t="shared" si="0"/>
        <v/>
      </c>
      <c r="H9" t="str">
        <f t="shared" ca="1" si="1"/>
        <v/>
      </c>
      <c r="I9" t="str">
        <f t="shared" ca="1" si="2"/>
        <v xml:space="preserve">, </v>
      </c>
      <c r="J9" t="str">
        <f t="shared" ca="1" si="3"/>
        <v/>
      </c>
      <c r="K9" t="str">
        <f t="shared" ca="1" si="4"/>
        <v/>
      </c>
    </row>
    <row r="10" spans="1:18">
      <c r="B10" t="str">
        <f>IF(C10="","",MAX(B$4:B9)+1)</f>
        <v/>
      </c>
      <c r="C10" s="59" t="str">
        <f>OptimalCities!Q12</f>
        <v/>
      </c>
      <c r="D10" s="59" t="str">
        <f>OptimalCities!R12</f>
        <v/>
      </c>
      <c r="E10" s="59" t="str">
        <f>OptimalCities!S12</f>
        <v/>
      </c>
      <c r="F10" s="59" t="str">
        <f>OptimalCities!T12</f>
        <v/>
      </c>
      <c r="G10" t="str">
        <f t="shared" si="0"/>
        <v/>
      </c>
      <c r="H10" t="str">
        <f t="shared" ca="1" si="1"/>
        <v/>
      </c>
      <c r="I10" t="str">
        <f t="shared" ca="1" si="2"/>
        <v xml:space="preserve">, </v>
      </c>
      <c r="J10" t="str">
        <f t="shared" ca="1" si="3"/>
        <v/>
      </c>
      <c r="K10" t="str">
        <f t="shared" ca="1" si="4"/>
        <v/>
      </c>
    </row>
    <row r="11" spans="1:18">
      <c r="B11" t="str">
        <f>IF(C11="","",MAX(B$4:B10)+1)</f>
        <v/>
      </c>
      <c r="C11" s="59" t="str">
        <f>OptimalCities!Q13</f>
        <v/>
      </c>
      <c r="D11" s="59" t="str">
        <f>OptimalCities!R13</f>
        <v/>
      </c>
      <c r="E11" s="59" t="str">
        <f>OptimalCities!S13</f>
        <v/>
      </c>
      <c r="F11" s="59" t="str">
        <f>OptimalCities!T13</f>
        <v/>
      </c>
      <c r="G11" t="str">
        <f t="shared" si="0"/>
        <v/>
      </c>
      <c r="H11" t="str">
        <f t="shared" ca="1" si="1"/>
        <v/>
      </c>
      <c r="I11" t="str">
        <f t="shared" ca="1" si="2"/>
        <v xml:space="preserve">, </v>
      </c>
      <c r="J11" t="str">
        <f t="shared" ca="1" si="3"/>
        <v/>
      </c>
      <c r="K11" t="str">
        <f t="shared" ca="1" si="4"/>
        <v/>
      </c>
    </row>
    <row r="12" spans="1:18">
      <c r="B12" t="str">
        <f>IF(C12="","",MAX(B$4:B11)+1)</f>
        <v/>
      </c>
      <c r="C12" s="59" t="str">
        <f>OptimalCities!Q14</f>
        <v/>
      </c>
      <c r="D12" s="59" t="str">
        <f>OptimalCities!R14</f>
        <v/>
      </c>
      <c r="E12" s="59" t="str">
        <f>OptimalCities!S14</f>
        <v/>
      </c>
      <c r="F12" s="59" t="str">
        <f>OptimalCities!T14</f>
        <v/>
      </c>
      <c r="G12" t="str">
        <f t="shared" si="0"/>
        <v/>
      </c>
      <c r="H12" t="str">
        <f t="shared" ca="1" si="1"/>
        <v/>
      </c>
      <c r="I12" t="str">
        <f t="shared" ca="1" si="2"/>
        <v xml:space="preserve">, </v>
      </c>
      <c r="J12" t="str">
        <f t="shared" ca="1" si="3"/>
        <v/>
      </c>
      <c r="K12" t="str">
        <f t="shared" ca="1" si="4"/>
        <v/>
      </c>
    </row>
    <row r="13" spans="1:18">
      <c r="B13" t="str">
        <f>IF(C13="","",MAX(B$4:B12)+1)</f>
        <v/>
      </c>
      <c r="C13" s="59" t="str">
        <f>OptimalCities!Q15</f>
        <v/>
      </c>
      <c r="D13" s="59" t="str">
        <f>OptimalCities!R15</f>
        <v/>
      </c>
      <c r="E13" s="59" t="str">
        <f>OptimalCities!S15</f>
        <v/>
      </c>
      <c r="F13" s="59" t="str">
        <f>OptimalCities!T15</f>
        <v/>
      </c>
      <c r="G13" t="str">
        <f t="shared" si="0"/>
        <v/>
      </c>
      <c r="H13" t="str">
        <f t="shared" ca="1" si="1"/>
        <v/>
      </c>
      <c r="I13" t="str">
        <f t="shared" ca="1" si="2"/>
        <v xml:space="preserve">, </v>
      </c>
      <c r="J13" t="str">
        <f t="shared" ca="1" si="3"/>
        <v/>
      </c>
      <c r="K13" t="str">
        <f t="shared" ca="1" si="4"/>
        <v/>
      </c>
    </row>
    <row r="14" spans="1:18">
      <c r="B14" t="str">
        <f>IF(C14="","",MAX(B$4:B13)+1)</f>
        <v/>
      </c>
      <c r="C14" s="59" t="str">
        <f>OptimalCities!Q16</f>
        <v/>
      </c>
      <c r="D14" s="59" t="str">
        <f>OptimalCities!R16</f>
        <v/>
      </c>
      <c r="E14" s="59" t="str">
        <f>OptimalCities!S16</f>
        <v/>
      </c>
      <c r="F14" s="59" t="str">
        <f>OptimalCities!T16</f>
        <v/>
      </c>
      <c r="G14" t="str">
        <f t="shared" si="0"/>
        <v/>
      </c>
      <c r="H14" t="str">
        <f t="shared" ca="1" si="1"/>
        <v/>
      </c>
      <c r="I14" t="str">
        <f t="shared" ca="1" si="2"/>
        <v xml:space="preserve">, </v>
      </c>
      <c r="J14" t="str">
        <f t="shared" ca="1" si="3"/>
        <v/>
      </c>
      <c r="K14" t="str">
        <f t="shared" ca="1" si="4"/>
        <v/>
      </c>
    </row>
    <row r="15" spans="1:18">
      <c r="B15" t="str">
        <f>IF(C15="","",MAX(B$4:B14)+1)</f>
        <v/>
      </c>
      <c r="C15" s="59" t="str">
        <f>OptimalCities!Q17</f>
        <v/>
      </c>
      <c r="D15" s="59" t="str">
        <f>OptimalCities!R17</f>
        <v/>
      </c>
      <c r="E15" s="59" t="str">
        <f>OptimalCities!S17</f>
        <v/>
      </c>
      <c r="F15" s="59" t="str">
        <f>OptimalCities!T17</f>
        <v/>
      </c>
      <c r="G15" t="str">
        <f t="shared" si="0"/>
        <v/>
      </c>
      <c r="H15" t="str">
        <f t="shared" ca="1" si="1"/>
        <v/>
      </c>
      <c r="I15" t="str">
        <f t="shared" ca="1" si="2"/>
        <v xml:space="preserve">, </v>
      </c>
      <c r="J15" t="str">
        <f t="shared" ca="1" si="3"/>
        <v/>
      </c>
      <c r="K15" t="str">
        <f t="shared" ca="1" si="4"/>
        <v/>
      </c>
    </row>
    <row r="16" spans="1:18">
      <c r="B16" t="str">
        <f>IF(C16="","",MAX(B$4:B15)+1)</f>
        <v/>
      </c>
      <c r="C16" s="59" t="str">
        <f>OptimalCities!Q18</f>
        <v/>
      </c>
      <c r="D16" s="59" t="str">
        <f>OptimalCities!R18</f>
        <v/>
      </c>
      <c r="E16" s="59" t="str">
        <f>OptimalCities!S18</f>
        <v/>
      </c>
      <c r="F16" s="59" t="str">
        <f>OptimalCities!T18</f>
        <v/>
      </c>
      <c r="G16" t="str">
        <f t="shared" si="0"/>
        <v/>
      </c>
      <c r="H16" t="str">
        <f t="shared" ca="1" si="1"/>
        <v/>
      </c>
      <c r="I16" t="str">
        <f t="shared" ca="1" si="2"/>
        <v xml:space="preserve">, </v>
      </c>
      <c r="J16" t="str">
        <f t="shared" ca="1" si="3"/>
        <v/>
      </c>
      <c r="K16" t="str">
        <f t="shared" ca="1" si="4"/>
        <v/>
      </c>
    </row>
    <row r="17" spans="2:11">
      <c r="B17" t="str">
        <f>IF(C17="","",MAX(B$4:B16)+1)</f>
        <v/>
      </c>
      <c r="C17" s="59" t="str">
        <f>OptimalCities!Q19</f>
        <v/>
      </c>
      <c r="D17" s="59" t="str">
        <f>OptimalCities!R19</f>
        <v/>
      </c>
      <c r="E17" s="59" t="str">
        <f>OptimalCities!S19</f>
        <v/>
      </c>
      <c r="F17" s="59" t="str">
        <f>OptimalCities!T19</f>
        <v/>
      </c>
      <c r="G17" t="str">
        <f t="shared" si="0"/>
        <v/>
      </c>
      <c r="H17" t="str">
        <f t="shared" ca="1" si="1"/>
        <v/>
      </c>
      <c r="I17" t="str">
        <f t="shared" ca="1" si="2"/>
        <v xml:space="preserve">, </v>
      </c>
      <c r="J17" t="str">
        <f t="shared" ca="1" si="3"/>
        <v/>
      </c>
      <c r="K17" t="str">
        <f t="shared" ca="1" si="4"/>
        <v/>
      </c>
    </row>
    <row r="18" spans="2:11">
      <c r="B18" t="str">
        <f>IF(C18="","",MAX(B$4:B17)+1)</f>
        <v/>
      </c>
      <c r="C18" s="59" t="str">
        <f>OptimalCities!Q20</f>
        <v/>
      </c>
      <c r="D18" s="59" t="str">
        <f>OptimalCities!R20</f>
        <v/>
      </c>
      <c r="E18" s="59" t="str">
        <f>OptimalCities!S20</f>
        <v/>
      </c>
      <c r="F18" s="59" t="str">
        <f>OptimalCities!T20</f>
        <v/>
      </c>
      <c r="G18" t="str">
        <f t="shared" si="0"/>
        <v/>
      </c>
      <c r="H18" t="str">
        <f t="shared" ca="1" si="1"/>
        <v/>
      </c>
      <c r="I18" t="str">
        <f t="shared" ca="1" si="2"/>
        <v xml:space="preserve">, </v>
      </c>
      <c r="J18" t="str">
        <f t="shared" ca="1" si="3"/>
        <v/>
      </c>
      <c r="K18" t="str">
        <f t="shared" ca="1" si="4"/>
        <v/>
      </c>
    </row>
    <row r="19" spans="2:11">
      <c r="B19" t="str">
        <f>IF(C19="","",MAX(B$4:B18)+1)</f>
        <v/>
      </c>
      <c r="C19" s="59" t="str">
        <f>OptimalCities!Q21</f>
        <v/>
      </c>
      <c r="D19" s="59" t="str">
        <f>OptimalCities!R21</f>
        <v/>
      </c>
      <c r="E19" s="59" t="str">
        <f>OptimalCities!S21</f>
        <v/>
      </c>
      <c r="F19" s="59" t="str">
        <f>OptimalCities!T21</f>
        <v/>
      </c>
      <c r="G19" t="str">
        <f t="shared" si="0"/>
        <v/>
      </c>
      <c r="H19" t="str">
        <f t="shared" ca="1" si="1"/>
        <v/>
      </c>
      <c r="I19" t="str">
        <f t="shared" ca="1" si="2"/>
        <v xml:space="preserve">, </v>
      </c>
      <c r="J19" t="str">
        <f t="shared" ca="1" si="3"/>
        <v/>
      </c>
      <c r="K19" t="str">
        <f t="shared" ca="1" si="4"/>
        <v/>
      </c>
    </row>
    <row r="20" spans="2:11">
      <c r="B20" t="str">
        <f>IF(C20="","",MAX(B$4:B19)+1)</f>
        <v/>
      </c>
      <c r="C20" s="59" t="str">
        <f>OptimalCities!Q22</f>
        <v/>
      </c>
      <c r="D20" s="59" t="str">
        <f>OptimalCities!R22</f>
        <v/>
      </c>
      <c r="E20" s="59" t="str">
        <f>OptimalCities!S22</f>
        <v/>
      </c>
      <c r="F20" s="59" t="str">
        <f>OptimalCities!T22</f>
        <v/>
      </c>
      <c r="G20" t="str">
        <f t="shared" si="0"/>
        <v/>
      </c>
      <c r="H20" t="str">
        <f t="shared" ca="1" si="1"/>
        <v/>
      </c>
      <c r="I20" t="str">
        <f t="shared" ca="1" si="2"/>
        <v xml:space="preserve">, </v>
      </c>
      <c r="J20" t="str">
        <f t="shared" ca="1" si="3"/>
        <v/>
      </c>
      <c r="K20" t="str">
        <f t="shared" ca="1" si="4"/>
        <v/>
      </c>
    </row>
    <row r="21" spans="2:11">
      <c r="B21" t="str">
        <f>IF(C21="","",MAX(B$4:B20)+1)</f>
        <v/>
      </c>
      <c r="C21" s="59" t="str">
        <f>OptimalCities!Q23</f>
        <v/>
      </c>
      <c r="D21" s="59" t="str">
        <f>OptimalCities!R23</f>
        <v/>
      </c>
      <c r="E21" s="59" t="str">
        <f>OptimalCities!S23</f>
        <v/>
      </c>
      <c r="F21" s="59" t="str">
        <f>OptimalCities!T23</f>
        <v/>
      </c>
      <c r="G21" t="str">
        <f>IFERROR(INDEX($C$5:$C$33,MATCH(ROW()-ROW($H$4),$B$5:$B$33,0)),"")</f>
        <v/>
      </c>
      <c r="H21" t="str">
        <f t="shared" ca="1" si="1"/>
        <v/>
      </c>
      <c r="I21" t="str">
        <f t="shared" ca="1" si="2"/>
        <v xml:space="preserve">, </v>
      </c>
      <c r="J21" t="str">
        <f t="shared" ca="1" si="3"/>
        <v/>
      </c>
      <c r="K21" t="str">
        <f t="shared" ca="1" si="4"/>
        <v/>
      </c>
    </row>
    <row r="22" spans="2:11">
      <c r="B22" t="str">
        <f>IF(C22="","",MAX(B$4:B21)+1)</f>
        <v/>
      </c>
      <c r="C22" s="59" t="str">
        <f>OptimalCities!Q24</f>
        <v/>
      </c>
      <c r="D22" s="59" t="str">
        <f>OptimalCities!R24</f>
        <v/>
      </c>
      <c r="E22" s="59" t="str">
        <f>OptimalCities!S24</f>
        <v/>
      </c>
      <c r="F22" s="59" t="str">
        <f>OptimalCities!T24</f>
        <v/>
      </c>
      <c r="G22" t="str">
        <f t="shared" si="0"/>
        <v/>
      </c>
      <c r="H22" t="str">
        <f t="shared" ca="1" si="1"/>
        <v/>
      </c>
      <c r="I22" t="str">
        <f t="shared" ca="1" si="2"/>
        <v xml:space="preserve">, </v>
      </c>
      <c r="J22" t="str">
        <f t="shared" ca="1" si="3"/>
        <v/>
      </c>
      <c r="K22" t="str">
        <f t="shared" ca="1" si="4"/>
        <v/>
      </c>
    </row>
    <row r="23" spans="2:11">
      <c r="B23" t="str">
        <f>IF(C23="","",MAX(B$4:B22)+1)</f>
        <v/>
      </c>
      <c r="C23" s="59" t="str">
        <f>OptimalCities!Q25</f>
        <v/>
      </c>
      <c r="D23" s="59" t="str">
        <f>OptimalCities!R25</f>
        <v/>
      </c>
      <c r="E23" s="59" t="str">
        <f>OptimalCities!S25</f>
        <v/>
      </c>
      <c r="F23" s="59" t="str">
        <f>OptimalCities!T25</f>
        <v/>
      </c>
      <c r="G23" t="str">
        <f t="shared" si="0"/>
        <v/>
      </c>
      <c r="H23" t="str">
        <f t="shared" ca="1" si="1"/>
        <v/>
      </c>
      <c r="I23" t="str">
        <f t="shared" ca="1" si="2"/>
        <v xml:space="preserve">, </v>
      </c>
      <c r="J23" t="str">
        <f t="shared" ca="1" si="3"/>
        <v/>
      </c>
      <c r="K23" t="str">
        <f t="shared" ca="1" si="4"/>
        <v/>
      </c>
    </row>
    <row r="24" spans="2:11">
      <c r="B24" t="str">
        <f>IF(C24="","",MAX(B$4:B23)+1)</f>
        <v/>
      </c>
      <c r="C24" s="59" t="str">
        <f>OptimalCities!Q26</f>
        <v/>
      </c>
      <c r="D24" s="59" t="str">
        <f>OptimalCities!R26</f>
        <v/>
      </c>
      <c r="E24" s="59" t="str">
        <f>OptimalCities!S26</f>
        <v/>
      </c>
      <c r="F24" s="59" t="str">
        <f>OptimalCities!T26</f>
        <v/>
      </c>
      <c r="G24" t="str">
        <f t="shared" si="0"/>
        <v/>
      </c>
      <c r="H24" t="str">
        <f t="shared" ca="1" si="1"/>
        <v/>
      </c>
      <c r="I24" t="str">
        <f t="shared" ca="1" si="2"/>
        <v xml:space="preserve">, </v>
      </c>
      <c r="J24" t="str">
        <f t="shared" ca="1" si="3"/>
        <v/>
      </c>
      <c r="K24" t="str">
        <f t="shared" ca="1" si="4"/>
        <v/>
      </c>
    </row>
    <row r="25" spans="2:11">
      <c r="B25">
        <f>IF(C25="","",MAX(B$4:B24)+1)</f>
        <v>2</v>
      </c>
      <c r="C25" s="59" t="str">
        <f>OptimalCities!Q27</f>
        <v>MARQUETTE</v>
      </c>
      <c r="D25" s="59" t="str">
        <f>OptimalCities!R27</f>
        <v>MI</v>
      </c>
      <c r="E25" s="59">
        <f>OptimalCities!S27</f>
        <v>49855</v>
      </c>
      <c r="F25" s="59">
        <f>OptimalCities!T27</f>
        <v>390.66395128122849</v>
      </c>
      <c r="G25" t="str">
        <f t="shared" si="0"/>
        <v/>
      </c>
      <c r="H25" t="str">
        <f t="shared" ca="1" si="1"/>
        <v/>
      </c>
      <c r="I25" t="str">
        <f t="shared" ca="1" si="2"/>
        <v xml:space="preserve">, </v>
      </c>
      <c r="J25" t="str">
        <f t="shared" ca="1" si="3"/>
        <v/>
      </c>
      <c r="K25" t="str">
        <f t="shared" ca="1" si="4"/>
        <v/>
      </c>
    </row>
    <row r="26" spans="2:11">
      <c r="B26" t="str">
        <f>IF(C26="","",MAX(B$4:B25)+1)</f>
        <v/>
      </c>
      <c r="C26" s="59" t="str">
        <f>OptimalCities!Q28</f>
        <v/>
      </c>
      <c r="D26" s="59" t="str">
        <f>OptimalCities!R28</f>
        <v/>
      </c>
      <c r="E26" s="59" t="str">
        <f>OptimalCities!S28</f>
        <v/>
      </c>
      <c r="F26" s="59" t="str">
        <f>OptimalCities!T28</f>
        <v/>
      </c>
      <c r="G26" t="str">
        <f t="shared" si="0"/>
        <v/>
      </c>
      <c r="H26" t="str">
        <f t="shared" ca="1" si="1"/>
        <v/>
      </c>
      <c r="I26" t="str">
        <f t="shared" ca="1" si="2"/>
        <v xml:space="preserve">, </v>
      </c>
      <c r="J26" t="str">
        <f t="shared" ca="1" si="3"/>
        <v/>
      </c>
      <c r="K26" t="str">
        <f t="shared" ca="1" si="4"/>
        <v/>
      </c>
    </row>
    <row r="27" spans="2:11">
      <c r="B27" t="str">
        <f>IF(C27="","",MAX(B$4:B26)+1)</f>
        <v/>
      </c>
      <c r="C27" s="59" t="str">
        <f>OptimalCities!Q29</f>
        <v/>
      </c>
      <c r="D27" s="59" t="str">
        <f>OptimalCities!R29</f>
        <v/>
      </c>
      <c r="E27" s="59" t="str">
        <f>OptimalCities!S29</f>
        <v/>
      </c>
      <c r="F27" s="59" t="str">
        <f>OptimalCities!T29</f>
        <v/>
      </c>
      <c r="G27" t="str">
        <f t="shared" si="0"/>
        <v/>
      </c>
      <c r="H27" t="str">
        <f t="shared" ca="1" si="1"/>
        <v/>
      </c>
      <c r="I27" t="str">
        <f t="shared" ca="1" si="2"/>
        <v xml:space="preserve">, </v>
      </c>
      <c r="J27" t="str">
        <f t="shared" ca="1" si="3"/>
        <v/>
      </c>
      <c r="K27" t="str">
        <f t="shared" ca="1" si="4"/>
        <v/>
      </c>
    </row>
    <row r="28" spans="2:11">
      <c r="B28" t="str">
        <f>IF(C28="","",MAX(B$4:B27)+1)</f>
        <v/>
      </c>
      <c r="C28" s="59" t="str">
        <f>OptimalCities!Q30</f>
        <v/>
      </c>
      <c r="D28" s="59" t="str">
        <f>OptimalCities!R30</f>
        <v/>
      </c>
      <c r="E28" s="59" t="str">
        <f>OptimalCities!S30</f>
        <v/>
      </c>
      <c r="F28" s="59" t="str">
        <f>OptimalCities!T30</f>
        <v/>
      </c>
      <c r="G28" t="str">
        <f t="shared" si="0"/>
        <v/>
      </c>
      <c r="H28" t="str">
        <f t="shared" ca="1" si="1"/>
        <v/>
      </c>
      <c r="I28" t="str">
        <f t="shared" ca="1" si="2"/>
        <v xml:space="preserve">, </v>
      </c>
      <c r="J28" t="str">
        <f t="shared" ca="1" si="3"/>
        <v/>
      </c>
      <c r="K28" t="str">
        <f t="shared" ca="1" si="4"/>
        <v/>
      </c>
    </row>
    <row r="29" spans="2:11">
      <c r="B29">
        <f>IF(C29="","",MAX(B$4:B28)+1)</f>
        <v>3</v>
      </c>
      <c r="C29" s="59" t="str">
        <f>OptimalCities!Q31</f>
        <v>Oscada</v>
      </c>
      <c r="D29" s="59" t="str">
        <f>OptimalCities!R31</f>
        <v>MI</v>
      </c>
      <c r="E29" s="59">
        <f>OptimalCities!S31</f>
        <v>48750</v>
      </c>
      <c r="F29" s="59">
        <f>OptimalCities!T31</f>
        <v>401.4497209973577</v>
      </c>
      <c r="G29" t="str">
        <f t="shared" si="0"/>
        <v/>
      </c>
      <c r="H29" t="str">
        <f t="shared" ca="1" si="1"/>
        <v/>
      </c>
      <c r="I29" t="str">
        <f t="shared" ca="1" si="2"/>
        <v xml:space="preserve">, </v>
      </c>
      <c r="J29" t="str">
        <f t="shared" ca="1" si="3"/>
        <v/>
      </c>
      <c r="K29" t="str">
        <f t="shared" ca="1" si="4"/>
        <v/>
      </c>
    </row>
    <row r="30" spans="2:11">
      <c r="B30" t="str">
        <f>IF(C30="","",MAX(B$4:B29)+1)</f>
        <v/>
      </c>
      <c r="C30" s="59" t="str">
        <f>OptimalCities!Q32</f>
        <v/>
      </c>
      <c r="D30" s="59" t="str">
        <f>OptimalCities!R32</f>
        <v/>
      </c>
      <c r="E30" s="59" t="str">
        <f>OptimalCities!S32</f>
        <v/>
      </c>
      <c r="F30" s="59" t="str">
        <f>OptimalCities!T32</f>
        <v/>
      </c>
      <c r="G30" t="str">
        <f t="shared" si="0"/>
        <v/>
      </c>
      <c r="H30" t="str">
        <f t="shared" ca="1" si="1"/>
        <v/>
      </c>
      <c r="I30" t="str">
        <f t="shared" ca="1" si="2"/>
        <v xml:space="preserve">, </v>
      </c>
      <c r="J30" t="str">
        <f t="shared" ca="1" si="3"/>
        <v/>
      </c>
      <c r="K30" t="str">
        <f t="shared" ca="1" si="4"/>
        <v/>
      </c>
    </row>
    <row r="31" spans="2:11">
      <c r="B31">
        <f>IF(C31="","",MAX(B$4:B30)+1)</f>
        <v>4</v>
      </c>
      <c r="C31" s="59" t="str">
        <f>OptimalCities!Q33</f>
        <v>ALPENA</v>
      </c>
      <c r="D31" s="59" t="str">
        <f>OptimalCities!R33</f>
        <v>MI</v>
      </c>
      <c r="E31" s="59">
        <f>OptimalCities!S33</f>
        <v>49707</v>
      </c>
      <c r="F31" s="59">
        <f>OptimalCities!T33</f>
        <v>425.29053146705803</v>
      </c>
      <c r="G31" t="str">
        <f t="shared" si="0"/>
        <v/>
      </c>
      <c r="H31" t="str">
        <f t="shared" ca="1" si="1"/>
        <v/>
      </c>
      <c r="I31" t="str">
        <f t="shared" ca="1" si="2"/>
        <v xml:space="preserve">, </v>
      </c>
      <c r="J31" t="str">
        <f t="shared" ca="1" si="3"/>
        <v/>
      </c>
      <c r="K31" t="str">
        <f t="shared" ca="1" si="4"/>
        <v/>
      </c>
    </row>
    <row r="32" spans="2:11">
      <c r="B32" t="str">
        <f>IF(C32="","",MAX(B$4:B31)+1)</f>
        <v/>
      </c>
      <c r="C32" s="59" t="str">
        <f>OptimalCities!Q34</f>
        <v/>
      </c>
      <c r="D32" s="59" t="str">
        <f>OptimalCities!R34</f>
        <v/>
      </c>
      <c r="E32" s="59" t="str">
        <f>OptimalCities!S34</f>
        <v/>
      </c>
      <c r="F32" s="59" t="str">
        <f>OptimalCities!T34</f>
        <v/>
      </c>
      <c r="G32" t="str">
        <f t="shared" si="0"/>
        <v/>
      </c>
      <c r="H32" t="str">
        <f t="shared" ca="1" si="1"/>
        <v/>
      </c>
      <c r="I32" t="str">
        <f t="shared" ca="1" si="2"/>
        <v xml:space="preserve">, </v>
      </c>
      <c r="J32" t="str">
        <f t="shared" ca="1" si="3"/>
        <v/>
      </c>
      <c r="K32" t="str">
        <f t="shared" ca="1" si="4"/>
        <v/>
      </c>
    </row>
    <row r="33" spans="2:11">
      <c r="B33" t="str">
        <f>IF(C33="","",MAX(B$4:B32)+1)</f>
        <v/>
      </c>
      <c r="C33" s="59" t="str">
        <f>OptimalCities!Q35</f>
        <v/>
      </c>
      <c r="D33" s="59" t="str">
        <f>OptimalCities!R35</f>
        <v/>
      </c>
      <c r="E33" s="59" t="str">
        <f>OptimalCities!S35</f>
        <v/>
      </c>
      <c r="F33" s="59" t="str">
        <f>OptimalCities!T35</f>
        <v/>
      </c>
      <c r="G33" t="str">
        <f t="shared" si="0"/>
        <v/>
      </c>
      <c r="H33" t="str">
        <f t="shared" ca="1" si="1"/>
        <v/>
      </c>
      <c r="I33" t="str">
        <f t="shared" ca="1" si="2"/>
        <v xml:space="preserve">, </v>
      </c>
      <c r="J33" t="str">
        <f t="shared" ca="1" si="3"/>
        <v/>
      </c>
      <c r="K33" t="str">
        <f t="shared" ca="1" si="4"/>
        <v/>
      </c>
    </row>
  </sheetData>
  <mergeCells count="2">
    <mergeCell ref="C1:F1"/>
    <mergeCell ref="M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V378"/>
  <sheetViews>
    <sheetView topLeftCell="C1" zoomScale="70" zoomScaleNormal="70" workbookViewId="0">
      <selection activeCell="W1" sqref="W1"/>
    </sheetView>
  </sheetViews>
  <sheetFormatPr defaultRowHeight="14.4"/>
  <cols>
    <col min="19" max="19" width="17.77734375" customWidth="1"/>
  </cols>
  <sheetData>
    <row r="1" spans="1:74" ht="21">
      <c r="A1" s="15"/>
      <c r="B1" s="15"/>
      <c r="C1" s="16" t="s">
        <v>686</v>
      </c>
      <c r="D1" s="16" t="s">
        <v>687</v>
      </c>
      <c r="E1" s="16" t="s">
        <v>688</v>
      </c>
      <c r="F1" s="16" t="s">
        <v>689</v>
      </c>
      <c r="G1" s="16" t="s">
        <v>690</v>
      </c>
      <c r="H1" s="16" t="s">
        <v>691</v>
      </c>
      <c r="I1" s="16" t="s">
        <v>692</v>
      </c>
      <c r="J1" s="16" t="s">
        <v>693</v>
      </c>
      <c r="K1" s="16" t="s">
        <v>694</v>
      </c>
      <c r="L1" s="16" t="s">
        <v>695</v>
      </c>
      <c r="M1" s="16" t="s">
        <v>696</v>
      </c>
      <c r="N1" s="16" t="s">
        <v>697</v>
      </c>
      <c r="O1" s="16" t="s">
        <v>698</v>
      </c>
    </row>
    <row r="2" spans="1:74" ht="22.8">
      <c r="A2" s="1" t="s">
        <v>0</v>
      </c>
      <c r="B2" s="2" t="s">
        <v>1</v>
      </c>
      <c r="C2" s="15" t="str">
        <f t="shared" ref="C2:C32" si="0">INDEX(tablewind,MATCH($B2,citywind,0),2)</f>
        <v>ESE</v>
      </c>
      <c r="D2" s="15" t="str">
        <f t="shared" ref="D2:D32" si="1">INDEX(tablewind,MATCH($B2,citywind,0),3)</f>
        <v>ESE</v>
      </c>
      <c r="E2" s="15" t="str">
        <f t="shared" ref="E2:E32" si="2">INDEX(tablewind,MATCH($B2,citywind,0),4)</f>
        <v>ESE</v>
      </c>
      <c r="F2" s="15" t="str">
        <f t="shared" ref="F2:F32" si="3">INDEX(tablewind,MATCH($B2,citywind,0),5)</f>
        <v>N</v>
      </c>
      <c r="G2" s="15" t="str">
        <f t="shared" ref="G2:G32" si="4">INDEX(tablewind,MATCH($B2,citywind,0),6)</f>
        <v>N</v>
      </c>
      <c r="H2" s="15" t="str">
        <f t="shared" ref="H2:H32" si="5">INDEX(tablewind,MATCH($B2,citywind,0),7)</f>
        <v>N</v>
      </c>
      <c r="I2" s="15" t="str">
        <f t="shared" ref="I2:I32" si="6">INDEX(tablewind,MATCH($B2,citywind,0),8)</f>
        <v>ESE</v>
      </c>
      <c r="J2" s="15" t="str">
        <f t="shared" ref="J2:J32" si="7">INDEX(tablewind,MATCH($B2,citywind,0),9)</f>
        <v>ESE</v>
      </c>
      <c r="K2" s="15" t="str">
        <f t="shared" ref="K2:K32" si="8">INDEX(tablewind,MATCH($B2,citywind,0),10)</f>
        <v>ESE</v>
      </c>
      <c r="L2" s="15" t="str">
        <f t="shared" ref="L2:L32" si="9">INDEX(tablewind,MATCH($B2,citywind,0),11)</f>
        <v>S</v>
      </c>
      <c r="M2" s="15" t="str">
        <f t="shared" ref="M2:M32" si="10">INDEX(tablewind,MATCH($B2,citywind,0),12)</f>
        <v>S</v>
      </c>
      <c r="N2" s="15" t="str">
        <f t="shared" ref="N2:N32" si="11">INDEX(tablewind,MATCH($B2,citywind,0),13)</f>
        <v>S</v>
      </c>
      <c r="O2" s="15" t="str">
        <f t="shared" ref="O2:O32" si="12">INDEX(tablewind,MATCH($B2,citywind,0),14)</f>
        <v>ESE</v>
      </c>
      <c r="Q2" s="1" t="s">
        <v>0</v>
      </c>
      <c r="R2" s="2" t="s">
        <v>336</v>
      </c>
      <c r="S2" s="1" t="s">
        <v>0</v>
      </c>
      <c r="T2" s="1" t="s">
        <v>708</v>
      </c>
      <c r="U2" s="2" t="s">
        <v>5</v>
      </c>
      <c r="V2" s="3" t="s">
        <v>13</v>
      </c>
      <c r="W2" s="3" t="s">
        <v>19</v>
      </c>
      <c r="X2" s="3" t="s">
        <v>23</v>
      </c>
      <c r="Y2" s="2" t="s">
        <v>50</v>
      </c>
      <c r="Z2" s="3" t="s">
        <v>56</v>
      </c>
      <c r="AA2" s="3" t="s">
        <v>59</v>
      </c>
      <c r="AB2" s="3" t="s">
        <v>61</v>
      </c>
      <c r="AC2" s="3" t="s">
        <v>64</v>
      </c>
      <c r="AD2" s="2" t="s">
        <v>80</v>
      </c>
      <c r="AE2" s="2" t="s">
        <v>90</v>
      </c>
      <c r="AF2" s="2" t="s">
        <v>98</v>
      </c>
      <c r="AG2" s="3" t="s">
        <v>102</v>
      </c>
      <c r="AH2" s="3" t="s">
        <v>110</v>
      </c>
      <c r="AI2" s="3" t="s">
        <v>115</v>
      </c>
      <c r="AJ2" s="2" t="s">
        <v>120</v>
      </c>
      <c r="AK2" s="2" t="s">
        <v>126</v>
      </c>
      <c r="AL2" s="2" t="s">
        <v>132</v>
      </c>
      <c r="AM2" s="2" t="s">
        <v>138</v>
      </c>
      <c r="AN2" s="2" t="s">
        <v>142</v>
      </c>
      <c r="AO2" s="4" t="s">
        <v>145</v>
      </c>
      <c r="AP2" s="3" t="s">
        <v>151</v>
      </c>
      <c r="AQ2" s="3" t="s">
        <v>161</v>
      </c>
      <c r="AR2" s="1" t="s">
        <v>167</v>
      </c>
      <c r="AS2" s="2" t="s">
        <v>171</v>
      </c>
      <c r="AT2" s="2" t="s">
        <v>175</v>
      </c>
      <c r="AU2" s="3" t="s">
        <v>183</v>
      </c>
      <c r="AV2" s="2" t="s">
        <v>191</v>
      </c>
      <c r="AW2" s="1" t="s">
        <v>709</v>
      </c>
      <c r="AX2" s="2" t="s">
        <v>710</v>
      </c>
      <c r="AY2" s="2" t="s">
        <v>711</v>
      </c>
      <c r="AZ2" s="2" t="s">
        <v>712</v>
      </c>
      <c r="BA2" s="3" t="s">
        <v>713</v>
      </c>
      <c r="BB2" s="7" t="s">
        <v>714</v>
      </c>
      <c r="BC2" s="3" t="s">
        <v>237</v>
      </c>
      <c r="BD2" s="2" t="s">
        <v>245</v>
      </c>
      <c r="BE2" s="2" t="s">
        <v>251</v>
      </c>
      <c r="BF2" s="2" t="s">
        <v>258</v>
      </c>
      <c r="BG2" s="2" t="s">
        <v>715</v>
      </c>
      <c r="BH2" s="3" t="s">
        <v>268</v>
      </c>
      <c r="BI2" s="3" t="s">
        <v>273</v>
      </c>
      <c r="BJ2" s="3" t="s">
        <v>278</v>
      </c>
      <c r="BK2" s="3" t="s">
        <v>285</v>
      </c>
      <c r="BL2" s="2" t="s">
        <v>303</v>
      </c>
      <c r="BM2" s="3" t="s">
        <v>306</v>
      </c>
      <c r="BN2" s="3" t="s">
        <v>308</v>
      </c>
      <c r="BO2" s="3" t="s">
        <v>313</v>
      </c>
      <c r="BP2" s="4" t="s">
        <v>320</v>
      </c>
      <c r="BQ2" s="2" t="s">
        <v>324</v>
      </c>
      <c r="BR2" s="2" t="s">
        <v>329</v>
      </c>
      <c r="BT2" s="2" t="s">
        <v>728</v>
      </c>
      <c r="BU2">
        <v>1</v>
      </c>
      <c r="BV2" s="2" t="s">
        <v>728</v>
      </c>
    </row>
    <row r="3" spans="1:74" ht="22.8">
      <c r="A3" s="1" t="s">
        <v>0</v>
      </c>
      <c r="B3" s="2" t="s">
        <v>2</v>
      </c>
      <c r="C3" s="15" t="str">
        <f t="shared" si="0"/>
        <v>N</v>
      </c>
      <c r="D3" s="15" t="str">
        <f t="shared" si="1"/>
        <v>N</v>
      </c>
      <c r="E3" s="15" t="str">
        <f t="shared" si="2"/>
        <v>N</v>
      </c>
      <c r="F3" s="15" t="str">
        <f t="shared" si="3"/>
        <v>N</v>
      </c>
      <c r="G3" s="15" t="str">
        <f t="shared" si="4"/>
        <v>SE</v>
      </c>
      <c r="H3" s="15" t="str">
        <f t="shared" si="5"/>
        <v>SE</v>
      </c>
      <c r="I3" s="15" t="str">
        <f t="shared" si="6"/>
        <v>SE</v>
      </c>
      <c r="J3" s="15" t="str">
        <f t="shared" si="7"/>
        <v>SE</v>
      </c>
      <c r="K3" s="15" t="str">
        <f t="shared" si="8"/>
        <v>S</v>
      </c>
      <c r="L3" s="15" t="str">
        <f t="shared" si="9"/>
        <v>S</v>
      </c>
      <c r="M3" s="15" t="str">
        <f t="shared" si="10"/>
        <v>S</v>
      </c>
      <c r="N3" s="15" t="str">
        <f t="shared" si="11"/>
        <v>S</v>
      </c>
      <c r="O3" s="15" t="str">
        <f t="shared" si="12"/>
        <v>S</v>
      </c>
      <c r="Q3" s="2" t="s">
        <v>5</v>
      </c>
      <c r="R3" s="2" t="s">
        <v>352</v>
      </c>
      <c r="S3" s="2" t="s">
        <v>5</v>
      </c>
      <c r="T3" s="2" t="s">
        <v>1</v>
      </c>
      <c r="U3" s="2" t="s">
        <v>6</v>
      </c>
      <c r="V3" s="4" t="s">
        <v>14</v>
      </c>
      <c r="W3" s="4" t="s">
        <v>20</v>
      </c>
      <c r="X3" s="4" t="s">
        <v>24</v>
      </c>
      <c r="Y3" s="2" t="s">
        <v>51</v>
      </c>
      <c r="Z3" s="3" t="s">
        <v>57</v>
      </c>
      <c r="AA3" s="3" t="s">
        <v>408</v>
      </c>
      <c r="AB3" s="3" t="s">
        <v>62</v>
      </c>
      <c r="AC3" s="3" t="s">
        <v>65</v>
      </c>
      <c r="AD3" s="2" t="s">
        <v>81</v>
      </c>
      <c r="AE3" s="2" t="s">
        <v>91</v>
      </c>
      <c r="AF3" s="2" t="s">
        <v>99</v>
      </c>
      <c r="AG3" s="3" t="s">
        <v>103</v>
      </c>
      <c r="AH3" s="4" t="s">
        <v>86</v>
      </c>
      <c r="AI3" s="4" t="s">
        <v>116</v>
      </c>
      <c r="AJ3" s="2" t="s">
        <v>121</v>
      </c>
      <c r="AK3" s="2" t="s">
        <v>127</v>
      </c>
      <c r="AL3" s="2" t="s">
        <v>133</v>
      </c>
      <c r="AM3" s="2" t="s">
        <v>139</v>
      </c>
      <c r="AN3" s="4" t="s">
        <v>143</v>
      </c>
      <c r="AO3" s="2" t="s">
        <v>146</v>
      </c>
      <c r="AP3" s="3" t="s">
        <v>152</v>
      </c>
      <c r="AQ3" s="1" t="s">
        <v>162</v>
      </c>
      <c r="AR3" s="1" t="s">
        <v>168</v>
      </c>
      <c r="AS3" s="2" t="s">
        <v>172</v>
      </c>
      <c r="AT3" s="2" t="s">
        <v>176</v>
      </c>
      <c r="AU3" s="3" t="s">
        <v>184</v>
      </c>
      <c r="AV3" s="2" t="s">
        <v>192</v>
      </c>
      <c r="AW3" s="4" t="s">
        <v>199</v>
      </c>
      <c r="AX3" s="2" t="s">
        <v>203</v>
      </c>
      <c r="AY3" s="2" t="s">
        <v>207</v>
      </c>
      <c r="AZ3" s="2" t="s">
        <v>81</v>
      </c>
      <c r="BA3" s="3" t="s">
        <v>224</v>
      </c>
      <c r="BB3" s="4" t="s">
        <v>232</v>
      </c>
      <c r="BC3" s="4" t="s">
        <v>238</v>
      </c>
      <c r="BD3" s="2" t="s">
        <v>246</v>
      </c>
      <c r="BE3" s="2" t="s">
        <v>252</v>
      </c>
      <c r="BF3" s="2" t="s">
        <v>259</v>
      </c>
      <c r="BG3" s="2" t="s">
        <v>267</v>
      </c>
      <c r="BH3" s="3" t="s">
        <v>269</v>
      </c>
      <c r="BI3" s="3" t="s">
        <v>274</v>
      </c>
      <c r="BJ3" s="1" t="s">
        <v>279</v>
      </c>
      <c r="BK3" s="3" t="s">
        <v>286</v>
      </c>
      <c r="BL3" s="2" t="s">
        <v>304</v>
      </c>
      <c r="BM3" s="4" t="s">
        <v>307</v>
      </c>
      <c r="BN3" s="4" t="s">
        <v>309</v>
      </c>
      <c r="BO3" s="4" t="s">
        <v>314</v>
      </c>
      <c r="BP3" s="2" t="s">
        <v>321</v>
      </c>
      <c r="BQ3" s="2" t="s">
        <v>325</v>
      </c>
      <c r="BR3" s="2" t="s">
        <v>330</v>
      </c>
      <c r="BT3" s="2" t="s">
        <v>687</v>
      </c>
      <c r="BU3">
        <v>2</v>
      </c>
      <c r="BV3" s="2" t="s">
        <v>687</v>
      </c>
    </row>
    <row r="4" spans="1:74" ht="34.200000000000003">
      <c r="A4" s="1" t="s">
        <v>0</v>
      </c>
      <c r="B4" s="2" t="s">
        <v>3</v>
      </c>
      <c r="C4" s="15" t="str">
        <f t="shared" si="0"/>
        <v>NW</v>
      </c>
      <c r="D4" s="15" t="str">
        <f t="shared" si="1"/>
        <v>NW</v>
      </c>
      <c r="E4" s="15" t="str">
        <f t="shared" si="2"/>
        <v>NW</v>
      </c>
      <c r="F4" s="15" t="str">
        <f t="shared" si="3"/>
        <v>NW</v>
      </c>
      <c r="G4" s="15" t="str">
        <f t="shared" si="4"/>
        <v>NW</v>
      </c>
      <c r="H4" s="15" t="str">
        <f t="shared" si="5"/>
        <v>NW</v>
      </c>
      <c r="I4" s="15" t="str">
        <f t="shared" si="6"/>
        <v>S</v>
      </c>
      <c r="J4" s="15" t="str">
        <f t="shared" si="7"/>
        <v>S</v>
      </c>
      <c r="K4" s="15" t="str">
        <f t="shared" si="8"/>
        <v>S</v>
      </c>
      <c r="L4" s="15" t="str">
        <f t="shared" si="9"/>
        <v>S</v>
      </c>
      <c r="M4" s="15" t="str">
        <f t="shared" si="10"/>
        <v>S</v>
      </c>
      <c r="N4" s="15" t="str">
        <f t="shared" si="11"/>
        <v>S</v>
      </c>
      <c r="O4" s="15" t="str">
        <f t="shared" si="12"/>
        <v>WNW</v>
      </c>
      <c r="Q4" s="3" t="s">
        <v>13</v>
      </c>
      <c r="R4" s="4" t="s">
        <v>360</v>
      </c>
      <c r="S4" s="3" t="s">
        <v>13</v>
      </c>
      <c r="T4" s="2" t="s">
        <v>2</v>
      </c>
      <c r="U4" s="2" t="s">
        <v>7</v>
      </c>
      <c r="V4" s="2" t="s">
        <v>15</v>
      </c>
      <c r="W4" s="2" t="s">
        <v>21</v>
      </c>
      <c r="X4" s="4" t="s">
        <v>25</v>
      </c>
      <c r="Y4" s="2" t="s">
        <v>52</v>
      </c>
      <c r="Z4" s="3" t="s">
        <v>58</v>
      </c>
      <c r="AA4" s="3" t="s">
        <v>60</v>
      </c>
      <c r="AB4" s="15" t="s">
        <v>63</v>
      </c>
      <c r="AC4" s="3" t="s">
        <v>66</v>
      </c>
      <c r="AD4" s="2" t="s">
        <v>82</v>
      </c>
      <c r="AE4" s="2" t="s">
        <v>92</v>
      </c>
      <c r="AF4" s="2" t="s">
        <v>100</v>
      </c>
      <c r="AG4" s="3" t="s">
        <v>104</v>
      </c>
      <c r="AH4" s="2" t="s">
        <v>111</v>
      </c>
      <c r="AI4" s="2" t="s">
        <v>117</v>
      </c>
      <c r="AJ4" s="2" t="s">
        <v>122</v>
      </c>
      <c r="AK4" s="2" t="s">
        <v>128</v>
      </c>
      <c r="AL4" s="2" t="s">
        <v>134</v>
      </c>
      <c r="AM4" s="2" t="s">
        <v>140</v>
      </c>
      <c r="AN4" s="2" t="s">
        <v>144</v>
      </c>
      <c r="AO4" s="2" t="s">
        <v>147</v>
      </c>
      <c r="AP4" s="3" t="s">
        <v>153</v>
      </c>
      <c r="AQ4" s="1" t="s">
        <v>163</v>
      </c>
      <c r="AR4" s="1" t="s">
        <v>128</v>
      </c>
      <c r="AS4" s="2" t="s">
        <v>173</v>
      </c>
      <c r="AT4" s="2" t="s">
        <v>177</v>
      </c>
      <c r="AU4" s="2" t="s">
        <v>185</v>
      </c>
      <c r="AV4" s="2" t="s">
        <v>193</v>
      </c>
      <c r="AW4" s="2" t="s">
        <v>200</v>
      </c>
      <c r="AX4" s="2" t="s">
        <v>204</v>
      </c>
      <c r="AY4" s="2" t="s">
        <v>208</v>
      </c>
      <c r="AZ4" s="4" t="s">
        <v>213</v>
      </c>
      <c r="BA4" s="3" t="s">
        <v>225</v>
      </c>
      <c r="BB4" s="2" t="s">
        <v>233</v>
      </c>
      <c r="BC4" s="2" t="s">
        <v>239</v>
      </c>
      <c r="BD4" s="2" t="s">
        <v>247</v>
      </c>
      <c r="BE4" s="2" t="s">
        <v>253</v>
      </c>
      <c r="BF4" s="2" t="s">
        <v>260</v>
      </c>
      <c r="BG4" s="15"/>
      <c r="BH4" s="3" t="s">
        <v>270</v>
      </c>
      <c r="BI4" s="3" t="s">
        <v>275</v>
      </c>
      <c r="BJ4" s="3" t="s">
        <v>280</v>
      </c>
      <c r="BK4" s="3" t="s">
        <v>287</v>
      </c>
      <c r="BL4" s="2" t="s">
        <v>305</v>
      </c>
      <c r="BM4" s="4" t="s">
        <v>305</v>
      </c>
      <c r="BN4" s="2" t="s">
        <v>310</v>
      </c>
      <c r="BO4" s="2" t="s">
        <v>315</v>
      </c>
      <c r="BP4" s="2" t="s">
        <v>270</v>
      </c>
      <c r="BQ4" s="2" t="s">
        <v>326</v>
      </c>
      <c r="BR4" s="2" t="s">
        <v>331</v>
      </c>
      <c r="BT4" s="2" t="s">
        <v>688</v>
      </c>
      <c r="BU4">
        <v>3</v>
      </c>
      <c r="BV4" s="2" t="s">
        <v>688</v>
      </c>
    </row>
    <row r="5" spans="1:74" ht="22.8">
      <c r="A5" s="1" t="s">
        <v>0</v>
      </c>
      <c r="B5" s="2" t="s">
        <v>4</v>
      </c>
      <c r="C5" s="15" t="str">
        <f t="shared" si="0"/>
        <v>NW</v>
      </c>
      <c r="D5" s="15" t="str">
        <f t="shared" si="1"/>
        <v>N</v>
      </c>
      <c r="E5" s="15" t="str">
        <f t="shared" si="2"/>
        <v>S</v>
      </c>
      <c r="F5" s="15" t="str">
        <f t="shared" si="3"/>
        <v>S</v>
      </c>
      <c r="G5" s="15" t="str">
        <f t="shared" si="4"/>
        <v>S</v>
      </c>
      <c r="H5" s="15" t="str">
        <f t="shared" si="5"/>
        <v>W</v>
      </c>
      <c r="I5" s="15" t="str">
        <f t="shared" si="6"/>
        <v>W</v>
      </c>
      <c r="J5" s="15" t="str">
        <f t="shared" si="7"/>
        <v>E</v>
      </c>
      <c r="K5" s="15" t="str">
        <f t="shared" si="8"/>
        <v>ENE</v>
      </c>
      <c r="L5" s="15" t="str">
        <f t="shared" si="9"/>
        <v>E</v>
      </c>
      <c r="M5" s="15" t="str">
        <f t="shared" si="10"/>
        <v>NNW</v>
      </c>
      <c r="N5" s="15" t="str">
        <f t="shared" si="11"/>
        <v>NW</v>
      </c>
      <c r="O5" s="15" t="str">
        <f t="shared" si="12"/>
        <v>E</v>
      </c>
      <c r="Q5" s="3" t="s">
        <v>19</v>
      </c>
      <c r="R5" s="4" t="s">
        <v>366</v>
      </c>
      <c r="S5" s="3" t="s">
        <v>19</v>
      </c>
      <c r="T5" s="2" t="s">
        <v>3</v>
      </c>
      <c r="U5" s="2" t="s">
        <v>8</v>
      </c>
      <c r="V5" s="2" t="s">
        <v>16</v>
      </c>
      <c r="W5" s="2" t="s">
        <v>22</v>
      </c>
      <c r="X5" s="2" t="s">
        <v>26</v>
      </c>
      <c r="Y5" s="4" t="s">
        <v>53</v>
      </c>
      <c r="Z5" s="15"/>
      <c r="AA5" s="15"/>
      <c r="AB5" s="15"/>
      <c r="AC5" s="5" t="s">
        <v>67</v>
      </c>
      <c r="AD5" s="2" t="s">
        <v>83</v>
      </c>
      <c r="AE5" s="2" t="s">
        <v>93</v>
      </c>
      <c r="AF5" s="2" t="s">
        <v>101</v>
      </c>
      <c r="AG5" s="3" t="s">
        <v>105</v>
      </c>
      <c r="AH5" s="2" t="s">
        <v>112</v>
      </c>
      <c r="AI5" s="4" t="s">
        <v>118</v>
      </c>
      <c r="AJ5" s="2" t="s">
        <v>123</v>
      </c>
      <c r="AK5" s="2" t="s">
        <v>129</v>
      </c>
      <c r="AL5" s="2" t="s">
        <v>135</v>
      </c>
      <c r="AM5" s="2" t="s">
        <v>141</v>
      </c>
      <c r="AN5" s="15"/>
      <c r="AO5" s="2" t="s">
        <v>148</v>
      </c>
      <c r="AP5" s="3" t="s">
        <v>154</v>
      </c>
      <c r="AQ5" s="1" t="s">
        <v>164</v>
      </c>
      <c r="AR5" s="1" t="s">
        <v>169</v>
      </c>
      <c r="AS5" s="2" t="s">
        <v>174</v>
      </c>
      <c r="AT5" s="2" t="s">
        <v>178</v>
      </c>
      <c r="AU5" s="2" t="s">
        <v>186</v>
      </c>
      <c r="AV5" s="2" t="s">
        <v>194</v>
      </c>
      <c r="AW5" s="2" t="s">
        <v>201</v>
      </c>
      <c r="AX5" s="2" t="s">
        <v>205</v>
      </c>
      <c r="AY5" s="2" t="s">
        <v>209</v>
      </c>
      <c r="AZ5" s="2" t="s">
        <v>214</v>
      </c>
      <c r="BA5" s="2" t="s">
        <v>226</v>
      </c>
      <c r="BB5" s="2" t="s">
        <v>234</v>
      </c>
      <c r="BC5" s="2" t="s">
        <v>240</v>
      </c>
      <c r="BD5" s="2" t="s">
        <v>248</v>
      </c>
      <c r="BE5" s="2" t="s">
        <v>254</v>
      </c>
      <c r="BF5" s="2" t="s">
        <v>261</v>
      </c>
      <c r="BG5" s="15"/>
      <c r="BH5" s="4" t="s">
        <v>172</v>
      </c>
      <c r="BI5" s="3" t="s">
        <v>276</v>
      </c>
      <c r="BJ5" s="3" t="s">
        <v>281</v>
      </c>
      <c r="BK5" s="4" t="s">
        <v>288</v>
      </c>
      <c r="BL5" s="15"/>
      <c r="BM5" s="15"/>
      <c r="BN5" s="2" t="s">
        <v>186</v>
      </c>
      <c r="BO5" s="2" t="s">
        <v>316</v>
      </c>
      <c r="BP5" s="2" t="s">
        <v>322</v>
      </c>
      <c r="BQ5" s="2" t="s">
        <v>327</v>
      </c>
      <c r="BR5" s="2" t="s">
        <v>332</v>
      </c>
      <c r="BT5" s="2" t="s">
        <v>689</v>
      </c>
      <c r="BU5">
        <v>4</v>
      </c>
      <c r="BV5" s="2" t="s">
        <v>689</v>
      </c>
    </row>
    <row r="6" spans="1:74" ht="22.8">
      <c r="A6" s="2" t="s">
        <v>5</v>
      </c>
      <c r="B6" s="2" t="s">
        <v>6</v>
      </c>
      <c r="C6" s="15" t="str">
        <f t="shared" si="0"/>
        <v>N</v>
      </c>
      <c r="D6" s="15" t="str">
        <f t="shared" si="1"/>
        <v>N</v>
      </c>
      <c r="E6" s="15" t="str">
        <f t="shared" si="2"/>
        <v>N</v>
      </c>
      <c r="F6" s="15" t="str">
        <f t="shared" si="3"/>
        <v>S</v>
      </c>
      <c r="G6" s="15" t="str">
        <f t="shared" si="4"/>
        <v>SSE</v>
      </c>
      <c r="H6" s="15" t="str">
        <f t="shared" si="5"/>
        <v>SSE</v>
      </c>
      <c r="I6" s="15" t="str">
        <f t="shared" si="6"/>
        <v>SSE</v>
      </c>
      <c r="J6" s="15" t="str">
        <f t="shared" si="7"/>
        <v>SSE</v>
      </c>
      <c r="K6" s="15" t="str">
        <f t="shared" si="8"/>
        <v>SSE</v>
      </c>
      <c r="L6" s="15" t="str">
        <f t="shared" si="9"/>
        <v>N</v>
      </c>
      <c r="M6" s="15" t="str">
        <f t="shared" si="10"/>
        <v>N</v>
      </c>
      <c r="N6" s="15" t="str">
        <f t="shared" si="11"/>
        <v>N</v>
      </c>
      <c r="O6" s="15" t="str">
        <f t="shared" si="12"/>
        <v>N</v>
      </c>
      <c r="Q6" s="3" t="s">
        <v>23</v>
      </c>
      <c r="R6" s="4" t="s">
        <v>371</v>
      </c>
      <c r="S6" s="3" t="s">
        <v>23</v>
      </c>
      <c r="T6" s="2" t="s">
        <v>4</v>
      </c>
      <c r="U6" s="2" t="s">
        <v>9</v>
      </c>
      <c r="V6" s="2" t="s">
        <v>17</v>
      </c>
      <c r="W6" s="15"/>
      <c r="X6" s="2" t="s">
        <v>27</v>
      </c>
      <c r="Y6" s="3" t="s">
        <v>54</v>
      </c>
      <c r="Z6" s="15"/>
      <c r="AA6" s="15"/>
      <c r="AB6" s="15"/>
      <c r="AC6" s="3" t="s">
        <v>68</v>
      </c>
      <c r="AD6" s="2" t="s">
        <v>84</v>
      </c>
      <c r="AE6" s="2" t="s">
        <v>94</v>
      </c>
      <c r="AF6" s="15"/>
      <c r="AG6" s="3" t="s">
        <v>106</v>
      </c>
      <c r="AH6" s="2" t="s">
        <v>113</v>
      </c>
      <c r="AI6" s="2" t="s">
        <v>119</v>
      </c>
      <c r="AJ6" s="2" t="s">
        <v>124</v>
      </c>
      <c r="AK6" s="2" t="s">
        <v>130</v>
      </c>
      <c r="AL6" s="4" t="s">
        <v>136</v>
      </c>
      <c r="AM6" s="15"/>
      <c r="AN6" s="15"/>
      <c r="AO6" s="2" t="s">
        <v>149</v>
      </c>
      <c r="AP6" s="3" t="s">
        <v>155</v>
      </c>
      <c r="AQ6" s="1" t="s">
        <v>165</v>
      </c>
      <c r="AR6" s="1" t="s">
        <v>170</v>
      </c>
      <c r="AS6" s="2" t="s">
        <v>109</v>
      </c>
      <c r="AT6" s="2" t="s">
        <v>179</v>
      </c>
      <c r="AU6" s="2" t="s">
        <v>187</v>
      </c>
      <c r="AV6" s="2" t="s">
        <v>195</v>
      </c>
      <c r="AW6" s="15"/>
      <c r="AX6" s="15"/>
      <c r="AY6" s="2" t="s">
        <v>210</v>
      </c>
      <c r="AZ6" s="2" t="s">
        <v>215</v>
      </c>
      <c r="BA6" s="2" t="s">
        <v>227</v>
      </c>
      <c r="BB6" s="2" t="s">
        <v>235</v>
      </c>
      <c r="BC6" s="2" t="s">
        <v>86</v>
      </c>
      <c r="BD6" s="2" t="s">
        <v>249</v>
      </c>
      <c r="BE6" s="2" t="s">
        <v>255</v>
      </c>
      <c r="BF6" s="2" t="s">
        <v>262</v>
      </c>
      <c r="BG6" s="15"/>
      <c r="BH6" s="2" t="s">
        <v>271</v>
      </c>
      <c r="BI6" s="3" t="s">
        <v>277</v>
      </c>
      <c r="BJ6" s="3" t="s">
        <v>282</v>
      </c>
      <c r="BK6" s="2" t="s">
        <v>289</v>
      </c>
      <c r="BL6" s="15"/>
      <c r="BM6" s="15"/>
      <c r="BN6" s="2" t="s">
        <v>311</v>
      </c>
      <c r="BO6" s="2" t="s">
        <v>317</v>
      </c>
      <c r="BP6" s="2" t="s">
        <v>323</v>
      </c>
      <c r="BQ6" s="2" t="s">
        <v>328</v>
      </c>
      <c r="BR6" s="2" t="s">
        <v>333</v>
      </c>
      <c r="BT6" s="2" t="s">
        <v>690</v>
      </c>
      <c r="BU6">
        <v>5</v>
      </c>
      <c r="BV6" s="2" t="s">
        <v>690</v>
      </c>
    </row>
    <row r="7" spans="1:74" ht="22.8">
      <c r="A7" s="2" t="s">
        <v>5</v>
      </c>
      <c r="B7" s="2" t="s">
        <v>7</v>
      </c>
      <c r="C7" s="15" t="str">
        <f t="shared" si="0"/>
        <v>ENE</v>
      </c>
      <c r="D7" s="15" t="str">
        <f t="shared" si="1"/>
        <v>ENE</v>
      </c>
      <c r="E7" s="15" t="str">
        <f t="shared" si="2"/>
        <v>ENE</v>
      </c>
      <c r="F7" s="15" t="str">
        <f t="shared" si="3"/>
        <v>ENE</v>
      </c>
      <c r="G7" s="15" t="str">
        <f t="shared" si="4"/>
        <v>ENE</v>
      </c>
      <c r="H7" s="15" t="str">
        <f t="shared" si="5"/>
        <v>E</v>
      </c>
      <c r="I7" s="15" t="str">
        <f t="shared" si="6"/>
        <v>E</v>
      </c>
      <c r="J7" s="15" t="str">
        <f t="shared" si="7"/>
        <v>E</v>
      </c>
      <c r="K7" s="15" t="str">
        <f t="shared" si="8"/>
        <v>ENE</v>
      </c>
      <c r="L7" s="15" t="str">
        <f t="shared" si="9"/>
        <v>ENE</v>
      </c>
      <c r="M7" s="15" t="str">
        <f t="shared" si="10"/>
        <v>ENE</v>
      </c>
      <c r="N7" s="15" t="str">
        <f t="shared" si="11"/>
        <v>ENE</v>
      </c>
      <c r="O7" s="15" t="str">
        <f t="shared" si="12"/>
        <v>ENE</v>
      </c>
      <c r="Q7" s="2" t="s">
        <v>50</v>
      </c>
      <c r="R7" s="2" t="s">
        <v>400</v>
      </c>
      <c r="S7" s="2" t="s">
        <v>50</v>
      </c>
      <c r="T7" s="18"/>
      <c r="U7" s="2" t="s">
        <v>10</v>
      </c>
      <c r="V7" s="2" t="s">
        <v>18</v>
      </c>
      <c r="W7" s="15"/>
      <c r="X7" s="2" t="s">
        <v>28</v>
      </c>
      <c r="Y7" s="3" t="s">
        <v>55</v>
      </c>
      <c r="Z7" s="15"/>
      <c r="AA7" s="15"/>
      <c r="AB7" s="15"/>
      <c r="AC7" s="3" t="s">
        <v>69</v>
      </c>
      <c r="AD7" s="2" t="s">
        <v>85</v>
      </c>
      <c r="AE7" s="2" t="s">
        <v>95</v>
      </c>
      <c r="AF7" s="15"/>
      <c r="AG7" s="5" t="s">
        <v>107</v>
      </c>
      <c r="AH7" s="2" t="s">
        <v>114</v>
      </c>
      <c r="AI7" s="15"/>
      <c r="AJ7" s="2" t="s">
        <v>125</v>
      </c>
      <c r="AK7" s="2" t="s">
        <v>131</v>
      </c>
      <c r="AL7" s="2" t="s">
        <v>137</v>
      </c>
      <c r="AM7" s="15"/>
      <c r="AN7" s="15"/>
      <c r="AO7" s="2" t="s">
        <v>150</v>
      </c>
      <c r="AP7" s="3" t="s">
        <v>156</v>
      </c>
      <c r="AQ7" s="1" t="s">
        <v>166</v>
      </c>
      <c r="AR7" s="15"/>
      <c r="AS7" s="15"/>
      <c r="AT7" s="2" t="s">
        <v>180</v>
      </c>
      <c r="AU7" s="2" t="s">
        <v>188</v>
      </c>
      <c r="AV7" s="2" t="s">
        <v>196</v>
      </c>
      <c r="AW7" s="15"/>
      <c r="AX7" s="15"/>
      <c r="AY7" s="2" t="s">
        <v>211</v>
      </c>
      <c r="AZ7" s="2" t="s">
        <v>216</v>
      </c>
      <c r="BA7" s="2" t="s">
        <v>228</v>
      </c>
      <c r="BB7" s="2" t="s">
        <v>236</v>
      </c>
      <c r="BC7" s="2" t="s">
        <v>241</v>
      </c>
      <c r="BD7" s="2" t="s">
        <v>250</v>
      </c>
      <c r="BE7" s="2" t="s">
        <v>256</v>
      </c>
      <c r="BF7" s="2" t="s">
        <v>263</v>
      </c>
      <c r="BG7" s="15"/>
      <c r="BH7" s="2" t="s">
        <v>272</v>
      </c>
      <c r="BI7" s="15"/>
      <c r="BJ7" s="3" t="s">
        <v>283</v>
      </c>
      <c r="BK7" s="2" t="s">
        <v>290</v>
      </c>
      <c r="BL7" s="15"/>
      <c r="BM7" s="15"/>
      <c r="BN7" s="2" t="s">
        <v>312</v>
      </c>
      <c r="BO7" s="2" t="s">
        <v>318</v>
      </c>
      <c r="BP7" s="15"/>
      <c r="BQ7" s="15"/>
      <c r="BR7" s="15"/>
      <c r="BT7" s="2" t="s">
        <v>691</v>
      </c>
      <c r="BU7">
        <v>6</v>
      </c>
      <c r="BV7" s="2" t="s">
        <v>691</v>
      </c>
    </row>
    <row r="8" spans="1:74" ht="22.8">
      <c r="A8" s="2" t="s">
        <v>5</v>
      </c>
      <c r="B8" s="2" t="s">
        <v>8</v>
      </c>
      <c r="C8" s="15" t="str">
        <f t="shared" si="0"/>
        <v>SSE</v>
      </c>
      <c r="D8" s="15" t="str">
        <f t="shared" si="1"/>
        <v>SE</v>
      </c>
      <c r="E8" s="15" t="str">
        <f t="shared" si="2"/>
        <v>SE</v>
      </c>
      <c r="F8" s="15" t="str">
        <f t="shared" si="3"/>
        <v>NNW</v>
      </c>
      <c r="G8" s="15" t="str">
        <f t="shared" si="4"/>
        <v>SSE</v>
      </c>
      <c r="H8" s="15" t="str">
        <f t="shared" si="5"/>
        <v>SSE</v>
      </c>
      <c r="I8" s="15" t="str">
        <f t="shared" si="6"/>
        <v>SSE</v>
      </c>
      <c r="J8" s="15" t="str">
        <f t="shared" si="7"/>
        <v>SSE</v>
      </c>
      <c r="K8" s="15" t="str">
        <f t="shared" si="8"/>
        <v>SSE</v>
      </c>
      <c r="L8" s="15" t="str">
        <f t="shared" si="9"/>
        <v>NNW</v>
      </c>
      <c r="M8" s="15" t="str">
        <f t="shared" si="10"/>
        <v>NNW</v>
      </c>
      <c r="N8" s="15" t="str">
        <f t="shared" si="11"/>
        <v>SSE</v>
      </c>
      <c r="O8" s="15" t="str">
        <f t="shared" si="12"/>
        <v>SSE</v>
      </c>
      <c r="Q8" s="3" t="s">
        <v>56</v>
      </c>
      <c r="R8" s="3" t="s">
        <v>406</v>
      </c>
      <c r="S8" s="3" t="s">
        <v>56</v>
      </c>
      <c r="T8" s="19"/>
      <c r="U8" s="2" t="s">
        <v>11</v>
      </c>
      <c r="V8" s="15"/>
      <c r="W8" s="15"/>
      <c r="X8" s="2" t="s">
        <v>29</v>
      </c>
      <c r="Y8" s="15"/>
      <c r="Z8" s="15"/>
      <c r="AA8" s="15"/>
      <c r="AB8" s="15"/>
      <c r="AC8" s="4" t="s">
        <v>70</v>
      </c>
      <c r="AD8" s="4" t="s">
        <v>86</v>
      </c>
      <c r="AE8" s="2" t="s">
        <v>96</v>
      </c>
      <c r="AF8" s="15"/>
      <c r="AG8" s="2" t="s">
        <v>108</v>
      </c>
      <c r="AH8" s="2" t="s">
        <v>699</v>
      </c>
      <c r="AI8" s="15"/>
      <c r="AJ8" s="15"/>
      <c r="AK8" s="15"/>
      <c r="AL8" s="15"/>
      <c r="AM8" s="15"/>
      <c r="AN8" s="15"/>
      <c r="AO8" s="15"/>
      <c r="AP8" s="1" t="s">
        <v>157</v>
      </c>
      <c r="AQ8" s="15"/>
      <c r="AR8" s="15"/>
      <c r="AS8" s="15"/>
      <c r="AT8" s="2" t="s">
        <v>181</v>
      </c>
      <c r="AU8" s="2" t="s">
        <v>189</v>
      </c>
      <c r="AV8" s="2" t="s">
        <v>197</v>
      </c>
      <c r="AW8" s="15"/>
      <c r="AX8" s="15"/>
      <c r="AY8" s="15"/>
      <c r="AZ8" s="2" t="s">
        <v>217</v>
      </c>
      <c r="BA8" s="2" t="s">
        <v>229</v>
      </c>
      <c r="BB8" s="15"/>
      <c r="BC8" s="2" t="s">
        <v>242</v>
      </c>
      <c r="BD8" s="15"/>
      <c r="BE8" s="2" t="s">
        <v>141</v>
      </c>
      <c r="BF8" s="2" t="s">
        <v>264</v>
      </c>
      <c r="BG8" s="15"/>
      <c r="BH8" s="15"/>
      <c r="BI8" s="15"/>
      <c r="BJ8" s="3" t="s">
        <v>284</v>
      </c>
      <c r="BK8" s="2" t="s">
        <v>291</v>
      </c>
      <c r="BL8" s="15"/>
      <c r="BM8" s="15"/>
      <c r="BN8" s="2" t="s">
        <v>703</v>
      </c>
      <c r="BO8" s="2" t="s">
        <v>319</v>
      </c>
      <c r="BP8" s="15"/>
      <c r="BQ8" s="15"/>
      <c r="BR8" s="15"/>
      <c r="BT8" s="2" t="s">
        <v>692</v>
      </c>
      <c r="BU8">
        <v>7</v>
      </c>
      <c r="BV8" s="2" t="s">
        <v>692</v>
      </c>
    </row>
    <row r="9" spans="1:74" ht="22.8">
      <c r="A9" s="2" t="s">
        <v>5</v>
      </c>
      <c r="B9" s="2" t="s">
        <v>9</v>
      </c>
      <c r="C9" s="15" t="str">
        <f t="shared" si="0"/>
        <v>N</v>
      </c>
      <c r="D9" s="15" t="str">
        <f t="shared" si="1"/>
        <v>N</v>
      </c>
      <c r="E9" s="15" t="str">
        <f t="shared" si="2"/>
        <v>N</v>
      </c>
      <c r="F9" s="15" t="str">
        <f t="shared" si="3"/>
        <v>N</v>
      </c>
      <c r="G9" s="15" t="str">
        <f t="shared" si="4"/>
        <v>N</v>
      </c>
      <c r="H9" s="15" t="str">
        <f t="shared" si="5"/>
        <v>SW</v>
      </c>
      <c r="I9" s="15" t="str">
        <f t="shared" si="6"/>
        <v>SW</v>
      </c>
      <c r="J9" s="15" t="str">
        <f t="shared" si="7"/>
        <v>SW</v>
      </c>
      <c r="K9" s="15" t="str">
        <f t="shared" si="8"/>
        <v>N</v>
      </c>
      <c r="L9" s="15" t="str">
        <f t="shared" si="9"/>
        <v>N</v>
      </c>
      <c r="M9" s="15" t="str">
        <f t="shared" si="10"/>
        <v>N</v>
      </c>
      <c r="N9" s="15" t="str">
        <f t="shared" si="11"/>
        <v>N</v>
      </c>
      <c r="O9" s="15" t="str">
        <f t="shared" si="12"/>
        <v>N</v>
      </c>
      <c r="Q9" s="3" t="s">
        <v>59</v>
      </c>
      <c r="R9" s="3" t="s">
        <v>410</v>
      </c>
      <c r="S9" s="3" t="s">
        <v>59</v>
      </c>
      <c r="T9" s="19"/>
      <c r="U9" s="2" t="s">
        <v>12</v>
      </c>
      <c r="V9" s="15"/>
      <c r="W9" s="15"/>
      <c r="X9" s="2" t="s">
        <v>30</v>
      </c>
      <c r="Y9" s="15"/>
      <c r="Z9" s="15"/>
      <c r="AA9" s="15"/>
      <c r="AB9" s="15"/>
      <c r="AC9" s="2" t="s">
        <v>71</v>
      </c>
      <c r="AD9" s="2" t="s">
        <v>87</v>
      </c>
      <c r="AE9" s="2" t="s">
        <v>97</v>
      </c>
      <c r="AF9" s="15"/>
      <c r="AG9" s="2" t="s">
        <v>109</v>
      </c>
      <c r="AH9" s="15"/>
      <c r="AI9" s="15"/>
      <c r="AJ9" s="15"/>
      <c r="AK9" s="15"/>
      <c r="AL9" s="15"/>
      <c r="AM9" s="15"/>
      <c r="AN9" s="15"/>
      <c r="AO9" s="15"/>
      <c r="AP9" s="1" t="s">
        <v>158</v>
      </c>
      <c r="AQ9" s="15"/>
      <c r="AR9" s="15"/>
      <c r="AS9" s="15"/>
      <c r="AT9" s="6" t="s">
        <v>182</v>
      </c>
      <c r="AU9" s="2" t="s">
        <v>190</v>
      </c>
      <c r="AV9" s="15"/>
      <c r="AW9" s="15"/>
      <c r="AX9" s="15"/>
      <c r="AY9" s="15"/>
      <c r="AZ9" s="2" t="s">
        <v>218</v>
      </c>
      <c r="BA9" s="2" t="s">
        <v>230</v>
      </c>
      <c r="BB9" s="15"/>
      <c r="BC9" s="2" t="s">
        <v>243</v>
      </c>
      <c r="BD9" s="15"/>
      <c r="BE9" s="2" t="s">
        <v>257</v>
      </c>
      <c r="BF9" s="2" t="s">
        <v>265</v>
      </c>
      <c r="BG9" s="15"/>
      <c r="BH9" s="15"/>
      <c r="BI9" s="15"/>
      <c r="BJ9" s="15"/>
      <c r="BK9" s="2" t="s">
        <v>292</v>
      </c>
      <c r="BL9" s="15"/>
      <c r="BM9" s="15"/>
      <c r="BN9" s="15"/>
      <c r="BO9" s="15"/>
      <c r="BP9" s="15"/>
      <c r="BQ9" s="15"/>
      <c r="BR9" s="15"/>
      <c r="BT9" s="2" t="s">
        <v>693</v>
      </c>
      <c r="BU9">
        <v>8</v>
      </c>
      <c r="BV9" s="2" t="s">
        <v>693</v>
      </c>
    </row>
    <row r="10" spans="1:74" ht="22.8">
      <c r="A10" s="2" t="s">
        <v>5</v>
      </c>
      <c r="B10" s="2" t="s">
        <v>10</v>
      </c>
      <c r="C10" s="15" t="str">
        <f t="shared" si="0"/>
        <v>ESE</v>
      </c>
      <c r="D10" s="15" t="str">
        <f t="shared" si="1"/>
        <v>ESE</v>
      </c>
      <c r="E10" s="15" t="str">
        <f t="shared" si="2"/>
        <v>ESE</v>
      </c>
      <c r="F10" s="15" t="str">
        <f t="shared" si="3"/>
        <v>ESE</v>
      </c>
      <c r="G10" s="15" t="str">
        <f t="shared" si="4"/>
        <v>ESE</v>
      </c>
      <c r="H10" s="15" t="str">
        <f t="shared" si="5"/>
        <v>ESE</v>
      </c>
      <c r="I10" s="15" t="str">
        <f t="shared" si="6"/>
        <v>E</v>
      </c>
      <c r="J10" s="15" t="str">
        <f t="shared" si="7"/>
        <v>E</v>
      </c>
      <c r="K10" s="15" t="str">
        <f t="shared" si="8"/>
        <v>ESE</v>
      </c>
      <c r="L10" s="15" t="str">
        <f t="shared" si="9"/>
        <v>ESE</v>
      </c>
      <c r="M10" s="15" t="str">
        <f t="shared" si="10"/>
        <v>ESE</v>
      </c>
      <c r="N10" s="15" t="str">
        <f t="shared" si="11"/>
        <v>ESE</v>
      </c>
      <c r="O10" s="15" t="str">
        <f t="shared" si="12"/>
        <v>ESE</v>
      </c>
      <c r="Q10" s="3" t="s">
        <v>707</v>
      </c>
      <c r="R10" s="3" t="s">
        <v>413</v>
      </c>
      <c r="S10" s="3" t="s">
        <v>707</v>
      </c>
      <c r="T10" s="18"/>
      <c r="U10" s="15"/>
      <c r="V10" s="15"/>
      <c r="W10" s="15"/>
      <c r="X10" s="2" t="s">
        <v>31</v>
      </c>
      <c r="Y10" s="15"/>
      <c r="Z10" s="15"/>
      <c r="AA10" s="15"/>
      <c r="AB10" s="15"/>
      <c r="AC10" s="2" t="s">
        <v>72</v>
      </c>
      <c r="AD10" s="2" t="s">
        <v>88</v>
      </c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" t="s">
        <v>159</v>
      </c>
      <c r="AQ10" s="15"/>
      <c r="AR10" s="15"/>
      <c r="AS10" s="15"/>
      <c r="AT10" s="15"/>
      <c r="AU10" s="15"/>
      <c r="AV10" s="15"/>
      <c r="AW10" s="15"/>
      <c r="AX10" s="15"/>
      <c r="AY10" s="15"/>
      <c r="AZ10" s="2" t="s">
        <v>219</v>
      </c>
      <c r="BA10" s="2" t="s">
        <v>60</v>
      </c>
      <c r="BB10" s="15"/>
      <c r="BC10" s="2" t="s">
        <v>244</v>
      </c>
      <c r="BD10" s="15"/>
      <c r="BE10" s="15"/>
      <c r="BF10" s="15"/>
      <c r="BG10" s="15"/>
      <c r="BH10" s="15"/>
      <c r="BI10" s="15"/>
      <c r="BJ10" s="15"/>
      <c r="BK10" s="2" t="s">
        <v>293</v>
      </c>
      <c r="BL10" s="15"/>
      <c r="BM10" s="15"/>
      <c r="BN10" s="15"/>
      <c r="BO10" s="15"/>
      <c r="BP10" s="15"/>
      <c r="BQ10" s="15"/>
      <c r="BR10" s="15"/>
      <c r="BT10" s="2" t="s">
        <v>694</v>
      </c>
      <c r="BU10">
        <v>9</v>
      </c>
      <c r="BV10" s="2" t="s">
        <v>694</v>
      </c>
    </row>
    <row r="11" spans="1:74">
      <c r="A11" s="2" t="s">
        <v>5</v>
      </c>
      <c r="B11" s="2" t="s">
        <v>11</v>
      </c>
      <c r="C11" s="15" t="str">
        <f t="shared" si="0"/>
        <v>NW</v>
      </c>
      <c r="D11" s="15" t="str">
        <f t="shared" si="1"/>
        <v>NW</v>
      </c>
      <c r="E11" s="15" t="str">
        <f t="shared" si="2"/>
        <v>NW</v>
      </c>
      <c r="F11" s="15" t="str">
        <f t="shared" si="3"/>
        <v>NW</v>
      </c>
      <c r="G11" s="15" t="str">
        <f t="shared" si="4"/>
        <v>NW</v>
      </c>
      <c r="H11" s="15" t="str">
        <f t="shared" si="5"/>
        <v>E</v>
      </c>
      <c r="I11" s="15" t="str">
        <f t="shared" si="6"/>
        <v>ENE</v>
      </c>
      <c r="J11" s="15" t="str">
        <f t="shared" si="7"/>
        <v>NW</v>
      </c>
      <c r="K11" s="15" t="str">
        <f t="shared" si="8"/>
        <v>NW</v>
      </c>
      <c r="L11" s="15" t="str">
        <f t="shared" si="9"/>
        <v>NW</v>
      </c>
      <c r="M11" s="15" t="str">
        <f t="shared" si="10"/>
        <v>WNW</v>
      </c>
      <c r="N11" s="15" t="str">
        <f t="shared" si="11"/>
        <v>WNW</v>
      </c>
      <c r="O11" s="15" t="str">
        <f t="shared" si="12"/>
        <v>NW</v>
      </c>
      <c r="Q11" s="3" t="s">
        <v>64</v>
      </c>
      <c r="R11" s="3" t="s">
        <v>415</v>
      </c>
      <c r="S11" s="3" t="s">
        <v>64</v>
      </c>
      <c r="T11" s="19"/>
      <c r="U11" s="15"/>
      <c r="V11" s="15"/>
      <c r="W11" s="15"/>
      <c r="X11" s="2" t="s">
        <v>32</v>
      </c>
      <c r="Y11" s="15"/>
      <c r="Z11" s="15"/>
      <c r="AA11" s="15"/>
      <c r="AB11" s="15"/>
      <c r="AC11" s="2" t="s">
        <v>73</v>
      </c>
      <c r="AD11" s="2" t="s">
        <v>89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" t="s">
        <v>160</v>
      </c>
      <c r="AQ11" s="15"/>
      <c r="AR11" s="15"/>
      <c r="AS11" s="15"/>
      <c r="AT11" s="15"/>
      <c r="AU11" s="15"/>
      <c r="AV11" s="15"/>
      <c r="AW11" s="15"/>
      <c r="AX11" s="15"/>
      <c r="AY11" s="15"/>
      <c r="AZ11" s="2" t="s">
        <v>165</v>
      </c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2" t="s">
        <v>294</v>
      </c>
      <c r="BL11" s="15"/>
      <c r="BM11" s="15"/>
      <c r="BN11" s="15"/>
      <c r="BO11" s="15"/>
      <c r="BP11" s="15"/>
      <c r="BQ11" s="15"/>
      <c r="BR11" s="15"/>
      <c r="BT11" s="2" t="s">
        <v>695</v>
      </c>
      <c r="BU11">
        <v>10</v>
      </c>
      <c r="BV11" s="2" t="s">
        <v>695</v>
      </c>
    </row>
    <row r="12" spans="1:74" ht="22.8">
      <c r="A12" s="2" t="s">
        <v>5</v>
      </c>
      <c r="B12" s="2" t="s">
        <v>12</v>
      </c>
      <c r="C12" s="15" t="str">
        <f t="shared" si="0"/>
        <v>E</v>
      </c>
      <c r="D12" s="15" t="str">
        <f t="shared" si="1"/>
        <v>NE</v>
      </c>
      <c r="E12" s="15" t="str">
        <f t="shared" si="2"/>
        <v>E</v>
      </c>
      <c r="F12" s="15" t="str">
        <f t="shared" si="3"/>
        <v>N</v>
      </c>
      <c r="G12" s="15" t="str">
        <f t="shared" si="4"/>
        <v>N</v>
      </c>
      <c r="H12" s="15" t="str">
        <f t="shared" si="5"/>
        <v>WSW</v>
      </c>
      <c r="I12" s="15" t="str">
        <f t="shared" si="6"/>
        <v>WSW</v>
      </c>
      <c r="J12" s="15" t="str">
        <f t="shared" si="7"/>
        <v>SW</v>
      </c>
      <c r="K12" s="15" t="str">
        <f t="shared" si="8"/>
        <v>N</v>
      </c>
      <c r="L12" s="15" t="str">
        <f t="shared" si="9"/>
        <v>N</v>
      </c>
      <c r="M12" s="15" t="str">
        <f t="shared" si="10"/>
        <v>N</v>
      </c>
      <c r="N12" s="15" t="str">
        <f t="shared" si="11"/>
        <v>E</v>
      </c>
      <c r="O12" s="15" t="str">
        <f t="shared" si="12"/>
        <v>N</v>
      </c>
      <c r="Q12" s="2" t="s">
        <v>80</v>
      </c>
      <c r="R12" s="2" t="s">
        <v>431</v>
      </c>
      <c r="S12" s="2" t="s">
        <v>80</v>
      </c>
      <c r="T12" s="19"/>
      <c r="U12" s="15"/>
      <c r="V12" s="15"/>
      <c r="W12" s="15"/>
      <c r="X12" s="2" t="s">
        <v>33</v>
      </c>
      <c r="Y12" s="15"/>
      <c r="Z12" s="15"/>
      <c r="AA12" s="15"/>
      <c r="AB12" s="15"/>
      <c r="AC12" s="2" t="s">
        <v>74</v>
      </c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2" t="s">
        <v>220</v>
      </c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2" t="s">
        <v>295</v>
      </c>
      <c r="BL12" s="15"/>
      <c r="BM12" s="15"/>
      <c r="BN12" s="15"/>
      <c r="BO12" s="15"/>
      <c r="BP12" s="15"/>
      <c r="BQ12" s="15"/>
      <c r="BR12" s="15"/>
      <c r="BT12" s="2" t="s">
        <v>696</v>
      </c>
      <c r="BU12">
        <v>11</v>
      </c>
      <c r="BV12" s="2" t="s">
        <v>696</v>
      </c>
    </row>
    <row r="13" spans="1:74" ht="22.8">
      <c r="A13" s="3" t="s">
        <v>13</v>
      </c>
      <c r="B13" s="4" t="s">
        <v>14</v>
      </c>
      <c r="C13" s="15" t="str">
        <f t="shared" si="0"/>
        <v>SSW</v>
      </c>
      <c r="D13" s="15" t="str">
        <f t="shared" si="1"/>
        <v>SSW</v>
      </c>
      <c r="E13" s="15" t="str">
        <f t="shared" si="2"/>
        <v>SSW</v>
      </c>
      <c r="F13" s="15" t="str">
        <f t="shared" si="3"/>
        <v>SSW</v>
      </c>
      <c r="G13" s="15" t="str">
        <f t="shared" si="4"/>
        <v>SSW</v>
      </c>
      <c r="H13" s="15" t="str">
        <f t="shared" si="5"/>
        <v>SSW</v>
      </c>
      <c r="I13" s="15" t="str">
        <f t="shared" si="6"/>
        <v>SSW</v>
      </c>
      <c r="J13" s="15" t="str">
        <f t="shared" si="7"/>
        <v>SSW</v>
      </c>
      <c r="K13" s="15" t="str">
        <f t="shared" si="8"/>
        <v>SSW</v>
      </c>
      <c r="L13" s="15" t="str">
        <f t="shared" si="9"/>
        <v>SSW</v>
      </c>
      <c r="M13" s="15" t="str">
        <f t="shared" si="10"/>
        <v>SSW</v>
      </c>
      <c r="N13" s="15" t="str">
        <f t="shared" si="11"/>
        <v>SSW</v>
      </c>
      <c r="O13" s="15" t="str">
        <f t="shared" si="12"/>
        <v>SSW</v>
      </c>
      <c r="Q13" s="2" t="s">
        <v>90</v>
      </c>
      <c r="R13" s="2" t="s">
        <v>441</v>
      </c>
      <c r="S13" s="2" t="s">
        <v>90</v>
      </c>
      <c r="T13" s="18"/>
      <c r="U13" s="15"/>
      <c r="V13" s="15"/>
      <c r="W13" s="15"/>
      <c r="X13" s="2" t="s">
        <v>34</v>
      </c>
      <c r="Y13" s="15"/>
      <c r="Z13" s="15"/>
      <c r="AA13" s="15"/>
      <c r="AB13" s="15"/>
      <c r="AC13" s="2" t="s">
        <v>75</v>
      </c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2" t="s">
        <v>221</v>
      </c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2" t="s">
        <v>296</v>
      </c>
      <c r="BL13" s="15"/>
      <c r="BM13" s="15"/>
      <c r="BN13" s="15"/>
      <c r="BO13" s="15"/>
      <c r="BP13" s="15"/>
      <c r="BQ13" s="15"/>
      <c r="BR13" s="15"/>
      <c r="BT13" s="2" t="s">
        <v>697</v>
      </c>
      <c r="BU13">
        <v>12</v>
      </c>
      <c r="BV13" s="2" t="s">
        <v>697</v>
      </c>
    </row>
    <row r="14" spans="1:74" ht="22.8">
      <c r="A14" s="3" t="s">
        <v>13</v>
      </c>
      <c r="B14" s="2" t="s">
        <v>15</v>
      </c>
      <c r="C14" s="15" t="str">
        <f t="shared" si="0"/>
        <v>E</v>
      </c>
      <c r="D14" s="15" t="str">
        <f t="shared" si="1"/>
        <v>E</v>
      </c>
      <c r="E14" s="15" t="str">
        <f t="shared" si="2"/>
        <v>E</v>
      </c>
      <c r="F14" s="15" t="str">
        <f t="shared" si="3"/>
        <v>E</v>
      </c>
      <c r="G14" s="15" t="str">
        <f t="shared" si="4"/>
        <v>E</v>
      </c>
      <c r="H14" s="15" t="str">
        <f t="shared" si="5"/>
        <v>E</v>
      </c>
      <c r="I14" s="15" t="str">
        <f t="shared" si="6"/>
        <v>E</v>
      </c>
      <c r="J14" s="15" t="str">
        <f t="shared" si="7"/>
        <v>E</v>
      </c>
      <c r="K14" s="15" t="str">
        <f t="shared" si="8"/>
        <v>W</v>
      </c>
      <c r="L14" s="15" t="str">
        <f t="shared" si="9"/>
        <v>W</v>
      </c>
      <c r="M14" s="15" t="str">
        <f t="shared" si="10"/>
        <v>W</v>
      </c>
      <c r="N14" s="15" t="str">
        <f t="shared" si="11"/>
        <v>W</v>
      </c>
      <c r="O14" s="15" t="str">
        <f t="shared" si="12"/>
        <v>E</v>
      </c>
      <c r="Q14" s="2" t="s">
        <v>98</v>
      </c>
      <c r="R14" s="2" t="s">
        <v>449</v>
      </c>
      <c r="S14" s="2" t="s">
        <v>98</v>
      </c>
      <c r="T14" s="19"/>
      <c r="U14" s="15"/>
      <c r="V14" s="15"/>
      <c r="W14" s="15"/>
      <c r="X14" s="2" t="s">
        <v>35</v>
      </c>
      <c r="Y14" s="15"/>
      <c r="Z14" s="15"/>
      <c r="AA14" s="15"/>
      <c r="AB14" s="15"/>
      <c r="AC14" s="2" t="s">
        <v>76</v>
      </c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2" t="s">
        <v>222</v>
      </c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2" t="s">
        <v>297</v>
      </c>
      <c r="BL14" s="15"/>
      <c r="BM14" s="15"/>
      <c r="BN14" s="15"/>
      <c r="BO14" s="15"/>
      <c r="BP14" s="15"/>
      <c r="BQ14" s="15"/>
      <c r="BR14" s="15"/>
    </row>
    <row r="15" spans="1:74" ht="22.8">
      <c r="A15" s="3" t="s">
        <v>13</v>
      </c>
      <c r="B15" s="2" t="s">
        <v>16</v>
      </c>
      <c r="C15" s="15" t="str">
        <f t="shared" si="0"/>
        <v>SE</v>
      </c>
      <c r="D15" s="15" t="str">
        <f t="shared" si="1"/>
        <v>SE</v>
      </c>
      <c r="E15" s="15" t="str">
        <f t="shared" si="2"/>
        <v>SE</v>
      </c>
      <c r="F15" s="15" t="str">
        <f t="shared" si="3"/>
        <v>SE</v>
      </c>
      <c r="G15" s="15" t="str">
        <f t="shared" si="4"/>
        <v>SE</v>
      </c>
      <c r="H15" s="15" t="str">
        <f t="shared" si="5"/>
        <v>SSE</v>
      </c>
      <c r="I15" s="15" t="str">
        <f t="shared" si="6"/>
        <v>SSE</v>
      </c>
      <c r="J15" s="15" t="str">
        <f t="shared" si="7"/>
        <v>SE</v>
      </c>
      <c r="K15" s="15" t="str">
        <f t="shared" si="8"/>
        <v>SE</v>
      </c>
      <c r="L15" s="15" t="str">
        <f t="shared" si="9"/>
        <v>SE</v>
      </c>
      <c r="M15" s="15" t="str">
        <f t="shared" si="10"/>
        <v>SE</v>
      </c>
      <c r="N15" s="15" t="str">
        <f t="shared" si="11"/>
        <v>SE</v>
      </c>
      <c r="O15" s="15" t="str">
        <f t="shared" si="12"/>
        <v>SE</v>
      </c>
      <c r="Q15" s="3" t="s">
        <v>102</v>
      </c>
      <c r="R15" s="3" t="s">
        <v>453</v>
      </c>
      <c r="S15" s="3" t="s">
        <v>102</v>
      </c>
      <c r="T15" s="19"/>
      <c r="U15" s="15"/>
      <c r="V15" s="15"/>
      <c r="W15" s="15"/>
      <c r="X15" s="2" t="s">
        <v>36</v>
      </c>
      <c r="Y15" s="15"/>
      <c r="Z15" s="15"/>
      <c r="AA15" s="15"/>
      <c r="AB15" s="15"/>
      <c r="AC15" s="2" t="s">
        <v>77</v>
      </c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2" t="s">
        <v>298</v>
      </c>
      <c r="BL15" s="15"/>
      <c r="BM15" s="15"/>
      <c r="BN15" s="15"/>
      <c r="BO15" s="15"/>
      <c r="BP15" s="15"/>
      <c r="BQ15" s="15"/>
      <c r="BR15" s="15"/>
    </row>
    <row r="16" spans="1:74" ht="22.8">
      <c r="A16" s="3" t="s">
        <v>13</v>
      </c>
      <c r="B16" s="2" t="s">
        <v>17</v>
      </c>
      <c r="C16" s="15" t="str">
        <f t="shared" si="0"/>
        <v>SE</v>
      </c>
      <c r="D16" s="15" t="str">
        <f t="shared" si="1"/>
        <v>SE</v>
      </c>
      <c r="E16" s="15" t="str">
        <f t="shared" si="2"/>
        <v>WSW</v>
      </c>
      <c r="F16" s="15" t="str">
        <f t="shared" si="3"/>
        <v>SW</v>
      </c>
      <c r="G16" s="15" t="str">
        <f t="shared" si="4"/>
        <v>SW</v>
      </c>
      <c r="H16" s="15" t="str">
        <f t="shared" si="5"/>
        <v>SW</v>
      </c>
      <c r="I16" s="15" t="str">
        <f t="shared" si="6"/>
        <v>WSW</v>
      </c>
      <c r="J16" s="15" t="str">
        <f t="shared" si="7"/>
        <v>SW</v>
      </c>
      <c r="K16" s="15" t="str">
        <f t="shared" si="8"/>
        <v>SW</v>
      </c>
      <c r="L16" s="15" t="str">
        <f t="shared" si="9"/>
        <v>SE</v>
      </c>
      <c r="M16" s="15" t="str">
        <f t="shared" si="10"/>
        <v>SE</v>
      </c>
      <c r="N16" s="15" t="str">
        <f t="shared" si="11"/>
        <v>SE</v>
      </c>
      <c r="O16" s="15" t="str">
        <f t="shared" si="12"/>
        <v>SE</v>
      </c>
      <c r="Q16" s="3" t="s">
        <v>110</v>
      </c>
      <c r="R16" s="4" t="s">
        <v>460</v>
      </c>
      <c r="S16" s="3" t="s">
        <v>110</v>
      </c>
      <c r="T16" s="20"/>
      <c r="U16" s="15"/>
      <c r="V16" s="15"/>
      <c r="W16" s="15"/>
      <c r="X16" s="2" t="s">
        <v>37</v>
      </c>
      <c r="Y16" s="15"/>
      <c r="Z16" s="15"/>
      <c r="AA16" s="15"/>
      <c r="AB16" s="15"/>
      <c r="AC16" s="2" t="s">
        <v>78</v>
      </c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2" t="s">
        <v>299</v>
      </c>
      <c r="BL16" s="15"/>
      <c r="BM16" s="15"/>
      <c r="BN16" s="15"/>
      <c r="BO16" s="15"/>
      <c r="BP16" s="15"/>
      <c r="BQ16" s="15"/>
      <c r="BR16" s="15"/>
    </row>
    <row r="17" spans="1:70" ht="22.8">
      <c r="A17" s="3" t="s">
        <v>13</v>
      </c>
      <c r="B17" s="2" t="s">
        <v>18</v>
      </c>
      <c r="C17" s="15" t="str">
        <f t="shared" si="0"/>
        <v>N</v>
      </c>
      <c r="D17" s="15" t="str">
        <f t="shared" si="1"/>
        <v>N</v>
      </c>
      <c r="E17" s="15" t="str">
        <f t="shared" si="2"/>
        <v>WNW</v>
      </c>
      <c r="F17" s="15" t="str">
        <f t="shared" si="3"/>
        <v>W</v>
      </c>
      <c r="G17" s="15" t="str">
        <f t="shared" si="4"/>
        <v>WNW</v>
      </c>
      <c r="H17" s="15" t="str">
        <f t="shared" si="5"/>
        <v>SSE</v>
      </c>
      <c r="I17" s="15" t="str">
        <f t="shared" si="6"/>
        <v>SSE</v>
      </c>
      <c r="J17" s="15" t="str">
        <f t="shared" si="7"/>
        <v>SSE</v>
      </c>
      <c r="K17" s="15" t="str">
        <f t="shared" si="8"/>
        <v>SSE</v>
      </c>
      <c r="L17" s="15" t="str">
        <f t="shared" si="9"/>
        <v>N</v>
      </c>
      <c r="M17" s="15" t="str">
        <f t="shared" si="10"/>
        <v>N</v>
      </c>
      <c r="N17" s="15" t="str">
        <f t="shared" si="11"/>
        <v>N</v>
      </c>
      <c r="O17" s="15" t="str">
        <f t="shared" si="12"/>
        <v>N</v>
      </c>
      <c r="Q17" s="3" t="s">
        <v>115</v>
      </c>
      <c r="R17" s="4" t="s">
        <v>467</v>
      </c>
      <c r="S17" s="3" t="s">
        <v>115</v>
      </c>
      <c r="T17" s="18"/>
      <c r="U17" s="15"/>
      <c r="V17" s="15"/>
      <c r="W17" s="15"/>
      <c r="X17" s="2" t="s">
        <v>38</v>
      </c>
      <c r="Y17" s="15"/>
      <c r="Z17" s="15"/>
      <c r="AA17" s="15"/>
      <c r="AB17" s="15"/>
      <c r="AC17" s="2" t="s">
        <v>79</v>
      </c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2" t="s">
        <v>300</v>
      </c>
      <c r="BL17" s="15"/>
      <c r="BM17" s="15"/>
      <c r="BN17" s="15"/>
      <c r="BO17" s="15"/>
      <c r="BP17" s="15"/>
      <c r="BQ17" s="15"/>
      <c r="BR17" s="15"/>
    </row>
    <row r="18" spans="1:70">
      <c r="A18" s="3" t="s">
        <v>19</v>
      </c>
      <c r="B18" s="4" t="s">
        <v>20</v>
      </c>
      <c r="C18" s="15" t="str">
        <f t="shared" si="0"/>
        <v>N</v>
      </c>
      <c r="D18" s="15" t="str">
        <f t="shared" si="1"/>
        <v>N</v>
      </c>
      <c r="E18" s="15" t="str">
        <f t="shared" si="2"/>
        <v>S</v>
      </c>
      <c r="F18" s="15" t="str">
        <f t="shared" si="3"/>
        <v>S</v>
      </c>
      <c r="G18" s="15" t="str">
        <f t="shared" si="4"/>
        <v>S</v>
      </c>
      <c r="H18" s="15" t="str">
        <f t="shared" si="5"/>
        <v>S</v>
      </c>
      <c r="I18" s="15" t="str">
        <f t="shared" si="6"/>
        <v>S</v>
      </c>
      <c r="J18" s="15" t="str">
        <f t="shared" si="7"/>
        <v>S</v>
      </c>
      <c r="K18" s="15" t="str">
        <f t="shared" si="8"/>
        <v>N</v>
      </c>
      <c r="L18" s="15" t="str">
        <f t="shared" si="9"/>
        <v>N</v>
      </c>
      <c r="M18" s="15" t="str">
        <f t="shared" si="10"/>
        <v>S</v>
      </c>
      <c r="N18" s="15" t="str">
        <f t="shared" si="11"/>
        <v>N</v>
      </c>
      <c r="O18" s="15" t="str">
        <f t="shared" si="12"/>
        <v>S</v>
      </c>
      <c r="Q18" s="2" t="s">
        <v>120</v>
      </c>
      <c r="R18" s="2" t="s">
        <v>472</v>
      </c>
      <c r="S18" s="2" t="s">
        <v>120</v>
      </c>
      <c r="T18" s="19"/>
      <c r="U18" s="15"/>
      <c r="V18" s="15"/>
      <c r="W18" s="15"/>
      <c r="X18" s="2" t="s">
        <v>39</v>
      </c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2" t="s">
        <v>301</v>
      </c>
      <c r="BL18" s="15"/>
      <c r="BM18" s="15"/>
      <c r="BN18" s="15"/>
      <c r="BO18" s="15"/>
      <c r="BP18" s="15"/>
      <c r="BQ18" s="15"/>
      <c r="BR18" s="15"/>
    </row>
    <row r="19" spans="1:70" ht="22.8">
      <c r="A19" s="3" t="s">
        <v>19</v>
      </c>
      <c r="B19" s="2" t="s">
        <v>21</v>
      </c>
      <c r="C19" s="15" t="str">
        <f t="shared" si="0"/>
        <v>E</v>
      </c>
      <c r="D19" s="15" t="str">
        <f t="shared" si="1"/>
        <v>E</v>
      </c>
      <c r="E19" s="15" t="str">
        <f t="shared" si="2"/>
        <v>E</v>
      </c>
      <c r="F19" s="15" t="str">
        <f t="shared" si="3"/>
        <v>E</v>
      </c>
      <c r="G19" s="15" t="str">
        <f t="shared" si="4"/>
        <v>E</v>
      </c>
      <c r="H19" s="15" t="str">
        <f t="shared" si="5"/>
        <v>E</v>
      </c>
      <c r="I19" s="15" t="str">
        <f t="shared" si="6"/>
        <v>E</v>
      </c>
      <c r="J19" s="15" t="str">
        <f t="shared" si="7"/>
        <v>E</v>
      </c>
      <c r="K19" s="15" t="str">
        <f t="shared" si="8"/>
        <v>E</v>
      </c>
      <c r="L19" s="15" t="str">
        <f t="shared" si="9"/>
        <v>E</v>
      </c>
      <c r="M19" s="15" t="str">
        <f t="shared" si="10"/>
        <v>E</v>
      </c>
      <c r="N19" s="15" t="str">
        <f t="shared" si="11"/>
        <v>E</v>
      </c>
      <c r="O19" s="15" t="str">
        <f t="shared" si="12"/>
        <v>E</v>
      </c>
      <c r="Q19" s="2" t="s">
        <v>126</v>
      </c>
      <c r="R19" s="2" t="s">
        <v>477</v>
      </c>
      <c r="S19" s="2" t="s">
        <v>126</v>
      </c>
      <c r="T19" s="19"/>
      <c r="U19" s="15"/>
      <c r="V19" s="15"/>
      <c r="W19" s="15"/>
      <c r="X19" s="2" t="s">
        <v>40</v>
      </c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4" t="s">
        <v>302</v>
      </c>
      <c r="BL19" s="15"/>
      <c r="BM19" s="15"/>
      <c r="BN19" s="15"/>
      <c r="BO19" s="15"/>
      <c r="BP19" s="15"/>
      <c r="BQ19" s="15"/>
      <c r="BR19" s="15"/>
    </row>
    <row r="20" spans="1:70" ht="22.8">
      <c r="A20" s="3" t="s">
        <v>19</v>
      </c>
      <c r="B20" s="2" t="s">
        <v>22</v>
      </c>
      <c r="C20" s="15" t="str">
        <f t="shared" si="0"/>
        <v>WSW</v>
      </c>
      <c r="D20" s="15" t="str">
        <f t="shared" si="1"/>
        <v>WSW</v>
      </c>
      <c r="E20" s="15" t="str">
        <f t="shared" si="2"/>
        <v>S</v>
      </c>
      <c r="F20" s="15" t="str">
        <f t="shared" si="3"/>
        <v>S</v>
      </c>
      <c r="G20" s="15" t="str">
        <f t="shared" si="4"/>
        <v>S</v>
      </c>
      <c r="H20" s="15" t="str">
        <f t="shared" si="5"/>
        <v>SW</v>
      </c>
      <c r="I20" s="15" t="str">
        <f t="shared" si="6"/>
        <v>SW</v>
      </c>
      <c r="J20" s="15" t="str">
        <f t="shared" si="7"/>
        <v>S</v>
      </c>
      <c r="K20" s="15" t="str">
        <f t="shared" si="8"/>
        <v>NE</v>
      </c>
      <c r="L20" s="15" t="str">
        <f t="shared" si="9"/>
        <v>S</v>
      </c>
      <c r="M20" s="15" t="str">
        <f t="shared" si="10"/>
        <v>S</v>
      </c>
      <c r="N20" s="15" t="str">
        <f t="shared" si="11"/>
        <v>WSW</v>
      </c>
      <c r="O20" s="15" t="str">
        <f t="shared" si="12"/>
        <v>S</v>
      </c>
      <c r="Q20" s="2" t="s">
        <v>132</v>
      </c>
      <c r="R20" s="2" t="s">
        <v>483</v>
      </c>
      <c r="S20" s="2" t="s">
        <v>132</v>
      </c>
      <c r="T20" s="18"/>
      <c r="U20" s="15"/>
      <c r="V20" s="15"/>
      <c r="W20" s="15"/>
      <c r="X20" s="2" t="s">
        <v>41</v>
      </c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</row>
    <row r="21" spans="1:70">
      <c r="A21" s="3" t="s">
        <v>23</v>
      </c>
      <c r="B21" s="4" t="s">
        <v>24</v>
      </c>
      <c r="C21" s="15" t="str">
        <f t="shared" si="0"/>
        <v>NNW</v>
      </c>
      <c r="D21" s="15" t="str">
        <f t="shared" si="1"/>
        <v>W</v>
      </c>
      <c r="E21" s="15" t="str">
        <f t="shared" si="2"/>
        <v>W</v>
      </c>
      <c r="F21" s="15" t="str">
        <f t="shared" si="3"/>
        <v>W</v>
      </c>
      <c r="G21" s="15" t="str">
        <f t="shared" si="4"/>
        <v>W</v>
      </c>
      <c r="H21" s="15" t="str">
        <f t="shared" si="5"/>
        <v>W</v>
      </c>
      <c r="I21" s="15" t="str">
        <f t="shared" si="6"/>
        <v>W</v>
      </c>
      <c r="J21" s="15" t="str">
        <f t="shared" si="7"/>
        <v>W</v>
      </c>
      <c r="K21" s="15" t="str">
        <f t="shared" si="8"/>
        <v>W</v>
      </c>
      <c r="L21" s="15" t="str">
        <f t="shared" si="9"/>
        <v>W</v>
      </c>
      <c r="M21" s="15" t="str">
        <f t="shared" si="10"/>
        <v>W</v>
      </c>
      <c r="N21" s="15" t="str">
        <f t="shared" si="11"/>
        <v>NNW</v>
      </c>
      <c r="O21" s="15" t="str">
        <f t="shared" si="12"/>
        <v>W</v>
      </c>
      <c r="Q21" s="2" t="s">
        <v>138</v>
      </c>
      <c r="R21" s="2" t="s">
        <v>489</v>
      </c>
      <c r="S21" s="2" t="s">
        <v>138</v>
      </c>
      <c r="T21" s="19"/>
      <c r="U21" s="15"/>
      <c r="V21" s="15"/>
      <c r="W21" s="15"/>
      <c r="X21" s="2" t="s">
        <v>42</v>
      </c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</row>
    <row r="22" spans="1:70" ht="22.8">
      <c r="A22" s="3" t="s">
        <v>23</v>
      </c>
      <c r="B22" s="4" t="s">
        <v>25</v>
      </c>
      <c r="C22" s="15" t="str">
        <f t="shared" si="0"/>
        <v>W</v>
      </c>
      <c r="D22" s="15" t="str">
        <f t="shared" si="1"/>
        <v>W</v>
      </c>
      <c r="E22" s="15" t="str">
        <f t="shared" si="2"/>
        <v>W</v>
      </c>
      <c r="F22" s="15" t="str">
        <f t="shared" si="3"/>
        <v>W</v>
      </c>
      <c r="G22" s="15" t="str">
        <f t="shared" si="4"/>
        <v>W</v>
      </c>
      <c r="H22" s="15" t="str">
        <f t="shared" si="5"/>
        <v>W</v>
      </c>
      <c r="I22" s="15" t="str">
        <f t="shared" si="6"/>
        <v>W</v>
      </c>
      <c r="J22" s="15" t="str">
        <f t="shared" si="7"/>
        <v>W</v>
      </c>
      <c r="K22" s="15" t="str">
        <f t="shared" si="8"/>
        <v>W</v>
      </c>
      <c r="L22" s="15" t="str">
        <f t="shared" si="9"/>
        <v>W</v>
      </c>
      <c r="M22" s="15" t="str">
        <f t="shared" si="10"/>
        <v>W</v>
      </c>
      <c r="N22" s="15" t="str">
        <f t="shared" si="11"/>
        <v>W</v>
      </c>
      <c r="O22" s="15" t="str">
        <f t="shared" si="12"/>
        <v>W</v>
      </c>
      <c r="Q22" s="2" t="s">
        <v>142</v>
      </c>
      <c r="R22" s="4" t="s">
        <v>493</v>
      </c>
      <c r="S22" s="2" t="s">
        <v>142</v>
      </c>
      <c r="T22" s="19"/>
      <c r="U22" s="15"/>
      <c r="V22" s="15"/>
      <c r="W22" s="15"/>
      <c r="X22" s="2" t="s">
        <v>43</v>
      </c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</row>
    <row r="23" spans="1:70" ht="22.8">
      <c r="A23" s="3" t="s">
        <v>23</v>
      </c>
      <c r="B23" s="2" t="s">
        <v>26</v>
      </c>
      <c r="C23" s="15" t="str">
        <f t="shared" si="0"/>
        <v>ESE</v>
      </c>
      <c r="D23" s="15" t="str">
        <f t="shared" si="1"/>
        <v>ESE</v>
      </c>
      <c r="E23" s="15" t="str">
        <f t="shared" si="2"/>
        <v>ESE</v>
      </c>
      <c r="F23" s="15" t="str">
        <f t="shared" si="3"/>
        <v>ESE</v>
      </c>
      <c r="G23" s="15" t="str">
        <f t="shared" si="4"/>
        <v>NNW</v>
      </c>
      <c r="H23" s="15" t="str">
        <f t="shared" si="5"/>
        <v>NNW</v>
      </c>
      <c r="I23" s="15" t="str">
        <f t="shared" si="6"/>
        <v>NNW</v>
      </c>
      <c r="J23" s="15" t="str">
        <f t="shared" si="7"/>
        <v>NNW</v>
      </c>
      <c r="K23" s="15" t="str">
        <f t="shared" si="8"/>
        <v>NNW</v>
      </c>
      <c r="L23" s="15" t="str">
        <f t="shared" si="9"/>
        <v>NNW</v>
      </c>
      <c r="M23" s="15" t="str">
        <f t="shared" si="10"/>
        <v>NW</v>
      </c>
      <c r="N23" s="15" t="str">
        <f t="shared" si="11"/>
        <v>NW</v>
      </c>
      <c r="O23" s="15" t="str">
        <f t="shared" si="12"/>
        <v>NW</v>
      </c>
      <c r="Q23" s="4" t="s">
        <v>145</v>
      </c>
      <c r="R23" s="2" t="s">
        <v>496</v>
      </c>
      <c r="S23" s="4" t="s">
        <v>145</v>
      </c>
      <c r="T23" s="18"/>
      <c r="U23" s="15"/>
      <c r="V23" s="15"/>
      <c r="W23" s="15"/>
      <c r="X23" s="2" t="s">
        <v>44</v>
      </c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</row>
    <row r="24" spans="1:70" ht="22.8">
      <c r="A24" s="3" t="s">
        <v>23</v>
      </c>
      <c r="B24" s="2" t="s">
        <v>27</v>
      </c>
      <c r="C24" s="15" t="str">
        <f t="shared" si="0"/>
        <v>N</v>
      </c>
      <c r="D24" s="15" t="str">
        <f t="shared" si="1"/>
        <v>N</v>
      </c>
      <c r="E24" s="15" t="str">
        <f t="shared" si="2"/>
        <v>N</v>
      </c>
      <c r="F24" s="15" t="str">
        <f t="shared" si="3"/>
        <v>N</v>
      </c>
      <c r="G24" s="15" t="str">
        <f t="shared" si="4"/>
        <v>N</v>
      </c>
      <c r="H24" s="15" t="str">
        <f t="shared" si="5"/>
        <v>N</v>
      </c>
      <c r="I24" s="15" t="str">
        <f t="shared" si="6"/>
        <v>N</v>
      </c>
      <c r="J24" s="15" t="str">
        <f t="shared" si="7"/>
        <v>N</v>
      </c>
      <c r="K24" s="15" t="str">
        <f t="shared" si="8"/>
        <v>N</v>
      </c>
      <c r="L24" s="15" t="str">
        <f t="shared" si="9"/>
        <v>N</v>
      </c>
      <c r="M24" s="15" t="str">
        <f t="shared" si="10"/>
        <v>S</v>
      </c>
      <c r="N24" s="15" t="str">
        <f t="shared" si="11"/>
        <v>S</v>
      </c>
      <c r="O24" s="15" t="str">
        <f t="shared" si="12"/>
        <v>N</v>
      </c>
      <c r="Q24" s="3" t="s">
        <v>151</v>
      </c>
      <c r="R24" s="3" t="s">
        <v>502</v>
      </c>
      <c r="S24" s="3" t="s">
        <v>151</v>
      </c>
      <c r="T24" s="19"/>
      <c r="U24" s="15"/>
      <c r="V24" s="15"/>
      <c r="W24" s="15"/>
      <c r="X24" s="2" t="s">
        <v>45</v>
      </c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</row>
    <row r="25" spans="1:70" ht="22.8">
      <c r="A25" s="3" t="s">
        <v>23</v>
      </c>
      <c r="B25" s="2" t="s">
        <v>28</v>
      </c>
      <c r="C25" s="15" t="str">
        <f t="shared" si="0"/>
        <v>W</v>
      </c>
      <c r="D25" s="15" t="str">
        <f t="shared" si="1"/>
        <v>W</v>
      </c>
      <c r="E25" s="15" t="str">
        <f t="shared" si="2"/>
        <v>W</v>
      </c>
      <c r="F25" s="15" t="str">
        <f t="shared" si="3"/>
        <v>W</v>
      </c>
      <c r="G25" s="15" t="str">
        <f t="shared" si="4"/>
        <v>SSW</v>
      </c>
      <c r="H25" s="15" t="str">
        <f t="shared" si="5"/>
        <v>WSW</v>
      </c>
      <c r="I25" s="15" t="str">
        <f t="shared" si="6"/>
        <v>SSW</v>
      </c>
      <c r="J25" s="15" t="str">
        <f t="shared" si="7"/>
        <v>WSW</v>
      </c>
      <c r="K25" s="15" t="str">
        <f t="shared" si="8"/>
        <v>WSW</v>
      </c>
      <c r="L25" s="15" t="str">
        <f t="shared" si="9"/>
        <v>W</v>
      </c>
      <c r="M25" s="15" t="str">
        <f t="shared" si="10"/>
        <v>W</v>
      </c>
      <c r="N25" s="15" t="str">
        <f t="shared" si="11"/>
        <v>WSW</v>
      </c>
      <c r="O25" s="15" t="str">
        <f t="shared" si="12"/>
        <v>W</v>
      </c>
      <c r="Q25" s="3" t="s">
        <v>161</v>
      </c>
      <c r="R25" s="1" t="s">
        <v>512</v>
      </c>
      <c r="S25" s="3" t="s">
        <v>161</v>
      </c>
      <c r="T25" s="19"/>
      <c r="U25" s="15"/>
      <c r="V25" s="15"/>
      <c r="W25" s="15"/>
      <c r="X25" s="2" t="s">
        <v>46</v>
      </c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</row>
    <row r="26" spans="1:70">
      <c r="A26" s="3" t="s">
        <v>23</v>
      </c>
      <c r="B26" s="2" t="s">
        <v>29</v>
      </c>
      <c r="C26" s="15" t="str">
        <f t="shared" si="0"/>
        <v>SW</v>
      </c>
      <c r="D26" s="15" t="str">
        <f t="shared" si="1"/>
        <v>SW</v>
      </c>
      <c r="E26" s="15" t="str">
        <f t="shared" si="2"/>
        <v>SW</v>
      </c>
      <c r="F26" s="15" t="str">
        <f t="shared" si="3"/>
        <v>SW</v>
      </c>
      <c r="G26" s="15" t="str">
        <f t="shared" si="4"/>
        <v>SW</v>
      </c>
      <c r="H26" s="15" t="str">
        <f t="shared" si="5"/>
        <v>SW</v>
      </c>
      <c r="I26" s="15" t="str">
        <f t="shared" si="6"/>
        <v>SW</v>
      </c>
      <c r="J26" s="15" t="str">
        <f t="shared" si="7"/>
        <v>SW</v>
      </c>
      <c r="K26" s="15" t="str">
        <f t="shared" si="8"/>
        <v>SW</v>
      </c>
      <c r="L26" s="15" t="str">
        <f t="shared" si="9"/>
        <v>SW</v>
      </c>
      <c r="M26" s="15" t="str">
        <f t="shared" si="10"/>
        <v>SW</v>
      </c>
      <c r="N26" s="15" t="str">
        <f t="shared" si="11"/>
        <v>SW</v>
      </c>
      <c r="O26" s="15" t="str">
        <f t="shared" si="12"/>
        <v>SW</v>
      </c>
      <c r="Q26" s="1" t="s">
        <v>167</v>
      </c>
      <c r="R26" s="1" t="s">
        <v>518</v>
      </c>
      <c r="S26" s="1" t="s">
        <v>167</v>
      </c>
      <c r="T26" s="18"/>
      <c r="U26" s="15"/>
      <c r="V26" s="15"/>
      <c r="W26" s="15"/>
      <c r="X26" s="2" t="s">
        <v>47</v>
      </c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</row>
    <row r="27" spans="1:70" ht="22.8">
      <c r="A27" s="3" t="s">
        <v>23</v>
      </c>
      <c r="B27" s="2" t="s">
        <v>30</v>
      </c>
      <c r="C27" s="15" t="str">
        <f t="shared" si="0"/>
        <v>SE</v>
      </c>
      <c r="D27" s="15" t="str">
        <f t="shared" si="1"/>
        <v>SE</v>
      </c>
      <c r="E27" s="15" t="str">
        <f t="shared" si="2"/>
        <v>N</v>
      </c>
      <c r="F27" s="15" t="str">
        <f t="shared" si="3"/>
        <v>N</v>
      </c>
      <c r="G27" s="15" t="str">
        <f t="shared" si="4"/>
        <v>N</v>
      </c>
      <c r="H27" s="15" t="str">
        <f t="shared" si="5"/>
        <v>N</v>
      </c>
      <c r="I27" s="15" t="str">
        <f t="shared" si="6"/>
        <v>N</v>
      </c>
      <c r="J27" s="15" t="str">
        <f t="shared" si="7"/>
        <v>NW</v>
      </c>
      <c r="K27" s="15" t="str">
        <f t="shared" si="8"/>
        <v>N</v>
      </c>
      <c r="L27" s="15" t="str">
        <f t="shared" si="9"/>
        <v>N</v>
      </c>
      <c r="M27" s="15" t="str">
        <f t="shared" si="10"/>
        <v>SE</v>
      </c>
      <c r="N27" s="15" t="str">
        <f t="shared" si="11"/>
        <v>SE</v>
      </c>
      <c r="O27" s="15" t="str">
        <f t="shared" si="12"/>
        <v>N</v>
      </c>
      <c r="Q27" s="2" t="s">
        <v>171</v>
      </c>
      <c r="R27" s="2" t="s">
        <v>522</v>
      </c>
      <c r="S27" s="2" t="s">
        <v>171</v>
      </c>
      <c r="T27" s="19"/>
      <c r="U27" s="15"/>
      <c r="V27" s="15"/>
      <c r="W27" s="15"/>
      <c r="X27" s="2" t="s">
        <v>48</v>
      </c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</row>
    <row r="28" spans="1:70">
      <c r="A28" s="3" t="s">
        <v>23</v>
      </c>
      <c r="B28" s="2" t="s">
        <v>31</v>
      </c>
      <c r="C28" s="15" t="str">
        <f t="shared" si="0"/>
        <v>N</v>
      </c>
      <c r="D28" s="15" t="str">
        <f t="shared" si="1"/>
        <v>N</v>
      </c>
      <c r="E28" s="15" t="str">
        <f t="shared" si="2"/>
        <v>WSW</v>
      </c>
      <c r="F28" s="15" t="str">
        <f t="shared" si="3"/>
        <v>WSW</v>
      </c>
      <c r="G28" s="15" t="str">
        <f t="shared" si="4"/>
        <v>WSW</v>
      </c>
      <c r="H28" s="15" t="str">
        <f t="shared" si="5"/>
        <v>SW</v>
      </c>
      <c r="I28" s="15" t="str">
        <f t="shared" si="6"/>
        <v>SW</v>
      </c>
      <c r="J28" s="15" t="str">
        <f t="shared" si="7"/>
        <v>WSW</v>
      </c>
      <c r="K28" s="15" t="str">
        <f t="shared" si="8"/>
        <v>SW</v>
      </c>
      <c r="L28" s="15" t="str">
        <f t="shared" si="9"/>
        <v>SW</v>
      </c>
      <c r="M28" s="15" t="str">
        <f t="shared" si="10"/>
        <v>N</v>
      </c>
      <c r="N28" s="15" t="str">
        <f t="shared" si="11"/>
        <v>N</v>
      </c>
      <c r="O28" s="15" t="str">
        <f t="shared" si="12"/>
        <v>SW</v>
      </c>
      <c r="Q28" s="2" t="s">
        <v>175</v>
      </c>
      <c r="R28" s="2" t="s">
        <v>526</v>
      </c>
      <c r="S28" s="2" t="s">
        <v>175</v>
      </c>
      <c r="T28" s="19"/>
      <c r="U28" s="15"/>
      <c r="V28" s="15"/>
      <c r="W28" s="15"/>
      <c r="X28" s="2" t="s">
        <v>49</v>
      </c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</row>
    <row r="29" spans="1:70">
      <c r="A29" s="3" t="s">
        <v>23</v>
      </c>
      <c r="B29" s="2" t="s">
        <v>32</v>
      </c>
      <c r="C29" s="15" t="str">
        <f t="shared" si="0"/>
        <v>ESE</v>
      </c>
      <c r="D29" s="15" t="str">
        <f t="shared" si="1"/>
        <v>ESE</v>
      </c>
      <c r="E29" s="15" t="str">
        <f t="shared" si="2"/>
        <v>NW</v>
      </c>
      <c r="F29" s="15" t="str">
        <f t="shared" si="3"/>
        <v>NW</v>
      </c>
      <c r="G29" s="15" t="str">
        <f t="shared" si="4"/>
        <v>WNW</v>
      </c>
      <c r="H29" s="15" t="str">
        <f t="shared" si="5"/>
        <v>WNW</v>
      </c>
      <c r="I29" s="15" t="str">
        <f t="shared" si="6"/>
        <v>WNW</v>
      </c>
      <c r="J29" s="15" t="str">
        <f t="shared" si="7"/>
        <v>WNW</v>
      </c>
      <c r="K29" s="15" t="str">
        <f t="shared" si="8"/>
        <v>WNW</v>
      </c>
      <c r="L29" s="15" t="str">
        <f t="shared" si="9"/>
        <v>WNW</v>
      </c>
      <c r="M29" s="15" t="str">
        <f t="shared" si="10"/>
        <v>WNW</v>
      </c>
      <c r="N29" s="15" t="str">
        <f t="shared" si="11"/>
        <v>ESE</v>
      </c>
      <c r="O29" s="15" t="str">
        <f t="shared" si="12"/>
        <v>WNW</v>
      </c>
      <c r="Q29" s="3" t="s">
        <v>183</v>
      </c>
      <c r="R29" s="3" t="s">
        <v>534</v>
      </c>
      <c r="S29" s="3" t="s">
        <v>183</v>
      </c>
    </row>
    <row r="30" spans="1:70" ht="22.8">
      <c r="A30" s="3" t="s">
        <v>23</v>
      </c>
      <c r="B30" s="2" t="s">
        <v>33</v>
      </c>
      <c r="C30" s="15" t="str">
        <f t="shared" si="0"/>
        <v>WNW</v>
      </c>
      <c r="D30" s="15" t="str">
        <f t="shared" si="1"/>
        <v>WNW</v>
      </c>
      <c r="E30" s="15" t="str">
        <f t="shared" si="2"/>
        <v>W</v>
      </c>
      <c r="F30" s="15" t="str">
        <f t="shared" si="3"/>
        <v>S</v>
      </c>
      <c r="G30" s="15" t="str">
        <f t="shared" si="4"/>
        <v>S</v>
      </c>
      <c r="H30" s="15" t="str">
        <f t="shared" si="5"/>
        <v>S</v>
      </c>
      <c r="I30" s="15" t="str">
        <f t="shared" si="6"/>
        <v>S</v>
      </c>
      <c r="J30" s="15" t="str">
        <f t="shared" si="7"/>
        <v>WNW</v>
      </c>
      <c r="K30" s="15" t="str">
        <f t="shared" si="8"/>
        <v>WNW</v>
      </c>
      <c r="L30" s="15" t="str">
        <f t="shared" si="9"/>
        <v>WNW</v>
      </c>
      <c r="M30" s="15" t="str">
        <f t="shared" si="10"/>
        <v>WNW</v>
      </c>
      <c r="N30" s="15" t="str">
        <f t="shared" si="11"/>
        <v>WNW</v>
      </c>
      <c r="O30" s="15" t="str">
        <f t="shared" si="12"/>
        <v>WNW</v>
      </c>
      <c r="Q30" s="2" t="s">
        <v>191</v>
      </c>
      <c r="R30" s="2" t="s">
        <v>542</v>
      </c>
      <c r="S30" s="2" t="s">
        <v>191</v>
      </c>
    </row>
    <row r="31" spans="1:70" ht="22.8">
      <c r="A31" s="3" t="s">
        <v>23</v>
      </c>
      <c r="B31" s="2" t="s">
        <v>34</v>
      </c>
      <c r="C31" s="15" t="str">
        <f t="shared" si="0"/>
        <v>WSW</v>
      </c>
      <c r="D31" s="15" t="str">
        <f t="shared" si="1"/>
        <v>WSW</v>
      </c>
      <c r="E31" s="15" t="str">
        <f t="shared" si="2"/>
        <v>WSW</v>
      </c>
      <c r="F31" s="15" t="str">
        <f t="shared" si="3"/>
        <v>WSW</v>
      </c>
      <c r="G31" s="15" t="str">
        <f t="shared" si="4"/>
        <v>WSW</v>
      </c>
      <c r="H31" s="15" t="str">
        <f t="shared" si="5"/>
        <v>WSW</v>
      </c>
      <c r="I31" s="15" t="str">
        <f t="shared" si="6"/>
        <v>WSW</v>
      </c>
      <c r="J31" s="15" t="str">
        <f t="shared" si="7"/>
        <v>WSW</v>
      </c>
      <c r="K31" s="15" t="str">
        <f t="shared" si="8"/>
        <v>WSW</v>
      </c>
      <c r="L31" s="15" t="str">
        <f t="shared" si="9"/>
        <v>WSW</v>
      </c>
      <c r="M31" s="15" t="str">
        <f t="shared" si="10"/>
        <v>W</v>
      </c>
      <c r="N31" s="15" t="str">
        <f t="shared" si="11"/>
        <v>W</v>
      </c>
      <c r="O31" s="15" t="str">
        <f t="shared" si="12"/>
        <v>WSW</v>
      </c>
      <c r="Q31" s="1" t="s">
        <v>709</v>
      </c>
      <c r="R31" s="4" t="s">
        <v>549</v>
      </c>
      <c r="S31" s="1" t="s">
        <v>709</v>
      </c>
    </row>
    <row r="32" spans="1:70" ht="22.8">
      <c r="A32" s="3" t="s">
        <v>23</v>
      </c>
      <c r="B32" s="2" t="s">
        <v>35</v>
      </c>
      <c r="C32" s="15" t="str">
        <f t="shared" si="0"/>
        <v>NE</v>
      </c>
      <c r="D32" s="15" t="str">
        <f t="shared" si="1"/>
        <v>W</v>
      </c>
      <c r="E32" s="15" t="str">
        <f t="shared" si="2"/>
        <v>W</v>
      </c>
      <c r="F32" s="15" t="str">
        <f t="shared" si="3"/>
        <v>W</v>
      </c>
      <c r="G32" s="15" t="str">
        <f t="shared" si="4"/>
        <v>W</v>
      </c>
      <c r="H32" s="15" t="str">
        <f t="shared" si="5"/>
        <v>W</v>
      </c>
      <c r="I32" s="15" t="str">
        <f t="shared" si="6"/>
        <v>W</v>
      </c>
      <c r="J32" s="15" t="str">
        <f t="shared" si="7"/>
        <v>W</v>
      </c>
      <c r="K32" s="15" t="str">
        <f t="shared" si="8"/>
        <v>W</v>
      </c>
      <c r="L32" s="15" t="str">
        <f t="shared" si="9"/>
        <v>W</v>
      </c>
      <c r="M32" s="15" t="str">
        <f t="shared" si="10"/>
        <v>W</v>
      </c>
      <c r="N32" s="15" t="str">
        <f t="shared" si="11"/>
        <v>NE</v>
      </c>
      <c r="O32" s="15" t="str">
        <f t="shared" si="12"/>
        <v>W</v>
      </c>
      <c r="Q32" s="2" t="s">
        <v>710</v>
      </c>
      <c r="R32" s="2" t="s">
        <v>553</v>
      </c>
      <c r="S32" s="2" t="s">
        <v>710</v>
      </c>
    </row>
    <row r="33" spans="1:19" ht="22.8">
      <c r="A33" s="3" t="s">
        <v>23</v>
      </c>
      <c r="B33" s="2" t="s">
        <v>36</v>
      </c>
      <c r="C33" s="15" t="str">
        <f t="shared" ref="C33:C64" si="13">INDEX(tablewind,MATCH($B33,citywind,0),2)</f>
        <v>SSE</v>
      </c>
      <c r="D33" s="15" t="str">
        <f t="shared" ref="D33:D64" si="14">INDEX(tablewind,MATCH($B33,citywind,0),3)</f>
        <v>SSE</v>
      </c>
      <c r="E33" s="15" t="str">
        <f t="shared" ref="E33:E64" si="15">INDEX(tablewind,MATCH($B33,citywind,0),4)</f>
        <v>SSE</v>
      </c>
      <c r="F33" s="15" t="str">
        <f t="shared" ref="F33:F64" si="16">INDEX(tablewind,MATCH($B33,citywind,0),5)</f>
        <v>SSE</v>
      </c>
      <c r="G33" s="15" t="str">
        <f t="shared" ref="G33:G64" si="17">INDEX(tablewind,MATCH($B33,citywind,0),6)</f>
        <v>SSE</v>
      </c>
      <c r="H33" s="15" t="str">
        <f t="shared" ref="H33:H64" si="18">INDEX(tablewind,MATCH($B33,citywind,0),7)</f>
        <v>S</v>
      </c>
      <c r="I33" s="15" t="str">
        <f t="shared" ref="I33:I64" si="19">INDEX(tablewind,MATCH($B33,citywind,0),8)</f>
        <v>S</v>
      </c>
      <c r="J33" s="15" t="str">
        <f t="shared" ref="J33:J64" si="20">INDEX(tablewind,MATCH($B33,citywind,0),9)</f>
        <v>S</v>
      </c>
      <c r="K33" s="15" t="str">
        <f t="shared" ref="K33:K64" si="21">INDEX(tablewind,MATCH($B33,citywind,0),10)</f>
        <v>S</v>
      </c>
      <c r="L33" s="15" t="str">
        <f t="shared" ref="L33:L64" si="22">INDEX(tablewind,MATCH($B33,citywind,0),11)</f>
        <v>NNW</v>
      </c>
      <c r="M33" s="15" t="str">
        <f t="shared" ref="M33:M64" si="23">INDEX(tablewind,MATCH($B33,citywind,0),12)</f>
        <v>SSE</v>
      </c>
      <c r="N33" s="15" t="str">
        <f t="shared" ref="N33:N64" si="24">INDEX(tablewind,MATCH($B33,citywind,0),13)</f>
        <v>NNW</v>
      </c>
      <c r="O33" s="15" t="str">
        <f t="shared" ref="O33:O64" si="25">INDEX(tablewind,MATCH($B33,citywind,0),14)</f>
        <v>SSE</v>
      </c>
      <c r="Q33" s="2" t="s">
        <v>711</v>
      </c>
      <c r="R33" s="2" t="s">
        <v>556</v>
      </c>
      <c r="S33" s="2" t="s">
        <v>711</v>
      </c>
    </row>
    <row r="34" spans="1:19" ht="22.8">
      <c r="A34" s="3" t="s">
        <v>23</v>
      </c>
      <c r="B34" s="2" t="s">
        <v>37</v>
      </c>
      <c r="C34" s="15" t="str">
        <f t="shared" si="13"/>
        <v>SE</v>
      </c>
      <c r="D34" s="15" t="str">
        <f t="shared" si="14"/>
        <v>SW</v>
      </c>
      <c r="E34" s="15" t="str">
        <f t="shared" si="15"/>
        <v>W</v>
      </c>
      <c r="F34" s="15" t="str">
        <f t="shared" si="16"/>
        <v>W</v>
      </c>
      <c r="G34" s="15" t="str">
        <f t="shared" si="17"/>
        <v>W</v>
      </c>
      <c r="H34" s="15" t="str">
        <f t="shared" si="18"/>
        <v>W</v>
      </c>
      <c r="I34" s="15" t="str">
        <f t="shared" si="19"/>
        <v>W</v>
      </c>
      <c r="J34" s="15" t="str">
        <f t="shared" si="20"/>
        <v>W</v>
      </c>
      <c r="K34" s="15" t="str">
        <f t="shared" si="21"/>
        <v>W</v>
      </c>
      <c r="L34" s="15" t="str">
        <f t="shared" si="22"/>
        <v>W</v>
      </c>
      <c r="M34" s="15" t="str">
        <f t="shared" si="23"/>
        <v>SW</v>
      </c>
      <c r="N34" s="15" t="str">
        <f t="shared" si="24"/>
        <v>SE</v>
      </c>
      <c r="O34" s="15" t="str">
        <f t="shared" si="25"/>
        <v>W</v>
      </c>
      <c r="Q34" s="2" t="s">
        <v>712</v>
      </c>
      <c r="R34" s="2" t="s">
        <v>561</v>
      </c>
      <c r="S34" s="2" t="s">
        <v>712</v>
      </c>
    </row>
    <row r="35" spans="1:19" ht="22.8">
      <c r="A35" s="3" t="s">
        <v>23</v>
      </c>
      <c r="B35" s="2" t="s">
        <v>38</v>
      </c>
      <c r="C35" s="15" t="str">
        <f t="shared" si="13"/>
        <v xml:space="preserve">N </v>
      </c>
      <c r="D35" s="15" t="str">
        <f t="shared" si="14"/>
        <v xml:space="preserve">N </v>
      </c>
      <c r="E35" s="15" t="str">
        <f t="shared" si="15"/>
        <v xml:space="preserve">NNW </v>
      </c>
      <c r="F35" s="15" t="str">
        <f t="shared" si="16"/>
        <v xml:space="preserve">NNW </v>
      </c>
      <c r="G35" s="15" t="str">
        <f t="shared" si="17"/>
        <v xml:space="preserve">NNW </v>
      </c>
      <c r="H35" s="15" t="str">
        <f t="shared" si="18"/>
        <v xml:space="preserve">NNW </v>
      </c>
      <c r="I35" s="15" t="str">
        <f t="shared" si="19"/>
        <v xml:space="preserve">NNW </v>
      </c>
      <c r="J35" s="15" t="str">
        <f t="shared" si="20"/>
        <v xml:space="preserve">NNW </v>
      </c>
      <c r="K35" s="15" t="str">
        <f t="shared" si="21"/>
        <v xml:space="preserve">NNW </v>
      </c>
      <c r="L35" s="15" t="str">
        <f t="shared" si="22"/>
        <v xml:space="preserve">NNW </v>
      </c>
      <c r="M35" s="15" t="str">
        <f t="shared" si="23"/>
        <v xml:space="preserve">NNW </v>
      </c>
      <c r="N35" s="15" t="str">
        <f t="shared" si="24"/>
        <v xml:space="preserve">NNW </v>
      </c>
      <c r="O35" s="15" t="str">
        <f t="shared" si="25"/>
        <v xml:space="preserve">NNW </v>
      </c>
      <c r="Q35" s="3" t="s">
        <v>713</v>
      </c>
      <c r="R35" s="3" t="s">
        <v>573</v>
      </c>
      <c r="S35" s="3" t="s">
        <v>713</v>
      </c>
    </row>
    <row r="36" spans="1:19">
      <c r="A36" s="3" t="s">
        <v>23</v>
      </c>
      <c r="B36" s="2" t="s">
        <v>39</v>
      </c>
      <c r="C36" s="15" t="str">
        <f t="shared" si="13"/>
        <v>SW</v>
      </c>
      <c r="D36" s="15" t="str">
        <f t="shared" si="14"/>
        <v>SW</v>
      </c>
      <c r="E36" s="15" t="str">
        <f t="shared" si="15"/>
        <v>SW</v>
      </c>
      <c r="F36" s="15" t="str">
        <f t="shared" si="16"/>
        <v>SW</v>
      </c>
      <c r="G36" s="15" t="str">
        <f t="shared" si="17"/>
        <v>SW</v>
      </c>
      <c r="H36" s="15" t="str">
        <f t="shared" si="18"/>
        <v>SW</v>
      </c>
      <c r="I36" s="15" t="str">
        <f t="shared" si="19"/>
        <v>SW</v>
      </c>
      <c r="J36" s="15" t="str">
        <f t="shared" si="20"/>
        <v>SW</v>
      </c>
      <c r="K36" s="15" t="str">
        <f t="shared" si="21"/>
        <v>SW</v>
      </c>
      <c r="L36" s="15" t="str">
        <f t="shared" si="22"/>
        <v>SW</v>
      </c>
      <c r="M36" s="15" t="str">
        <f t="shared" si="23"/>
        <v>SW</v>
      </c>
      <c r="N36" s="15" t="str">
        <f t="shared" si="24"/>
        <v>SW</v>
      </c>
      <c r="O36" s="15" t="str">
        <f t="shared" si="25"/>
        <v>SW</v>
      </c>
      <c r="Q36" s="7" t="s">
        <v>716</v>
      </c>
      <c r="R36" s="4" t="s">
        <v>581</v>
      </c>
      <c r="S36" s="7" t="s">
        <v>716</v>
      </c>
    </row>
    <row r="37" spans="1:19">
      <c r="A37" s="3" t="s">
        <v>23</v>
      </c>
      <c r="B37" s="2" t="s">
        <v>40</v>
      </c>
      <c r="C37" s="15" t="str">
        <f t="shared" si="13"/>
        <v>SSE</v>
      </c>
      <c r="D37" s="15" t="str">
        <f t="shared" si="14"/>
        <v>SSE</v>
      </c>
      <c r="E37" s="15" t="str">
        <f t="shared" si="15"/>
        <v>SSE</v>
      </c>
      <c r="F37" s="15" t="str">
        <f t="shared" si="16"/>
        <v>SSE</v>
      </c>
      <c r="G37" s="15" t="str">
        <f t="shared" si="17"/>
        <v>SSE</v>
      </c>
      <c r="H37" s="15" t="str">
        <f t="shared" si="18"/>
        <v>SSE</v>
      </c>
      <c r="I37" s="15" t="str">
        <f t="shared" si="19"/>
        <v>SSE</v>
      </c>
      <c r="J37" s="15" t="str">
        <f t="shared" si="20"/>
        <v>SSE</v>
      </c>
      <c r="K37" s="15" t="str">
        <f t="shared" si="21"/>
        <v>SSE</v>
      </c>
      <c r="L37" s="15" t="str">
        <f t="shared" si="22"/>
        <v>NW</v>
      </c>
      <c r="M37" s="15" t="str">
        <f t="shared" si="23"/>
        <v>NW</v>
      </c>
      <c r="N37" s="15" t="str">
        <f t="shared" si="24"/>
        <v>NW</v>
      </c>
      <c r="O37" s="15" t="str">
        <f t="shared" si="25"/>
        <v>SSE</v>
      </c>
      <c r="Q37" s="3" t="s">
        <v>237</v>
      </c>
      <c r="R37" s="4" t="s">
        <v>587</v>
      </c>
      <c r="S37" s="3" t="s">
        <v>237</v>
      </c>
    </row>
    <row r="38" spans="1:19" ht="22.8">
      <c r="A38" s="3" t="s">
        <v>23</v>
      </c>
      <c r="B38" s="2" t="s">
        <v>41</v>
      </c>
      <c r="C38" s="15" t="str">
        <f t="shared" si="13"/>
        <v>N</v>
      </c>
      <c r="D38" s="15" t="str">
        <f t="shared" si="14"/>
        <v>N</v>
      </c>
      <c r="E38" s="15" t="str">
        <f t="shared" si="15"/>
        <v>N</v>
      </c>
      <c r="F38" s="15" t="str">
        <f t="shared" si="16"/>
        <v>N</v>
      </c>
      <c r="G38" s="15" t="str">
        <f t="shared" si="17"/>
        <v>S</v>
      </c>
      <c r="H38" s="15" t="str">
        <f t="shared" si="18"/>
        <v>S</v>
      </c>
      <c r="I38" s="15" t="str">
        <f t="shared" si="19"/>
        <v>S</v>
      </c>
      <c r="J38" s="15" t="str">
        <f t="shared" si="20"/>
        <v>S</v>
      </c>
      <c r="K38" s="15" t="str">
        <f t="shared" si="21"/>
        <v>S</v>
      </c>
      <c r="L38" s="15" t="str">
        <f t="shared" si="22"/>
        <v>S</v>
      </c>
      <c r="M38" s="15" t="str">
        <f t="shared" si="23"/>
        <v>NNW</v>
      </c>
      <c r="N38" s="15" t="str">
        <f t="shared" si="24"/>
        <v>NNW</v>
      </c>
      <c r="O38" s="15" t="str">
        <f t="shared" si="25"/>
        <v>N</v>
      </c>
      <c r="Q38" s="2" t="s">
        <v>245</v>
      </c>
      <c r="R38" s="2" t="s">
        <v>595</v>
      </c>
      <c r="S38" s="2" t="s">
        <v>245</v>
      </c>
    </row>
    <row r="39" spans="1:19">
      <c r="A39" s="3" t="s">
        <v>23</v>
      </c>
      <c r="B39" s="2" t="s">
        <v>42</v>
      </c>
      <c r="C39" s="15" t="str">
        <f t="shared" si="13"/>
        <v>NNW</v>
      </c>
      <c r="D39" s="15" t="str">
        <f t="shared" si="14"/>
        <v>WNW</v>
      </c>
      <c r="E39" s="15" t="str">
        <f t="shared" si="15"/>
        <v>WNW</v>
      </c>
      <c r="F39" s="15" t="str">
        <f t="shared" si="16"/>
        <v>WNW</v>
      </c>
      <c r="G39" s="15" t="str">
        <f t="shared" si="17"/>
        <v>WNW</v>
      </c>
      <c r="H39" s="15" t="str">
        <f t="shared" si="18"/>
        <v>WNW</v>
      </c>
      <c r="I39" s="15" t="str">
        <f t="shared" si="19"/>
        <v>WNW</v>
      </c>
      <c r="J39" s="15" t="str">
        <f t="shared" si="20"/>
        <v>WNW</v>
      </c>
      <c r="K39" s="15" t="str">
        <f t="shared" si="21"/>
        <v>WNW</v>
      </c>
      <c r="L39" s="15" t="str">
        <f t="shared" si="22"/>
        <v>WNW</v>
      </c>
      <c r="M39" s="15" t="str">
        <f t="shared" si="23"/>
        <v>WNW</v>
      </c>
      <c r="N39" s="15" t="str">
        <f t="shared" si="24"/>
        <v>NNW</v>
      </c>
      <c r="O39" s="15" t="str">
        <f t="shared" si="25"/>
        <v>NNW</v>
      </c>
      <c r="Q39" s="2" t="s">
        <v>251</v>
      </c>
      <c r="R39" s="2" t="s">
        <v>601</v>
      </c>
      <c r="S39" s="2" t="s">
        <v>251</v>
      </c>
    </row>
    <row r="40" spans="1:19" ht="22.8">
      <c r="A40" s="3" t="s">
        <v>23</v>
      </c>
      <c r="B40" s="2" t="s">
        <v>43</v>
      </c>
      <c r="C40" s="15" t="str">
        <f t="shared" si="13"/>
        <v>SE</v>
      </c>
      <c r="D40" s="15" t="str">
        <f t="shared" si="14"/>
        <v>SE</v>
      </c>
      <c r="E40" s="15" t="str">
        <f t="shared" si="15"/>
        <v>SE</v>
      </c>
      <c r="F40" s="15" t="str">
        <f t="shared" si="16"/>
        <v>SE</v>
      </c>
      <c r="G40" s="15" t="str">
        <f t="shared" si="17"/>
        <v>SE</v>
      </c>
      <c r="H40" s="15" t="str">
        <f t="shared" si="18"/>
        <v>SE</v>
      </c>
      <c r="I40" s="15" t="str">
        <f t="shared" si="19"/>
        <v>SE</v>
      </c>
      <c r="J40" s="15" t="str">
        <f t="shared" si="20"/>
        <v>SE</v>
      </c>
      <c r="K40" s="15" t="str">
        <f t="shared" si="21"/>
        <v>SE</v>
      </c>
      <c r="L40" s="15" t="str">
        <f t="shared" si="22"/>
        <v>SW</v>
      </c>
      <c r="M40" s="15" t="str">
        <f t="shared" si="23"/>
        <v>SW</v>
      </c>
      <c r="N40" s="15" t="str">
        <f t="shared" si="24"/>
        <v>SW</v>
      </c>
      <c r="O40" s="15" t="str">
        <f t="shared" si="25"/>
        <v>SE</v>
      </c>
      <c r="Q40" s="2" t="s">
        <v>258</v>
      </c>
      <c r="R40" s="2" t="s">
        <v>608</v>
      </c>
      <c r="S40" s="2" t="s">
        <v>258</v>
      </c>
    </row>
    <row r="41" spans="1:19" ht="22.8">
      <c r="A41" s="3" t="s">
        <v>23</v>
      </c>
      <c r="B41" s="2" t="s">
        <v>44</v>
      </c>
      <c r="C41" s="15" t="str">
        <f t="shared" si="13"/>
        <v>WNW</v>
      </c>
      <c r="D41" s="15" t="str">
        <f t="shared" si="14"/>
        <v>WNW</v>
      </c>
      <c r="E41" s="15" t="str">
        <f t="shared" si="15"/>
        <v>WNW</v>
      </c>
      <c r="F41" s="15" t="str">
        <f t="shared" si="16"/>
        <v>WNW</v>
      </c>
      <c r="G41" s="15" t="str">
        <f t="shared" si="17"/>
        <v>WNW</v>
      </c>
      <c r="H41" s="15" t="str">
        <f t="shared" si="18"/>
        <v>WNW</v>
      </c>
      <c r="I41" s="15" t="str">
        <f t="shared" si="19"/>
        <v>WNW</v>
      </c>
      <c r="J41" s="15" t="str">
        <f t="shared" si="20"/>
        <v>WNW</v>
      </c>
      <c r="K41" s="15" t="str">
        <f t="shared" si="21"/>
        <v>WNW</v>
      </c>
      <c r="L41" s="15" t="str">
        <f t="shared" si="22"/>
        <v>WNW</v>
      </c>
      <c r="M41" s="15" t="str">
        <f t="shared" si="23"/>
        <v>WNW</v>
      </c>
      <c r="N41" s="15" t="str">
        <f t="shared" si="24"/>
        <v>WNW</v>
      </c>
      <c r="O41" s="15" t="str">
        <f t="shared" si="25"/>
        <v>WNW</v>
      </c>
      <c r="Q41" s="2" t="s">
        <v>715</v>
      </c>
      <c r="R41" s="2" t="s">
        <v>616</v>
      </c>
      <c r="S41" s="2" t="s">
        <v>715</v>
      </c>
    </row>
    <row r="42" spans="1:19" ht="22.8">
      <c r="A42" s="3" t="s">
        <v>23</v>
      </c>
      <c r="B42" s="2" t="s">
        <v>45</v>
      </c>
      <c r="C42" s="15" t="str">
        <f t="shared" si="13"/>
        <v>WNW</v>
      </c>
      <c r="D42" s="15" t="str">
        <f t="shared" si="14"/>
        <v>WNW</v>
      </c>
      <c r="E42" s="15" t="str">
        <f t="shared" si="15"/>
        <v>WNW</v>
      </c>
      <c r="F42" s="15" t="str">
        <f t="shared" si="16"/>
        <v>W</v>
      </c>
      <c r="G42" s="15" t="str">
        <f t="shared" si="17"/>
        <v>W</v>
      </c>
      <c r="H42" s="15" t="str">
        <f t="shared" si="18"/>
        <v>W</v>
      </c>
      <c r="I42" s="15" t="str">
        <f t="shared" si="19"/>
        <v>W</v>
      </c>
      <c r="J42" s="15" t="str">
        <f t="shared" si="20"/>
        <v>W</v>
      </c>
      <c r="K42" s="15" t="str">
        <f t="shared" si="21"/>
        <v>W</v>
      </c>
      <c r="L42" s="15" t="str">
        <f t="shared" si="22"/>
        <v>W</v>
      </c>
      <c r="M42" s="15" t="str">
        <f t="shared" si="23"/>
        <v>W</v>
      </c>
      <c r="N42" s="15" t="str">
        <f t="shared" si="24"/>
        <v>W</v>
      </c>
      <c r="O42" s="15" t="str">
        <f t="shared" si="25"/>
        <v>W</v>
      </c>
      <c r="Q42" s="3" t="s">
        <v>717</v>
      </c>
      <c r="R42" s="3" t="s">
        <v>618</v>
      </c>
      <c r="S42" s="3" t="s">
        <v>717</v>
      </c>
    </row>
    <row r="43" spans="1:19" ht="22.8">
      <c r="A43" s="3" t="s">
        <v>23</v>
      </c>
      <c r="B43" s="2" t="s">
        <v>46</v>
      </c>
      <c r="C43" s="15" t="str">
        <f t="shared" si="13"/>
        <v>WNW</v>
      </c>
      <c r="D43" s="15" t="str">
        <f t="shared" si="14"/>
        <v>WNW</v>
      </c>
      <c r="E43" s="15" t="str">
        <f t="shared" si="15"/>
        <v>WNW</v>
      </c>
      <c r="F43" s="15" t="str">
        <f t="shared" si="16"/>
        <v>WNW</v>
      </c>
      <c r="G43" s="15" t="str">
        <f t="shared" si="17"/>
        <v>WNW</v>
      </c>
      <c r="H43" s="15" t="str">
        <f t="shared" si="18"/>
        <v>WNW</v>
      </c>
      <c r="I43" s="15" t="str">
        <f t="shared" si="19"/>
        <v>WNW</v>
      </c>
      <c r="J43" s="15" t="str">
        <f t="shared" si="20"/>
        <v>WNW</v>
      </c>
      <c r="K43" s="15" t="str">
        <f t="shared" si="21"/>
        <v>WNW</v>
      </c>
      <c r="L43" s="15" t="str">
        <f t="shared" si="22"/>
        <v>WNW</v>
      </c>
      <c r="M43" s="15" t="str">
        <f t="shared" si="23"/>
        <v>WNW</v>
      </c>
      <c r="N43" s="15" t="str">
        <f t="shared" si="24"/>
        <v>WNW</v>
      </c>
      <c r="O43" s="15" t="str">
        <f t="shared" si="25"/>
        <v>WNW</v>
      </c>
      <c r="Q43" s="3" t="s">
        <v>718</v>
      </c>
      <c r="R43" s="3" t="s">
        <v>623</v>
      </c>
      <c r="S43" s="3" t="s">
        <v>718</v>
      </c>
    </row>
    <row r="44" spans="1:19">
      <c r="A44" s="3" t="s">
        <v>23</v>
      </c>
      <c r="B44" s="2" t="s">
        <v>47</v>
      </c>
      <c r="C44" s="15" t="str">
        <f t="shared" si="13"/>
        <v>W</v>
      </c>
      <c r="D44" s="15" t="str">
        <f t="shared" si="14"/>
        <v>WSW</v>
      </c>
      <c r="E44" s="15" t="str">
        <f t="shared" si="15"/>
        <v>WSW</v>
      </c>
      <c r="F44" s="15" t="str">
        <f t="shared" si="16"/>
        <v>WSW</v>
      </c>
      <c r="G44" s="15" t="str">
        <f t="shared" si="17"/>
        <v>WSW</v>
      </c>
      <c r="H44" s="15" t="str">
        <f t="shared" si="18"/>
        <v>WSW</v>
      </c>
      <c r="I44" s="15" t="str">
        <f t="shared" si="19"/>
        <v>WSW</v>
      </c>
      <c r="J44" s="15" t="str">
        <f t="shared" si="20"/>
        <v>WSW</v>
      </c>
      <c r="K44" s="15" t="str">
        <f t="shared" si="21"/>
        <v>WSW</v>
      </c>
      <c r="L44" s="15" t="str">
        <f t="shared" si="22"/>
        <v>WSW</v>
      </c>
      <c r="M44" s="15" t="str">
        <f t="shared" si="23"/>
        <v>W</v>
      </c>
      <c r="N44" s="15" t="str">
        <f t="shared" si="24"/>
        <v>W</v>
      </c>
      <c r="O44" s="15" t="str">
        <f t="shared" si="25"/>
        <v>WSW</v>
      </c>
      <c r="Q44" s="3" t="s">
        <v>278</v>
      </c>
      <c r="R44" s="1" t="s">
        <v>628</v>
      </c>
      <c r="S44" s="3" t="s">
        <v>278</v>
      </c>
    </row>
    <row r="45" spans="1:19" ht="22.8">
      <c r="A45" s="3" t="s">
        <v>23</v>
      </c>
      <c r="B45" s="2" t="s">
        <v>48</v>
      </c>
      <c r="C45" s="15" t="str">
        <f t="shared" si="13"/>
        <v>WNW</v>
      </c>
      <c r="D45" s="15" t="str">
        <f t="shared" si="14"/>
        <v>WNW</v>
      </c>
      <c r="E45" s="15" t="str">
        <f t="shared" si="15"/>
        <v>WNW</v>
      </c>
      <c r="F45" s="15" t="str">
        <f t="shared" si="16"/>
        <v>WNW</v>
      </c>
      <c r="G45" s="15" t="str">
        <f t="shared" si="17"/>
        <v>WNW</v>
      </c>
      <c r="H45" s="15" t="str">
        <f t="shared" si="18"/>
        <v>WNW</v>
      </c>
      <c r="I45" s="15" t="str">
        <f t="shared" si="19"/>
        <v>WNW</v>
      </c>
      <c r="J45" s="15" t="str">
        <f t="shared" si="20"/>
        <v>NW</v>
      </c>
      <c r="K45" s="15" t="str">
        <f t="shared" si="21"/>
        <v>WNW</v>
      </c>
      <c r="L45" s="15" t="str">
        <f t="shared" si="22"/>
        <v>W</v>
      </c>
      <c r="M45" s="15" t="str">
        <f t="shared" si="23"/>
        <v>WNW</v>
      </c>
      <c r="N45" s="15" t="str">
        <f t="shared" si="24"/>
        <v>WNW</v>
      </c>
      <c r="O45" s="15" t="str">
        <f t="shared" si="25"/>
        <v>WNW</v>
      </c>
      <c r="Q45" s="3" t="s">
        <v>285</v>
      </c>
      <c r="R45" s="3" t="s">
        <v>635</v>
      </c>
      <c r="S45" s="3" t="s">
        <v>285</v>
      </c>
    </row>
    <row r="46" spans="1:19">
      <c r="A46" s="3" t="s">
        <v>23</v>
      </c>
      <c r="B46" s="2" t="s">
        <v>49</v>
      </c>
      <c r="C46" s="15" t="str">
        <f t="shared" si="13"/>
        <v>SE</v>
      </c>
      <c r="D46" s="15" t="str">
        <f t="shared" si="14"/>
        <v>SE</v>
      </c>
      <c r="E46" s="15" t="str">
        <f t="shared" si="15"/>
        <v>WNW</v>
      </c>
      <c r="F46" s="15" t="str">
        <f t="shared" si="16"/>
        <v>WNW</v>
      </c>
      <c r="G46" s="15" t="str">
        <f t="shared" si="17"/>
        <v>W</v>
      </c>
      <c r="H46" s="15" t="str">
        <f t="shared" si="18"/>
        <v>W</v>
      </c>
      <c r="I46" s="15" t="str">
        <f t="shared" si="19"/>
        <v>WNW</v>
      </c>
      <c r="J46" s="15" t="str">
        <f t="shared" si="20"/>
        <v>WNW</v>
      </c>
      <c r="K46" s="15" t="str">
        <f t="shared" si="21"/>
        <v>WNW</v>
      </c>
      <c r="L46" s="15" t="str">
        <f t="shared" si="22"/>
        <v>WNW</v>
      </c>
      <c r="M46" s="15" t="str">
        <f t="shared" si="23"/>
        <v>SE</v>
      </c>
      <c r="N46" s="15" t="str">
        <f t="shared" si="24"/>
        <v>SE</v>
      </c>
      <c r="O46" s="15" t="str">
        <f t="shared" si="25"/>
        <v>WNW</v>
      </c>
      <c r="Q46" s="2" t="s">
        <v>303</v>
      </c>
      <c r="R46" s="2" t="s">
        <v>655</v>
      </c>
      <c r="S46" s="2" t="s">
        <v>303</v>
      </c>
    </row>
    <row r="47" spans="1:19" ht="22.8">
      <c r="A47" s="2" t="s">
        <v>50</v>
      </c>
      <c r="B47" s="2" t="s">
        <v>51</v>
      </c>
      <c r="C47" s="15" t="str">
        <f t="shared" si="13"/>
        <v>S</v>
      </c>
      <c r="D47" s="15" t="str">
        <f t="shared" si="14"/>
        <v>S</v>
      </c>
      <c r="E47" s="15" t="str">
        <f t="shared" si="15"/>
        <v>S</v>
      </c>
      <c r="F47" s="15" t="str">
        <f t="shared" si="16"/>
        <v>S</v>
      </c>
      <c r="G47" s="15" t="str">
        <f t="shared" si="17"/>
        <v>S</v>
      </c>
      <c r="H47" s="15" t="str">
        <f t="shared" si="18"/>
        <v>S</v>
      </c>
      <c r="I47" s="15" t="str">
        <f t="shared" si="19"/>
        <v>S</v>
      </c>
      <c r="J47" s="15" t="str">
        <f t="shared" si="20"/>
        <v>S</v>
      </c>
      <c r="K47" s="15" t="str">
        <f t="shared" si="21"/>
        <v>S</v>
      </c>
      <c r="L47" s="15" t="str">
        <f t="shared" si="22"/>
        <v>S</v>
      </c>
      <c r="M47" s="15" t="str">
        <f t="shared" si="23"/>
        <v>S</v>
      </c>
      <c r="N47" s="15" t="str">
        <f t="shared" si="24"/>
        <v>S</v>
      </c>
      <c r="O47" s="15" t="str">
        <f t="shared" si="25"/>
        <v>S</v>
      </c>
      <c r="Q47" s="3" t="s">
        <v>306</v>
      </c>
      <c r="R47" s="4" t="s">
        <v>658</v>
      </c>
      <c r="S47" s="3" t="s">
        <v>306</v>
      </c>
    </row>
    <row r="48" spans="1:19" ht="22.8">
      <c r="A48" s="2" t="s">
        <v>50</v>
      </c>
      <c r="B48" s="2" t="s">
        <v>52</v>
      </c>
      <c r="C48" s="15" t="str">
        <f t="shared" si="13"/>
        <v>N</v>
      </c>
      <c r="D48" s="15" t="str">
        <f t="shared" si="14"/>
        <v>N</v>
      </c>
      <c r="E48" s="15" t="str">
        <f t="shared" si="15"/>
        <v>N</v>
      </c>
      <c r="F48" s="15" t="str">
        <f t="shared" si="16"/>
        <v>N</v>
      </c>
      <c r="G48" s="15" t="str">
        <f t="shared" si="17"/>
        <v>N</v>
      </c>
      <c r="H48" s="15" t="str">
        <f t="shared" si="18"/>
        <v>N</v>
      </c>
      <c r="I48" s="15" t="str">
        <f t="shared" si="19"/>
        <v>N</v>
      </c>
      <c r="J48" s="15" t="str">
        <f t="shared" si="20"/>
        <v>N</v>
      </c>
      <c r="K48" s="15" t="str">
        <f t="shared" si="21"/>
        <v>N</v>
      </c>
      <c r="L48" s="15" t="str">
        <f t="shared" si="22"/>
        <v>N</v>
      </c>
      <c r="M48" s="15" t="str">
        <f t="shared" si="23"/>
        <v>N</v>
      </c>
      <c r="N48" s="15" t="str">
        <f t="shared" si="24"/>
        <v>N</v>
      </c>
      <c r="O48" s="15" t="str">
        <f t="shared" si="25"/>
        <v>N</v>
      </c>
      <c r="Q48" s="3" t="s">
        <v>308</v>
      </c>
      <c r="R48" s="4" t="s">
        <v>660</v>
      </c>
      <c r="S48" s="3" t="s">
        <v>308</v>
      </c>
    </row>
    <row r="49" spans="1:19" ht="22.8">
      <c r="A49" s="2" t="s">
        <v>50</v>
      </c>
      <c r="B49" s="4" t="s">
        <v>53</v>
      </c>
      <c r="C49" s="15" t="str">
        <f t="shared" si="13"/>
        <v>S</v>
      </c>
      <c r="D49" s="15" t="str">
        <f t="shared" si="14"/>
        <v>S</v>
      </c>
      <c r="E49" s="15" t="str">
        <f t="shared" si="15"/>
        <v>S</v>
      </c>
      <c r="F49" s="15" t="str">
        <f t="shared" si="16"/>
        <v>S</v>
      </c>
      <c r="G49" s="15" t="str">
        <f t="shared" si="17"/>
        <v>S</v>
      </c>
      <c r="H49" s="15" t="str">
        <f t="shared" si="18"/>
        <v>S</v>
      </c>
      <c r="I49" s="15" t="str">
        <f t="shared" si="19"/>
        <v>S</v>
      </c>
      <c r="J49" s="15" t="str">
        <f t="shared" si="20"/>
        <v>S</v>
      </c>
      <c r="K49" s="15" t="str">
        <f t="shared" si="21"/>
        <v>S</v>
      </c>
      <c r="L49" s="15" t="str">
        <f t="shared" si="22"/>
        <v>S</v>
      </c>
      <c r="M49" s="15" t="str">
        <f t="shared" si="23"/>
        <v>S</v>
      </c>
      <c r="N49" s="15" t="str">
        <f t="shared" si="24"/>
        <v>S</v>
      </c>
      <c r="O49" s="15" t="str">
        <f t="shared" si="25"/>
        <v>S</v>
      </c>
      <c r="Q49" s="3" t="s">
        <v>313</v>
      </c>
      <c r="R49" s="4" t="s">
        <v>665</v>
      </c>
      <c r="S49" s="3" t="s">
        <v>313</v>
      </c>
    </row>
    <row r="50" spans="1:19" ht="22.8">
      <c r="A50" s="2" t="s">
        <v>50</v>
      </c>
      <c r="B50" s="3" t="s">
        <v>54</v>
      </c>
      <c r="C50" s="15" t="str">
        <f t="shared" si="13"/>
        <v>ESE</v>
      </c>
      <c r="D50" s="15" t="str">
        <f t="shared" si="14"/>
        <v>ESE</v>
      </c>
      <c r="E50" s="15" t="str">
        <f t="shared" si="15"/>
        <v>ESE</v>
      </c>
      <c r="F50" s="15" t="str">
        <f t="shared" si="16"/>
        <v>ESE</v>
      </c>
      <c r="G50" s="15" t="str">
        <f t="shared" si="17"/>
        <v>ESE</v>
      </c>
      <c r="H50" s="15" t="str">
        <f t="shared" si="18"/>
        <v>ESE</v>
      </c>
      <c r="I50" s="15" t="str">
        <f t="shared" si="19"/>
        <v>ESE</v>
      </c>
      <c r="J50" s="15" t="str">
        <f t="shared" si="20"/>
        <v>ESE</v>
      </c>
      <c r="K50" s="15" t="str">
        <f t="shared" si="21"/>
        <v>ESE</v>
      </c>
      <c r="L50" s="15" t="str">
        <f t="shared" si="22"/>
        <v>ESE</v>
      </c>
      <c r="M50" s="15" t="str">
        <f t="shared" si="23"/>
        <v>ESE</v>
      </c>
      <c r="N50" s="15" t="str">
        <f t="shared" si="24"/>
        <v>ESE</v>
      </c>
      <c r="O50" s="15" t="str">
        <f t="shared" si="25"/>
        <v>ESE</v>
      </c>
      <c r="Q50" s="4" t="s">
        <v>719</v>
      </c>
      <c r="R50" s="2" t="s">
        <v>673</v>
      </c>
      <c r="S50" s="4" t="s">
        <v>719</v>
      </c>
    </row>
    <row r="51" spans="1:19" ht="22.8">
      <c r="A51" s="2" t="s">
        <v>50</v>
      </c>
      <c r="B51" s="3" t="s">
        <v>55</v>
      </c>
      <c r="C51" s="15" t="str">
        <f t="shared" si="13"/>
        <v>W</v>
      </c>
      <c r="D51" s="15" t="str">
        <f t="shared" si="14"/>
        <v>W</v>
      </c>
      <c r="E51" s="15" t="str">
        <f t="shared" si="15"/>
        <v>ESE</v>
      </c>
      <c r="F51" s="15" t="str">
        <f t="shared" si="16"/>
        <v>ESE</v>
      </c>
      <c r="G51" s="15" t="str">
        <f t="shared" si="17"/>
        <v>ESE</v>
      </c>
      <c r="H51" s="15" t="str">
        <f t="shared" si="18"/>
        <v>ESE</v>
      </c>
      <c r="I51" s="15" t="str">
        <f t="shared" si="19"/>
        <v>ESE</v>
      </c>
      <c r="J51" s="15" t="str">
        <f t="shared" si="20"/>
        <v>ESE</v>
      </c>
      <c r="K51" s="15" t="str">
        <f t="shared" si="21"/>
        <v>ESE</v>
      </c>
      <c r="L51" s="15" t="str">
        <f t="shared" si="22"/>
        <v>ESE</v>
      </c>
      <c r="M51" s="15" t="str">
        <f t="shared" si="23"/>
        <v>ESE</v>
      </c>
      <c r="N51" s="15" t="str">
        <f t="shared" si="24"/>
        <v>ESE</v>
      </c>
      <c r="O51" s="15" t="str">
        <f t="shared" si="25"/>
        <v>ESE</v>
      </c>
      <c r="Q51" s="2" t="s">
        <v>324</v>
      </c>
      <c r="R51" s="2" t="s">
        <v>677</v>
      </c>
      <c r="S51" s="2" t="s">
        <v>324</v>
      </c>
    </row>
    <row r="52" spans="1:19">
      <c r="A52" s="3" t="s">
        <v>56</v>
      </c>
      <c r="B52" s="3" t="s">
        <v>57</v>
      </c>
      <c r="C52" s="15" t="str">
        <f t="shared" si="13"/>
        <v>W</v>
      </c>
      <c r="D52" s="15" t="str">
        <f t="shared" si="14"/>
        <v>W</v>
      </c>
      <c r="E52" s="15" t="str">
        <f t="shared" si="15"/>
        <v>NW</v>
      </c>
      <c r="F52" s="15" t="str">
        <f t="shared" si="16"/>
        <v>NW</v>
      </c>
      <c r="G52" s="15" t="str">
        <f t="shared" si="17"/>
        <v>NW</v>
      </c>
      <c r="H52" s="15" t="str">
        <f t="shared" si="18"/>
        <v>NW</v>
      </c>
      <c r="I52" s="15" t="str">
        <f t="shared" si="19"/>
        <v>WSW</v>
      </c>
      <c r="J52" s="15" t="str">
        <f t="shared" si="20"/>
        <v>WSW</v>
      </c>
      <c r="K52" s="15" t="str">
        <f t="shared" si="21"/>
        <v>WSW</v>
      </c>
      <c r="L52" s="15" t="str">
        <f t="shared" si="22"/>
        <v>WSW</v>
      </c>
      <c r="M52" s="15" t="str">
        <f t="shared" si="23"/>
        <v>WSW</v>
      </c>
      <c r="N52" s="15" t="str">
        <f t="shared" si="24"/>
        <v>WSW</v>
      </c>
      <c r="O52" s="15" t="str">
        <f t="shared" si="25"/>
        <v>WSW</v>
      </c>
      <c r="Q52" s="2" t="s">
        <v>329</v>
      </c>
      <c r="R52" s="2" t="s">
        <v>682</v>
      </c>
      <c r="S52" s="2" t="s">
        <v>329</v>
      </c>
    </row>
    <row r="53" spans="1:19">
      <c r="A53" s="3" t="s">
        <v>56</v>
      </c>
      <c r="B53" s="3" t="s">
        <v>58</v>
      </c>
      <c r="C53" s="15" t="str">
        <f t="shared" si="13"/>
        <v>NW</v>
      </c>
      <c r="D53" s="15" t="str">
        <f t="shared" si="14"/>
        <v>NW</v>
      </c>
      <c r="E53" s="15" t="str">
        <f t="shared" si="15"/>
        <v>NW</v>
      </c>
      <c r="F53" s="15" t="str">
        <f t="shared" si="16"/>
        <v>NW</v>
      </c>
      <c r="G53" s="15" t="str">
        <f t="shared" si="17"/>
        <v>NW</v>
      </c>
      <c r="H53" s="15" t="str">
        <f t="shared" si="18"/>
        <v>NW</v>
      </c>
      <c r="I53" s="15" t="str">
        <f t="shared" si="19"/>
        <v>N</v>
      </c>
      <c r="J53" s="15" t="str">
        <f t="shared" si="20"/>
        <v>N</v>
      </c>
      <c r="K53" s="15" t="str">
        <f t="shared" si="21"/>
        <v>N</v>
      </c>
      <c r="L53" s="15" t="str">
        <f t="shared" si="22"/>
        <v>S</v>
      </c>
      <c r="M53" s="15" t="str">
        <f t="shared" si="23"/>
        <v>S</v>
      </c>
      <c r="N53" s="15" t="str">
        <f t="shared" si="24"/>
        <v>S</v>
      </c>
      <c r="O53" s="15" t="str">
        <f t="shared" si="25"/>
        <v>NW</v>
      </c>
    </row>
    <row r="54" spans="1:19">
      <c r="A54" s="3" t="s">
        <v>59</v>
      </c>
      <c r="B54" s="3" t="s">
        <v>408</v>
      </c>
      <c r="C54" s="15" t="str">
        <f t="shared" si="13"/>
        <v>WNW</v>
      </c>
      <c r="D54" s="15" t="str">
        <f t="shared" si="14"/>
        <v>NNW</v>
      </c>
      <c r="E54" s="15" t="str">
        <f t="shared" si="15"/>
        <v>NNW</v>
      </c>
      <c r="F54" s="15" t="str">
        <f t="shared" si="16"/>
        <v>WNW</v>
      </c>
      <c r="G54" s="15" t="str">
        <f t="shared" si="17"/>
        <v>SSW</v>
      </c>
      <c r="H54" s="15" t="str">
        <f t="shared" si="18"/>
        <v>SSW</v>
      </c>
      <c r="I54" s="15" t="str">
        <f t="shared" si="19"/>
        <v>SSW</v>
      </c>
      <c r="J54" s="15" t="str">
        <f t="shared" si="20"/>
        <v>SSW</v>
      </c>
      <c r="K54" s="15" t="str">
        <f t="shared" si="21"/>
        <v>SSW</v>
      </c>
      <c r="L54" s="15" t="str">
        <f t="shared" si="22"/>
        <v>SSW</v>
      </c>
      <c r="M54" s="15" t="str">
        <f t="shared" si="23"/>
        <v>SSW</v>
      </c>
      <c r="N54" s="15" t="str">
        <f t="shared" si="24"/>
        <v>NNW</v>
      </c>
      <c r="O54" s="15" t="str">
        <f t="shared" si="25"/>
        <v>SSW</v>
      </c>
    </row>
    <row r="55" spans="1:19">
      <c r="A55" s="3" t="s">
        <v>59</v>
      </c>
      <c r="B55" s="3" t="s">
        <v>60</v>
      </c>
      <c r="C55" s="15" t="str">
        <f t="shared" si="13"/>
        <v>WNW</v>
      </c>
      <c r="D55" s="15" t="str">
        <f t="shared" si="14"/>
        <v>NW</v>
      </c>
      <c r="E55" s="15" t="str">
        <f t="shared" si="15"/>
        <v>WNW</v>
      </c>
      <c r="F55" s="15" t="str">
        <f t="shared" si="16"/>
        <v>WNW</v>
      </c>
      <c r="G55" s="15" t="str">
        <f t="shared" si="17"/>
        <v>WNW</v>
      </c>
      <c r="H55" s="15" t="str">
        <f t="shared" si="18"/>
        <v>S</v>
      </c>
      <c r="I55" s="15" t="str">
        <f t="shared" si="19"/>
        <v>S</v>
      </c>
      <c r="J55" s="15" t="str">
        <f t="shared" si="20"/>
        <v>S</v>
      </c>
      <c r="K55" s="15" t="str">
        <f t="shared" si="21"/>
        <v>WNW</v>
      </c>
      <c r="L55" s="15" t="str">
        <f t="shared" si="22"/>
        <v>NW</v>
      </c>
      <c r="M55" s="15" t="str">
        <f t="shared" si="23"/>
        <v>NW</v>
      </c>
      <c r="N55" s="15" t="str">
        <f t="shared" si="24"/>
        <v>WNW</v>
      </c>
      <c r="O55" s="15" t="str">
        <f t="shared" si="25"/>
        <v>WNW</v>
      </c>
    </row>
    <row r="56" spans="1:19">
      <c r="A56" s="3" t="s">
        <v>61</v>
      </c>
      <c r="B56" s="3" t="s">
        <v>62</v>
      </c>
      <c r="C56" s="15" t="str">
        <f t="shared" si="13"/>
        <v>NNW</v>
      </c>
      <c r="D56" s="15" t="str">
        <f t="shared" si="14"/>
        <v>NW</v>
      </c>
      <c r="E56" s="15" t="str">
        <f t="shared" si="15"/>
        <v>NNW</v>
      </c>
      <c r="F56" s="15" t="str">
        <f t="shared" si="16"/>
        <v>S</v>
      </c>
      <c r="G56" s="15" t="str">
        <f t="shared" si="17"/>
        <v>S</v>
      </c>
      <c r="H56" s="15" t="str">
        <f t="shared" si="18"/>
        <v>S</v>
      </c>
      <c r="I56" s="15" t="str">
        <f t="shared" si="19"/>
        <v>S</v>
      </c>
      <c r="J56" s="15" t="str">
        <f t="shared" si="20"/>
        <v>S</v>
      </c>
      <c r="K56" s="15" t="str">
        <f t="shared" si="21"/>
        <v>S</v>
      </c>
      <c r="L56" s="15" t="str">
        <f t="shared" si="22"/>
        <v>S</v>
      </c>
      <c r="M56" s="15" t="str">
        <f t="shared" si="23"/>
        <v>S</v>
      </c>
      <c r="N56" s="15" t="str">
        <f t="shared" si="24"/>
        <v>NW</v>
      </c>
      <c r="O56" s="15" t="str">
        <f t="shared" si="25"/>
        <v>S</v>
      </c>
    </row>
    <row r="57" spans="1:19">
      <c r="A57" s="3" t="s">
        <v>64</v>
      </c>
      <c r="B57" s="3" t="s">
        <v>65</v>
      </c>
      <c r="C57" s="15" t="str">
        <f t="shared" si="13"/>
        <v>N</v>
      </c>
      <c r="D57" s="15" t="str">
        <f t="shared" si="14"/>
        <v>N</v>
      </c>
      <c r="E57" s="15" t="str">
        <f t="shared" si="15"/>
        <v>SE</v>
      </c>
      <c r="F57" s="15" t="str">
        <f t="shared" si="16"/>
        <v>SE</v>
      </c>
      <c r="G57" s="15" t="str">
        <f t="shared" si="17"/>
        <v>SE</v>
      </c>
      <c r="H57" s="15" t="str">
        <f t="shared" si="18"/>
        <v>SW</v>
      </c>
      <c r="I57" s="15" t="str">
        <f t="shared" si="19"/>
        <v>W</v>
      </c>
      <c r="J57" s="15" t="str">
        <f t="shared" si="20"/>
        <v>SW</v>
      </c>
      <c r="K57" s="15" t="str">
        <f t="shared" si="21"/>
        <v>NE</v>
      </c>
      <c r="L57" s="15" t="str">
        <f t="shared" si="22"/>
        <v>NE</v>
      </c>
      <c r="M57" s="15" t="str">
        <f t="shared" si="23"/>
        <v>N</v>
      </c>
      <c r="N57" s="15" t="str">
        <f t="shared" si="24"/>
        <v>N</v>
      </c>
      <c r="O57" s="15" t="str">
        <f t="shared" si="25"/>
        <v>N</v>
      </c>
    </row>
    <row r="58" spans="1:19">
      <c r="A58" s="3" t="s">
        <v>64</v>
      </c>
      <c r="B58" s="3" t="s">
        <v>66</v>
      </c>
      <c r="C58" s="15" t="str">
        <f t="shared" si="13"/>
        <v>N</v>
      </c>
      <c r="D58" s="15" t="str">
        <f t="shared" si="14"/>
        <v>N</v>
      </c>
      <c r="E58" s="15" t="str">
        <f t="shared" si="15"/>
        <v>ESE</v>
      </c>
      <c r="F58" s="15" t="str">
        <f t="shared" si="16"/>
        <v>ESE</v>
      </c>
      <c r="G58" s="15" t="str">
        <f t="shared" si="17"/>
        <v>ESE</v>
      </c>
      <c r="H58" s="15" t="str">
        <f t="shared" si="18"/>
        <v>E</v>
      </c>
      <c r="I58" s="15" t="str">
        <f t="shared" si="19"/>
        <v>ESE</v>
      </c>
      <c r="J58" s="15" t="str">
        <f t="shared" si="20"/>
        <v>ESE</v>
      </c>
      <c r="K58" s="15" t="str">
        <f t="shared" si="21"/>
        <v>ENE</v>
      </c>
      <c r="L58" s="15" t="str">
        <f t="shared" si="22"/>
        <v>ENE</v>
      </c>
      <c r="M58" s="15" t="str">
        <f t="shared" si="23"/>
        <v>NW</v>
      </c>
      <c r="N58" s="15" t="str">
        <f t="shared" si="24"/>
        <v>WNW</v>
      </c>
      <c r="O58" s="15" t="str">
        <f t="shared" si="25"/>
        <v>ESE</v>
      </c>
    </row>
    <row r="59" spans="1:19" ht="22.8">
      <c r="A59" s="3" t="s">
        <v>64</v>
      </c>
      <c r="B59" s="5" t="s">
        <v>67</v>
      </c>
      <c r="C59" s="15" t="str">
        <f t="shared" si="13"/>
        <v>NNW</v>
      </c>
      <c r="D59" s="15" t="str">
        <f t="shared" si="14"/>
        <v>N</v>
      </c>
      <c r="E59" s="15" t="str">
        <f t="shared" si="15"/>
        <v>SE</v>
      </c>
      <c r="F59" s="15" t="str">
        <f t="shared" si="16"/>
        <v>E</v>
      </c>
      <c r="G59" s="15" t="str">
        <f t="shared" si="17"/>
        <v>E</v>
      </c>
      <c r="H59" s="15" t="str">
        <f t="shared" si="18"/>
        <v>E</v>
      </c>
      <c r="I59" s="15" t="str">
        <f t="shared" si="19"/>
        <v>E</v>
      </c>
      <c r="J59" s="15" t="str">
        <f t="shared" si="20"/>
        <v>E</v>
      </c>
      <c r="K59" s="15" t="str">
        <f t="shared" si="21"/>
        <v>E</v>
      </c>
      <c r="L59" s="15" t="str">
        <f t="shared" si="22"/>
        <v>E</v>
      </c>
      <c r="M59" s="15" t="str">
        <f t="shared" si="23"/>
        <v>N</v>
      </c>
      <c r="N59" s="15" t="str">
        <f t="shared" si="24"/>
        <v>NNW</v>
      </c>
      <c r="O59" s="15" t="str">
        <f t="shared" si="25"/>
        <v>E</v>
      </c>
    </row>
    <row r="60" spans="1:19">
      <c r="A60" s="3" t="s">
        <v>64</v>
      </c>
      <c r="B60" s="3" t="s">
        <v>68</v>
      </c>
      <c r="C60" s="15" t="str">
        <f t="shared" si="13"/>
        <v>E</v>
      </c>
      <c r="D60" s="15" t="str">
        <f t="shared" si="14"/>
        <v>E</v>
      </c>
      <c r="E60" s="15" t="str">
        <f t="shared" si="15"/>
        <v>SW</v>
      </c>
      <c r="F60" s="15" t="str">
        <f t="shared" si="16"/>
        <v>E</v>
      </c>
      <c r="G60" s="15" t="str">
        <f t="shared" si="17"/>
        <v>E</v>
      </c>
      <c r="H60" s="15" t="str">
        <f t="shared" si="18"/>
        <v>E</v>
      </c>
      <c r="I60" s="15" t="str">
        <f t="shared" si="19"/>
        <v>ESE</v>
      </c>
      <c r="J60" s="15" t="str">
        <f t="shared" si="20"/>
        <v>E</v>
      </c>
      <c r="K60" s="15" t="str">
        <f t="shared" si="21"/>
        <v>E</v>
      </c>
      <c r="L60" s="15" t="str">
        <f t="shared" si="22"/>
        <v>NE</v>
      </c>
      <c r="M60" s="15" t="str">
        <f t="shared" si="23"/>
        <v>NE</v>
      </c>
      <c r="N60" s="15" t="str">
        <f t="shared" si="24"/>
        <v>NE</v>
      </c>
      <c r="O60" s="15" t="str">
        <f t="shared" si="25"/>
        <v>E</v>
      </c>
    </row>
    <row r="61" spans="1:19">
      <c r="A61" s="3" t="s">
        <v>64</v>
      </c>
      <c r="B61" s="3" t="s">
        <v>69</v>
      </c>
      <c r="C61" s="15" t="str">
        <f t="shared" si="13"/>
        <v>WNW</v>
      </c>
      <c r="D61" s="15" t="str">
        <f t="shared" si="14"/>
        <v>WNW</v>
      </c>
      <c r="E61" s="15" t="str">
        <f t="shared" si="15"/>
        <v>W</v>
      </c>
      <c r="F61" s="15" t="str">
        <f t="shared" si="16"/>
        <v>W</v>
      </c>
      <c r="G61" s="15" t="str">
        <f t="shared" si="17"/>
        <v>W</v>
      </c>
      <c r="H61" s="15" t="str">
        <f t="shared" si="18"/>
        <v>W</v>
      </c>
      <c r="I61" s="15" t="str">
        <f t="shared" si="19"/>
        <v>W</v>
      </c>
      <c r="J61" s="15" t="str">
        <f t="shared" si="20"/>
        <v>W</v>
      </c>
      <c r="K61" s="15" t="str">
        <f t="shared" si="21"/>
        <v>ESE</v>
      </c>
      <c r="L61" s="15" t="str">
        <f t="shared" si="22"/>
        <v>ESE</v>
      </c>
      <c r="M61" s="15" t="str">
        <f t="shared" si="23"/>
        <v>E</v>
      </c>
      <c r="N61" s="15" t="str">
        <f t="shared" si="24"/>
        <v>E</v>
      </c>
      <c r="O61" s="15" t="str">
        <f t="shared" si="25"/>
        <v>W</v>
      </c>
    </row>
    <row r="62" spans="1:19" ht="22.8">
      <c r="A62" s="3" t="s">
        <v>64</v>
      </c>
      <c r="B62" s="4" t="s">
        <v>70</v>
      </c>
      <c r="C62" s="15" t="str">
        <f t="shared" si="13"/>
        <v>WNW</v>
      </c>
      <c r="D62" s="15" t="str">
        <f t="shared" si="14"/>
        <v>NW</v>
      </c>
      <c r="E62" s="15" t="str">
        <f t="shared" si="15"/>
        <v>WSW</v>
      </c>
      <c r="F62" s="15" t="str">
        <f t="shared" si="16"/>
        <v>ESE</v>
      </c>
      <c r="G62" s="15" t="str">
        <f t="shared" si="17"/>
        <v>SE</v>
      </c>
      <c r="H62" s="15" t="str">
        <f t="shared" si="18"/>
        <v>WSW</v>
      </c>
      <c r="I62" s="15" t="str">
        <f t="shared" si="19"/>
        <v>SW</v>
      </c>
      <c r="J62" s="15" t="str">
        <f t="shared" si="20"/>
        <v>SW</v>
      </c>
      <c r="K62" s="15" t="str">
        <f t="shared" si="21"/>
        <v>ENE</v>
      </c>
      <c r="L62" s="15" t="str">
        <f t="shared" si="22"/>
        <v>NE</v>
      </c>
      <c r="M62" s="15" t="str">
        <f t="shared" si="23"/>
        <v>NE</v>
      </c>
      <c r="N62" s="15" t="str">
        <f t="shared" si="24"/>
        <v>NW</v>
      </c>
      <c r="O62" s="15" t="str">
        <f t="shared" si="25"/>
        <v>WSW</v>
      </c>
    </row>
    <row r="63" spans="1:19">
      <c r="A63" s="3" t="s">
        <v>64</v>
      </c>
      <c r="B63" s="2" t="s">
        <v>71</v>
      </c>
      <c r="C63" s="15" t="str">
        <f t="shared" si="13"/>
        <v>NE</v>
      </c>
      <c r="D63" s="15" t="str">
        <f t="shared" si="14"/>
        <v>NE</v>
      </c>
      <c r="E63" s="15" t="str">
        <f t="shared" si="15"/>
        <v>NE</v>
      </c>
      <c r="F63" s="15" t="str">
        <f t="shared" si="16"/>
        <v>NE</v>
      </c>
      <c r="G63" s="15" t="str">
        <f t="shared" si="17"/>
        <v>ESE</v>
      </c>
      <c r="H63" s="15" t="str">
        <f t="shared" si="18"/>
        <v>ESE</v>
      </c>
      <c r="I63" s="15" t="str">
        <f t="shared" si="19"/>
        <v>ESE</v>
      </c>
      <c r="J63" s="15" t="str">
        <f t="shared" si="20"/>
        <v>ESE</v>
      </c>
      <c r="K63" s="15" t="str">
        <f t="shared" si="21"/>
        <v>ESE</v>
      </c>
      <c r="L63" s="15" t="str">
        <f t="shared" si="22"/>
        <v>ESE</v>
      </c>
      <c r="M63" s="15" t="str">
        <f t="shared" si="23"/>
        <v>ESE</v>
      </c>
      <c r="N63" s="15" t="str">
        <f t="shared" si="24"/>
        <v>ESE</v>
      </c>
      <c r="O63" s="15" t="str">
        <f t="shared" si="25"/>
        <v>ESE</v>
      </c>
    </row>
    <row r="64" spans="1:19">
      <c r="A64" s="3" t="s">
        <v>64</v>
      </c>
      <c r="B64" s="2" t="s">
        <v>72</v>
      </c>
      <c r="C64" s="15" t="str">
        <f t="shared" si="13"/>
        <v>NNW</v>
      </c>
      <c r="D64" s="15" t="str">
        <f t="shared" si="14"/>
        <v>NNW</v>
      </c>
      <c r="E64" s="15" t="str">
        <f t="shared" si="15"/>
        <v>ESE</v>
      </c>
      <c r="F64" s="15" t="str">
        <f t="shared" si="16"/>
        <v>ESE</v>
      </c>
      <c r="G64" s="15" t="str">
        <f t="shared" si="17"/>
        <v>ESE</v>
      </c>
      <c r="H64" s="15" t="str">
        <f t="shared" si="18"/>
        <v>ESE</v>
      </c>
      <c r="I64" s="15" t="str">
        <f t="shared" si="19"/>
        <v>ESE</v>
      </c>
      <c r="J64" s="15" t="str">
        <f t="shared" si="20"/>
        <v>ESE</v>
      </c>
      <c r="K64" s="15" t="str">
        <f t="shared" si="21"/>
        <v>E</v>
      </c>
      <c r="L64" s="15" t="str">
        <f t="shared" si="22"/>
        <v>ENE</v>
      </c>
      <c r="M64" s="15" t="str">
        <f t="shared" si="23"/>
        <v>E</v>
      </c>
      <c r="N64" s="15" t="str">
        <f t="shared" si="24"/>
        <v>NNW</v>
      </c>
      <c r="O64" s="15" t="str">
        <f t="shared" si="25"/>
        <v>ESE</v>
      </c>
    </row>
    <row r="65" spans="1:15">
      <c r="A65" s="3" t="s">
        <v>64</v>
      </c>
      <c r="B65" s="2" t="s">
        <v>73</v>
      </c>
      <c r="C65" s="15" t="str">
        <f t="shared" ref="C65:C96" si="26">INDEX(tablewind,MATCH($B65,citywind,0),2)</f>
        <v>N</v>
      </c>
      <c r="D65" s="15" t="str">
        <f t="shared" ref="D65:D96" si="27">INDEX(tablewind,MATCH($B65,citywind,0),3)</f>
        <v>N</v>
      </c>
      <c r="E65" s="15" t="str">
        <f t="shared" ref="E65:E96" si="28">INDEX(tablewind,MATCH($B65,citywind,0),4)</f>
        <v>N</v>
      </c>
      <c r="F65" s="15" t="str">
        <f t="shared" ref="F65:F96" si="29">INDEX(tablewind,MATCH($B65,citywind,0),5)</f>
        <v>N</v>
      </c>
      <c r="G65" s="15" t="str">
        <f t="shared" ref="G65:G96" si="30">INDEX(tablewind,MATCH($B65,citywind,0),6)</f>
        <v>N</v>
      </c>
      <c r="H65" s="15" t="str">
        <f t="shared" ref="H65:H96" si="31">INDEX(tablewind,MATCH($B65,citywind,0),7)</f>
        <v>N</v>
      </c>
      <c r="I65" s="15" t="str">
        <f t="shared" ref="I65:I96" si="32">INDEX(tablewind,MATCH($B65,citywind,0),8)</f>
        <v>N</v>
      </c>
      <c r="J65" s="15" t="str">
        <f t="shared" ref="J65:J96" si="33">INDEX(tablewind,MATCH($B65,citywind,0),9)</f>
        <v>N</v>
      </c>
      <c r="K65" s="15" t="str">
        <f t="shared" ref="K65:K96" si="34">INDEX(tablewind,MATCH($B65,citywind,0),10)</f>
        <v>S</v>
      </c>
      <c r="L65" s="15" t="str">
        <f t="shared" ref="L65:L96" si="35">INDEX(tablewind,MATCH($B65,citywind,0),11)</f>
        <v>S</v>
      </c>
      <c r="M65" s="15" t="str">
        <f t="shared" ref="M65:M96" si="36">INDEX(tablewind,MATCH($B65,citywind,0),12)</f>
        <v>S</v>
      </c>
      <c r="N65" s="15" t="str">
        <f t="shared" ref="N65:N96" si="37">INDEX(tablewind,MATCH($B65,citywind,0),13)</f>
        <v>S</v>
      </c>
      <c r="O65" s="15" t="str">
        <f t="shared" ref="O65:O96" si="38">INDEX(tablewind,MATCH($B65,citywind,0),14)</f>
        <v>N</v>
      </c>
    </row>
    <row r="66" spans="1:15" ht="22.8">
      <c r="A66" s="3" t="s">
        <v>64</v>
      </c>
      <c r="B66" s="2" t="s">
        <v>74</v>
      </c>
      <c r="C66" s="15" t="str">
        <f t="shared" si="26"/>
        <v>N</v>
      </c>
      <c r="D66" s="15" t="str">
        <f t="shared" si="27"/>
        <v>N</v>
      </c>
      <c r="E66" s="15" t="str">
        <f t="shared" si="28"/>
        <v>SSE</v>
      </c>
      <c r="F66" s="15" t="str">
        <f t="shared" si="29"/>
        <v>S</v>
      </c>
      <c r="G66" s="15" t="str">
        <f t="shared" si="30"/>
        <v>S</v>
      </c>
      <c r="H66" s="15" t="str">
        <f t="shared" si="31"/>
        <v>WSW</v>
      </c>
      <c r="I66" s="15" t="str">
        <f t="shared" si="32"/>
        <v>WSW</v>
      </c>
      <c r="J66" s="15" t="str">
        <f t="shared" si="33"/>
        <v>E</v>
      </c>
      <c r="K66" s="15" t="str">
        <f t="shared" si="34"/>
        <v>ENE</v>
      </c>
      <c r="L66" s="15" t="str">
        <f t="shared" si="35"/>
        <v>N</v>
      </c>
      <c r="M66" s="15" t="str">
        <f t="shared" si="36"/>
        <v>N</v>
      </c>
      <c r="N66" s="15" t="str">
        <f t="shared" si="37"/>
        <v>N</v>
      </c>
      <c r="O66" s="15" t="str">
        <f t="shared" si="38"/>
        <v>N</v>
      </c>
    </row>
    <row r="67" spans="1:15">
      <c r="A67" s="3" t="s">
        <v>64</v>
      </c>
      <c r="B67" s="2" t="s">
        <v>75</v>
      </c>
      <c r="C67" s="15" t="str">
        <f t="shared" si="26"/>
        <v>N</v>
      </c>
      <c r="D67" s="15" t="str">
        <f t="shared" si="27"/>
        <v>N</v>
      </c>
      <c r="E67" s="15" t="str">
        <f t="shared" si="28"/>
        <v>N</v>
      </c>
      <c r="F67" s="15" t="str">
        <f t="shared" si="29"/>
        <v>N</v>
      </c>
      <c r="G67" s="15" t="str">
        <f t="shared" si="30"/>
        <v>N</v>
      </c>
      <c r="H67" s="15" t="str">
        <f t="shared" si="31"/>
        <v>N</v>
      </c>
      <c r="I67" s="15" t="str">
        <f t="shared" si="32"/>
        <v>ESE</v>
      </c>
      <c r="J67" s="15" t="str">
        <f t="shared" si="33"/>
        <v>ESE</v>
      </c>
      <c r="K67" s="15" t="str">
        <f t="shared" si="34"/>
        <v>ESE</v>
      </c>
      <c r="L67" s="15" t="str">
        <f t="shared" si="35"/>
        <v>SE</v>
      </c>
      <c r="M67" s="15" t="str">
        <f t="shared" si="36"/>
        <v>SE</v>
      </c>
      <c r="N67" s="15" t="str">
        <f t="shared" si="37"/>
        <v>SE</v>
      </c>
      <c r="O67" s="15" t="str">
        <f t="shared" si="38"/>
        <v>N</v>
      </c>
    </row>
    <row r="68" spans="1:15" ht="22.8">
      <c r="A68" s="3" t="s">
        <v>64</v>
      </c>
      <c r="B68" s="2" t="s">
        <v>76</v>
      </c>
      <c r="C68" s="15" t="str">
        <f t="shared" si="26"/>
        <v>N</v>
      </c>
      <c r="D68" s="15" t="str">
        <f t="shared" si="27"/>
        <v>N</v>
      </c>
      <c r="E68" s="15" t="str">
        <f t="shared" si="28"/>
        <v>S</v>
      </c>
      <c r="F68" s="15" t="str">
        <f t="shared" si="29"/>
        <v>S</v>
      </c>
      <c r="G68" s="15" t="str">
        <f t="shared" si="30"/>
        <v>S</v>
      </c>
      <c r="H68" s="15" t="str">
        <f t="shared" si="31"/>
        <v>N</v>
      </c>
      <c r="I68" s="15" t="str">
        <f t="shared" si="32"/>
        <v>S</v>
      </c>
      <c r="J68" s="15" t="str">
        <f t="shared" si="33"/>
        <v>N</v>
      </c>
      <c r="K68" s="15" t="str">
        <f t="shared" si="34"/>
        <v>ENE</v>
      </c>
      <c r="L68" s="15" t="str">
        <f t="shared" si="35"/>
        <v>N</v>
      </c>
      <c r="M68" s="15" t="str">
        <f t="shared" si="36"/>
        <v>N</v>
      </c>
      <c r="N68" s="15" t="str">
        <f t="shared" si="37"/>
        <v>N</v>
      </c>
      <c r="O68" s="15" t="str">
        <f t="shared" si="38"/>
        <v>N</v>
      </c>
    </row>
    <row r="69" spans="1:15">
      <c r="A69" s="3" t="s">
        <v>64</v>
      </c>
      <c r="B69" s="2" t="s">
        <v>77</v>
      </c>
      <c r="C69" s="15" t="str">
        <f t="shared" si="26"/>
        <v>ENE</v>
      </c>
      <c r="D69" s="15" t="str">
        <f t="shared" si="27"/>
        <v>ENE</v>
      </c>
      <c r="E69" s="15" t="str">
        <f t="shared" si="28"/>
        <v>ENE</v>
      </c>
      <c r="F69" s="15" t="str">
        <f t="shared" si="29"/>
        <v>ENE</v>
      </c>
      <c r="G69" s="15" t="str">
        <f t="shared" si="30"/>
        <v>E</v>
      </c>
      <c r="H69" s="15" t="str">
        <f t="shared" si="31"/>
        <v>E</v>
      </c>
      <c r="I69" s="15" t="str">
        <f t="shared" si="32"/>
        <v>E</v>
      </c>
      <c r="J69" s="15" t="str">
        <f t="shared" si="33"/>
        <v>E</v>
      </c>
      <c r="K69" s="15" t="str">
        <f t="shared" si="34"/>
        <v>E</v>
      </c>
      <c r="L69" s="15" t="str">
        <f t="shared" si="35"/>
        <v>E</v>
      </c>
      <c r="M69" s="15" t="str">
        <f t="shared" si="36"/>
        <v>W</v>
      </c>
      <c r="N69" s="15" t="str">
        <f t="shared" si="37"/>
        <v>W</v>
      </c>
      <c r="O69" s="15" t="str">
        <f t="shared" si="38"/>
        <v>E</v>
      </c>
    </row>
    <row r="70" spans="1:15" ht="22.8">
      <c r="A70" s="3" t="s">
        <v>64</v>
      </c>
      <c r="B70" s="2" t="s">
        <v>78</v>
      </c>
      <c r="C70" s="15" t="str">
        <f t="shared" si="26"/>
        <v>N</v>
      </c>
      <c r="D70" s="15" t="str">
        <f t="shared" si="27"/>
        <v>N</v>
      </c>
      <c r="E70" s="15" t="str">
        <f t="shared" si="28"/>
        <v>ESE</v>
      </c>
      <c r="F70" s="15" t="str">
        <f t="shared" si="29"/>
        <v>SE</v>
      </c>
      <c r="G70" s="15" t="str">
        <f t="shared" si="30"/>
        <v>ESE</v>
      </c>
      <c r="H70" s="15" t="str">
        <f t="shared" si="31"/>
        <v>ESE</v>
      </c>
      <c r="I70" s="15" t="str">
        <f t="shared" si="32"/>
        <v>ESE</v>
      </c>
      <c r="J70" s="15" t="str">
        <f t="shared" si="33"/>
        <v>ESE</v>
      </c>
      <c r="K70" s="15" t="str">
        <f t="shared" si="34"/>
        <v>ENE</v>
      </c>
      <c r="L70" s="15" t="str">
        <f t="shared" si="35"/>
        <v>ENE</v>
      </c>
      <c r="M70" s="15" t="str">
        <f t="shared" si="36"/>
        <v>ESE</v>
      </c>
      <c r="N70" s="15" t="str">
        <f t="shared" si="37"/>
        <v>NW</v>
      </c>
      <c r="O70" s="15" t="str">
        <f t="shared" si="38"/>
        <v>ESE</v>
      </c>
    </row>
    <row r="71" spans="1:15" ht="22.8">
      <c r="A71" s="3" t="s">
        <v>64</v>
      </c>
      <c r="B71" s="2" t="s">
        <v>79</v>
      </c>
      <c r="C71" s="15" t="str">
        <f t="shared" si="26"/>
        <v>NW</v>
      </c>
      <c r="D71" s="15" t="str">
        <f t="shared" si="27"/>
        <v>NW</v>
      </c>
      <c r="E71" s="15" t="str">
        <f t="shared" si="28"/>
        <v>NW</v>
      </c>
      <c r="F71" s="15" t="str">
        <f t="shared" si="29"/>
        <v>NW</v>
      </c>
      <c r="G71" s="15" t="str">
        <f t="shared" si="30"/>
        <v>SE</v>
      </c>
      <c r="H71" s="15" t="str">
        <f t="shared" si="31"/>
        <v>SE</v>
      </c>
      <c r="I71" s="15" t="str">
        <f t="shared" si="32"/>
        <v>SE</v>
      </c>
      <c r="J71" s="15" t="str">
        <f t="shared" si="33"/>
        <v>SE</v>
      </c>
      <c r="K71" s="15" t="str">
        <f t="shared" si="34"/>
        <v>ESE</v>
      </c>
      <c r="L71" s="15" t="str">
        <f t="shared" si="35"/>
        <v>ESE</v>
      </c>
      <c r="M71" s="15" t="str">
        <f t="shared" si="36"/>
        <v>ESE</v>
      </c>
      <c r="N71" s="15" t="str">
        <f t="shared" si="37"/>
        <v>ESE</v>
      </c>
      <c r="O71" s="15" t="str">
        <f t="shared" si="38"/>
        <v>ESE</v>
      </c>
    </row>
    <row r="72" spans="1:15">
      <c r="A72" s="2" t="s">
        <v>80</v>
      </c>
      <c r="B72" s="2" t="s">
        <v>81</v>
      </c>
      <c r="C72" s="15" t="str">
        <f t="shared" si="26"/>
        <v>WNW</v>
      </c>
      <c r="D72" s="15" t="str">
        <f t="shared" si="27"/>
        <v>WNW</v>
      </c>
      <c r="E72" s="15" t="str">
        <f t="shared" si="28"/>
        <v>WNW</v>
      </c>
      <c r="F72" s="15" t="str">
        <f t="shared" si="29"/>
        <v>WNW</v>
      </c>
      <c r="G72" s="15" t="str">
        <f t="shared" si="30"/>
        <v>S</v>
      </c>
      <c r="H72" s="15" t="str">
        <f t="shared" si="31"/>
        <v>S</v>
      </c>
      <c r="I72" s="15" t="str">
        <f t="shared" si="32"/>
        <v>S</v>
      </c>
      <c r="J72" s="15" t="str">
        <f t="shared" si="33"/>
        <v>S</v>
      </c>
      <c r="K72" s="15" t="str">
        <f t="shared" si="34"/>
        <v>S</v>
      </c>
      <c r="L72" s="15" t="str">
        <f t="shared" si="35"/>
        <v>S</v>
      </c>
      <c r="M72" s="15" t="str">
        <f t="shared" si="36"/>
        <v>S</v>
      </c>
      <c r="N72" s="15" t="str">
        <f t="shared" si="37"/>
        <v>WNW</v>
      </c>
      <c r="O72" s="15" t="str">
        <f t="shared" si="38"/>
        <v>S</v>
      </c>
    </row>
    <row r="73" spans="1:15">
      <c r="A73" s="2" t="s">
        <v>80</v>
      </c>
      <c r="B73" s="2" t="s">
        <v>82</v>
      </c>
      <c r="C73" s="15" t="str">
        <f t="shared" si="26"/>
        <v>WNW</v>
      </c>
      <c r="D73" s="15" t="str">
        <f t="shared" si="27"/>
        <v>WNW</v>
      </c>
      <c r="E73" s="15" t="str">
        <f t="shared" si="28"/>
        <v>WNW</v>
      </c>
      <c r="F73" s="15" t="str">
        <f t="shared" si="29"/>
        <v>WNW</v>
      </c>
      <c r="G73" s="15" t="str">
        <f t="shared" si="30"/>
        <v>WNW</v>
      </c>
      <c r="H73" s="15" t="str">
        <f t="shared" si="31"/>
        <v>WNW</v>
      </c>
      <c r="I73" s="15" t="str">
        <f t="shared" si="32"/>
        <v>WNW</v>
      </c>
      <c r="J73" s="15" t="str">
        <f t="shared" si="33"/>
        <v>WNW</v>
      </c>
      <c r="K73" s="15" t="str">
        <f t="shared" si="34"/>
        <v>WSW</v>
      </c>
      <c r="L73" s="15" t="str">
        <f t="shared" si="35"/>
        <v>WSW</v>
      </c>
      <c r="M73" s="15" t="str">
        <f t="shared" si="36"/>
        <v>WSW</v>
      </c>
      <c r="N73" s="15" t="str">
        <f t="shared" si="37"/>
        <v>WSW</v>
      </c>
      <c r="O73" s="15" t="str">
        <f t="shared" si="38"/>
        <v>WNW</v>
      </c>
    </row>
    <row r="74" spans="1:15">
      <c r="A74" s="2" t="s">
        <v>80</v>
      </c>
      <c r="B74" s="2" t="s">
        <v>83</v>
      </c>
      <c r="C74" s="15" t="str">
        <f t="shared" si="26"/>
        <v>NW</v>
      </c>
      <c r="D74" s="15" t="str">
        <f t="shared" si="27"/>
        <v>NW</v>
      </c>
      <c r="E74" s="15" t="str">
        <f t="shared" si="28"/>
        <v>NW</v>
      </c>
      <c r="F74" s="15" t="str">
        <f t="shared" si="29"/>
        <v>WNW</v>
      </c>
      <c r="G74" s="15" t="str">
        <f t="shared" si="30"/>
        <v>NW</v>
      </c>
      <c r="H74" s="15" t="str">
        <f t="shared" si="31"/>
        <v>W</v>
      </c>
      <c r="I74" s="15" t="str">
        <f t="shared" si="32"/>
        <v>W</v>
      </c>
      <c r="J74" s="15" t="str">
        <f t="shared" si="33"/>
        <v>E</v>
      </c>
      <c r="K74" s="15" t="str">
        <f t="shared" si="34"/>
        <v>E</v>
      </c>
      <c r="L74" s="15" t="str">
        <f t="shared" si="35"/>
        <v>E</v>
      </c>
      <c r="M74" s="15" t="str">
        <f t="shared" si="36"/>
        <v>NW</v>
      </c>
      <c r="N74" s="15" t="str">
        <f t="shared" si="37"/>
        <v>NW</v>
      </c>
      <c r="O74" s="15" t="str">
        <f t="shared" si="38"/>
        <v>NW</v>
      </c>
    </row>
    <row r="75" spans="1:15">
      <c r="A75" s="2" t="s">
        <v>80</v>
      </c>
      <c r="B75" s="2" t="s">
        <v>84</v>
      </c>
      <c r="C75" s="15" t="str">
        <f t="shared" si="26"/>
        <v>W</v>
      </c>
      <c r="D75" s="15" t="str">
        <f t="shared" si="27"/>
        <v>WNW</v>
      </c>
      <c r="E75" s="15" t="str">
        <f t="shared" si="28"/>
        <v>WNW</v>
      </c>
      <c r="F75" s="15" t="str">
        <f t="shared" si="29"/>
        <v>S</v>
      </c>
      <c r="G75" s="15" t="str">
        <f t="shared" si="30"/>
        <v>SE</v>
      </c>
      <c r="H75" s="15" t="str">
        <f t="shared" si="31"/>
        <v>SE</v>
      </c>
      <c r="I75" s="15" t="str">
        <f t="shared" si="32"/>
        <v>WSW</v>
      </c>
      <c r="J75" s="15" t="str">
        <f t="shared" si="33"/>
        <v>SE</v>
      </c>
      <c r="K75" s="15" t="str">
        <f t="shared" si="34"/>
        <v>NE</v>
      </c>
      <c r="L75" s="15" t="str">
        <f t="shared" si="35"/>
        <v>NNW</v>
      </c>
      <c r="M75" s="15" t="str">
        <f t="shared" si="36"/>
        <v>WNW</v>
      </c>
      <c r="N75" s="15" t="str">
        <f t="shared" si="37"/>
        <v>WNW</v>
      </c>
      <c r="O75" s="15" t="str">
        <f t="shared" si="38"/>
        <v>WSW</v>
      </c>
    </row>
    <row r="76" spans="1:15">
      <c r="A76" s="2" t="s">
        <v>80</v>
      </c>
      <c r="B76" s="2" t="s">
        <v>85</v>
      </c>
      <c r="C76" s="15" t="str">
        <f t="shared" si="26"/>
        <v>WNW</v>
      </c>
      <c r="D76" s="15" t="str">
        <f t="shared" si="27"/>
        <v>W</v>
      </c>
      <c r="E76" s="15" t="str">
        <f t="shared" si="28"/>
        <v>W</v>
      </c>
      <c r="F76" s="15" t="str">
        <f t="shared" si="29"/>
        <v>SSE</v>
      </c>
      <c r="G76" s="15" t="str">
        <f t="shared" si="30"/>
        <v>SSE</v>
      </c>
      <c r="H76" s="15" t="str">
        <f t="shared" si="31"/>
        <v>SSE</v>
      </c>
      <c r="I76" s="15" t="str">
        <f t="shared" si="32"/>
        <v>SSW</v>
      </c>
      <c r="J76" s="15" t="str">
        <f t="shared" si="33"/>
        <v>SSE</v>
      </c>
      <c r="K76" s="15" t="str">
        <f t="shared" si="34"/>
        <v>NE</v>
      </c>
      <c r="L76" s="15" t="str">
        <f t="shared" si="35"/>
        <v>NNE</v>
      </c>
      <c r="M76" s="15" t="str">
        <f t="shared" si="36"/>
        <v>NNE</v>
      </c>
      <c r="N76" s="15" t="str">
        <f t="shared" si="37"/>
        <v>NNE</v>
      </c>
      <c r="O76" s="15" t="str">
        <f t="shared" si="38"/>
        <v>SW</v>
      </c>
    </row>
    <row r="77" spans="1:15">
      <c r="A77" s="2" t="s">
        <v>80</v>
      </c>
      <c r="B77" s="4" t="s">
        <v>86</v>
      </c>
      <c r="C77" s="15" t="str">
        <f t="shared" si="26"/>
        <v>ENE</v>
      </c>
      <c r="D77" s="15" t="str">
        <f t="shared" si="27"/>
        <v>ENE</v>
      </c>
      <c r="E77" s="15" t="str">
        <f t="shared" si="28"/>
        <v>NW</v>
      </c>
      <c r="F77" s="15" t="str">
        <f t="shared" si="29"/>
        <v>NW</v>
      </c>
      <c r="G77" s="15" t="str">
        <f t="shared" si="30"/>
        <v>WNW</v>
      </c>
      <c r="H77" s="15" t="str">
        <f t="shared" si="31"/>
        <v>WNW</v>
      </c>
      <c r="I77" s="15" t="str">
        <f t="shared" si="32"/>
        <v>S</v>
      </c>
      <c r="J77" s="15" t="str">
        <f t="shared" si="33"/>
        <v>S</v>
      </c>
      <c r="K77" s="15" t="str">
        <f t="shared" si="34"/>
        <v>E</v>
      </c>
      <c r="L77" s="15" t="str">
        <f t="shared" si="35"/>
        <v>E</v>
      </c>
      <c r="M77" s="15" t="str">
        <f t="shared" si="36"/>
        <v>ENE</v>
      </c>
      <c r="N77" s="15" t="str">
        <f t="shared" si="37"/>
        <v>ENE</v>
      </c>
      <c r="O77" s="15" t="str">
        <f t="shared" si="38"/>
        <v>ENE</v>
      </c>
    </row>
    <row r="78" spans="1:15">
      <c r="A78" s="2" t="s">
        <v>80</v>
      </c>
      <c r="B78" s="2" t="s">
        <v>87</v>
      </c>
      <c r="C78" s="15" t="str">
        <f t="shared" si="26"/>
        <v>WNW</v>
      </c>
      <c r="D78" s="15" t="str">
        <f t="shared" si="27"/>
        <v>WNW</v>
      </c>
      <c r="E78" s="15" t="str">
        <f t="shared" si="28"/>
        <v>WNW</v>
      </c>
      <c r="F78" s="15" t="str">
        <f t="shared" si="29"/>
        <v>WNW</v>
      </c>
      <c r="G78" s="15" t="str">
        <f t="shared" si="30"/>
        <v>WNW</v>
      </c>
      <c r="H78" s="15" t="str">
        <f t="shared" si="31"/>
        <v>WNW</v>
      </c>
      <c r="I78" s="15" t="str">
        <f t="shared" si="32"/>
        <v>WSW</v>
      </c>
      <c r="J78" s="15" t="str">
        <f t="shared" si="33"/>
        <v>ENE</v>
      </c>
      <c r="K78" s="15" t="str">
        <f t="shared" si="34"/>
        <v>ENE</v>
      </c>
      <c r="L78" s="15" t="str">
        <f t="shared" si="35"/>
        <v>ENE</v>
      </c>
      <c r="M78" s="15" t="str">
        <f t="shared" si="36"/>
        <v>WNW</v>
      </c>
      <c r="N78" s="15" t="str">
        <f t="shared" si="37"/>
        <v>WNW</v>
      </c>
      <c r="O78" s="15" t="str">
        <f t="shared" si="38"/>
        <v>WNW</v>
      </c>
    </row>
    <row r="79" spans="1:15">
      <c r="A79" s="2" t="s">
        <v>80</v>
      </c>
      <c r="B79" s="2" t="s">
        <v>88</v>
      </c>
      <c r="C79" s="15" t="str">
        <f t="shared" si="26"/>
        <v>W</v>
      </c>
      <c r="D79" s="15" t="str">
        <f t="shared" si="27"/>
        <v>W</v>
      </c>
      <c r="E79" s="15" t="str">
        <f t="shared" si="28"/>
        <v>WNW</v>
      </c>
      <c r="F79" s="15" t="str">
        <f t="shared" si="29"/>
        <v>WNW</v>
      </c>
      <c r="G79" s="15" t="str">
        <f t="shared" si="30"/>
        <v>S</v>
      </c>
      <c r="H79" s="15" t="str">
        <f t="shared" si="31"/>
        <v>S</v>
      </c>
      <c r="I79" s="15" t="str">
        <f t="shared" si="32"/>
        <v>S</v>
      </c>
      <c r="J79" s="15" t="str">
        <f t="shared" si="33"/>
        <v>S</v>
      </c>
      <c r="K79" s="15" t="str">
        <f t="shared" si="34"/>
        <v>S</v>
      </c>
      <c r="L79" s="15" t="str">
        <f t="shared" si="35"/>
        <v>S</v>
      </c>
      <c r="M79" s="15" t="str">
        <f t="shared" si="36"/>
        <v>SW</v>
      </c>
      <c r="N79" s="15" t="str">
        <f t="shared" si="37"/>
        <v>SW</v>
      </c>
      <c r="O79" s="15" t="str">
        <f t="shared" si="38"/>
        <v>W</v>
      </c>
    </row>
    <row r="80" spans="1:15">
      <c r="A80" s="2" t="s">
        <v>80</v>
      </c>
      <c r="B80" s="2" t="s">
        <v>89</v>
      </c>
      <c r="C80" s="15" t="str">
        <f t="shared" si="26"/>
        <v>WNW</v>
      </c>
      <c r="D80" s="15" t="str">
        <f t="shared" si="27"/>
        <v>NNW</v>
      </c>
      <c r="E80" s="15" t="str">
        <f t="shared" si="28"/>
        <v>SSW</v>
      </c>
      <c r="F80" s="15" t="str">
        <f t="shared" si="29"/>
        <v>WSW</v>
      </c>
      <c r="G80" s="15" t="str">
        <f t="shared" si="30"/>
        <v>E</v>
      </c>
      <c r="H80" s="15" t="str">
        <f t="shared" si="31"/>
        <v>WSW</v>
      </c>
      <c r="I80" s="15" t="str">
        <f t="shared" si="32"/>
        <v>SSW</v>
      </c>
      <c r="J80" s="15" t="str">
        <f t="shared" si="33"/>
        <v>WSW</v>
      </c>
      <c r="K80" s="15" t="str">
        <f t="shared" si="34"/>
        <v>NNE</v>
      </c>
      <c r="L80" s="15" t="str">
        <f t="shared" si="35"/>
        <v>NNE</v>
      </c>
      <c r="M80" s="15" t="str">
        <f t="shared" si="36"/>
        <v>ENE</v>
      </c>
      <c r="N80" s="15" t="str">
        <f t="shared" si="37"/>
        <v>NNE</v>
      </c>
      <c r="O80" s="15" t="str">
        <f t="shared" si="38"/>
        <v>ENE</v>
      </c>
    </row>
    <row r="81" spans="1:29" ht="22.8">
      <c r="A81" s="2" t="s">
        <v>90</v>
      </c>
      <c r="B81" s="2" t="s">
        <v>91</v>
      </c>
      <c r="C81" s="15" t="str">
        <f t="shared" si="26"/>
        <v>E</v>
      </c>
      <c r="D81" s="15" t="str">
        <f t="shared" si="27"/>
        <v>E</v>
      </c>
      <c r="E81" s="15" t="str">
        <f t="shared" si="28"/>
        <v>E</v>
      </c>
      <c r="F81" s="15" t="str">
        <f t="shared" si="29"/>
        <v>E</v>
      </c>
      <c r="G81" s="15" t="str">
        <f t="shared" si="30"/>
        <v>E</v>
      </c>
      <c r="H81" s="15" t="str">
        <f t="shared" si="31"/>
        <v>E</v>
      </c>
      <c r="I81" s="15" t="str">
        <f t="shared" si="32"/>
        <v>ENE</v>
      </c>
      <c r="J81" s="15" t="str">
        <f t="shared" si="33"/>
        <v>ENE</v>
      </c>
      <c r="K81" s="15" t="str">
        <f t="shared" si="34"/>
        <v>E</v>
      </c>
      <c r="L81" s="15" t="str">
        <f t="shared" si="35"/>
        <v>E</v>
      </c>
      <c r="M81" s="15" t="str">
        <f t="shared" si="36"/>
        <v>E</v>
      </c>
      <c r="N81" s="15" t="str">
        <f t="shared" si="37"/>
        <v>E</v>
      </c>
      <c r="O81" s="15" t="str">
        <f t="shared" si="38"/>
        <v>E</v>
      </c>
    </row>
    <row r="82" spans="1:29">
      <c r="A82" s="2" t="s">
        <v>90</v>
      </c>
      <c r="B82" s="2" t="s">
        <v>92</v>
      </c>
      <c r="C82" s="15" t="str">
        <f t="shared" si="26"/>
        <v>SW</v>
      </c>
      <c r="D82" s="15" t="str">
        <f t="shared" si="27"/>
        <v>SW</v>
      </c>
      <c r="E82" s="15" t="str">
        <f t="shared" si="28"/>
        <v>SW</v>
      </c>
      <c r="F82" s="15" t="str">
        <f t="shared" si="29"/>
        <v>SW</v>
      </c>
      <c r="G82" s="15" t="str">
        <f t="shared" si="30"/>
        <v>SW</v>
      </c>
      <c r="H82" s="15" t="str">
        <f t="shared" si="31"/>
        <v>SW</v>
      </c>
      <c r="I82" s="15" t="str">
        <f t="shared" si="32"/>
        <v>WSW</v>
      </c>
      <c r="J82" s="15" t="str">
        <f t="shared" si="33"/>
        <v>SW</v>
      </c>
      <c r="K82" s="15" t="str">
        <f t="shared" si="34"/>
        <v>SW</v>
      </c>
      <c r="L82" s="15" t="str">
        <f t="shared" si="35"/>
        <v>SW</v>
      </c>
      <c r="M82" s="15" t="str">
        <f t="shared" si="36"/>
        <v>SW</v>
      </c>
      <c r="N82" s="15" t="str">
        <f t="shared" si="37"/>
        <v>SW</v>
      </c>
      <c r="O82" s="15" t="str">
        <f t="shared" si="38"/>
        <v>SW</v>
      </c>
    </row>
    <row r="83" spans="1:29">
      <c r="A83" s="2" t="s">
        <v>90</v>
      </c>
      <c r="B83" s="2" t="s">
        <v>93</v>
      </c>
      <c r="C83" s="15" t="str">
        <f t="shared" si="26"/>
        <v>ENE</v>
      </c>
      <c r="D83" s="15" t="str">
        <f t="shared" si="27"/>
        <v>ENE</v>
      </c>
      <c r="E83" s="15" t="str">
        <f t="shared" si="28"/>
        <v>ENE</v>
      </c>
      <c r="F83" s="15" t="str">
        <f t="shared" si="29"/>
        <v>ENE</v>
      </c>
      <c r="G83" s="15" t="str">
        <f t="shared" si="30"/>
        <v>ENE</v>
      </c>
      <c r="H83" s="15" t="str">
        <f t="shared" si="31"/>
        <v>ENE</v>
      </c>
      <c r="I83" s="15" t="str">
        <f t="shared" si="32"/>
        <v>ENE</v>
      </c>
      <c r="J83" s="15" t="str">
        <f t="shared" si="33"/>
        <v>ENE</v>
      </c>
      <c r="K83" s="15" t="str">
        <f t="shared" si="34"/>
        <v>ENE</v>
      </c>
      <c r="L83" s="15" t="str">
        <f t="shared" si="35"/>
        <v>ENE</v>
      </c>
      <c r="M83" s="15" t="str">
        <f t="shared" si="36"/>
        <v>ENE</v>
      </c>
      <c r="N83" s="15" t="str">
        <f t="shared" si="37"/>
        <v>ENE</v>
      </c>
      <c r="O83" s="15" t="str">
        <f t="shared" si="38"/>
        <v>ENE</v>
      </c>
      <c r="Q83" t="str">
        <f>IF(OR(C2="ESE",C2="SSE"),"SE",IF(OR(C2="WSW",C2="SSW"),"SW",IF(OR(C2="WNW",C2="NNW"),"NW",IF(OR(C2="ENE",C2="NNE"),"NE",IF(OR(C2="N",C2="NE",C2="E",C2="SE",C2="S",C2="SW",C2="W",C2="NW"),C2)))))</f>
        <v>SE</v>
      </c>
      <c r="R83" t="str">
        <f t="shared" ref="R83:AA83" si="39">IF(OR(D2="ESE",D2="SSE"),"SE",IF(OR(D2="WSW",D2="SSW"),"SW",IF(OR(D2="WNW",D2="NNW"),"NW",IF(OR(D2="ENE",D2="NNE"),"NE",IF(OR(D2="N",D2="NE",D2="E",D2="SE",D2="S",D2="SW",D2="W",D2="NW"),D2)))))</f>
        <v>SE</v>
      </c>
      <c r="S83" t="str">
        <f t="shared" si="39"/>
        <v>SE</v>
      </c>
      <c r="T83" t="str">
        <f t="shared" si="39"/>
        <v>N</v>
      </c>
      <c r="U83" t="str">
        <f t="shared" si="39"/>
        <v>N</v>
      </c>
      <c r="V83" t="str">
        <f t="shared" si="39"/>
        <v>N</v>
      </c>
      <c r="W83" t="str">
        <f t="shared" si="39"/>
        <v>SE</v>
      </c>
      <c r="X83" t="str">
        <f t="shared" si="39"/>
        <v>SE</v>
      </c>
      <c r="Y83" t="str">
        <f t="shared" si="39"/>
        <v>SE</v>
      </c>
      <c r="Z83" t="str">
        <f t="shared" si="39"/>
        <v>S</v>
      </c>
      <c r="AA83" t="str">
        <f t="shared" si="39"/>
        <v>S</v>
      </c>
      <c r="AB83" t="str">
        <f>IF(OR(N2="ESE",N2="SSE"),"SE",IF(OR(N2="WSW",N2="SSW"),"SW",IF(OR(N2="WNW",N2="NNW"),"NW",IF(OR(N2="ENE",N2="NNE"),"NE",IF(OR(N2="N",N2="NE",N2="E",N2="SE",N2="S",N2="SW",N2="W",N2="NW"),N2)))))</f>
        <v>S</v>
      </c>
      <c r="AC83" t="str">
        <f t="shared" ref="AC83" si="40">IF(OR(O2="ESE",O2="SSE"),"SE",IF(OR(O2="WSW",O2="SSW"),"SW",IF(OR(O2="WNW",O2="NNW"),"NW",IF(OR(O2="ENE",O2="NNE"),"NE",IF(OR(O2="N",O2="NE",O2="E",O2="SE",O2="S",O2="SW",O2="W",O2="NW"),O2)))))</f>
        <v>SE</v>
      </c>
    </row>
    <row r="84" spans="1:29">
      <c r="A84" s="2" t="s">
        <v>90</v>
      </c>
      <c r="B84" s="2" t="s">
        <v>94</v>
      </c>
      <c r="C84" s="15" t="str">
        <f t="shared" si="26"/>
        <v>NE</v>
      </c>
      <c r="D84" s="15" t="str">
        <f t="shared" si="27"/>
        <v>NE</v>
      </c>
      <c r="E84" s="15" t="str">
        <f t="shared" si="28"/>
        <v>NE</v>
      </c>
      <c r="F84" s="15" t="str">
        <f t="shared" si="29"/>
        <v>NE</v>
      </c>
      <c r="G84" s="15" t="str">
        <f t="shared" si="30"/>
        <v>NE</v>
      </c>
      <c r="H84" s="15" t="str">
        <f t="shared" si="31"/>
        <v>NE</v>
      </c>
      <c r="I84" s="15" t="str">
        <f t="shared" si="32"/>
        <v>NE</v>
      </c>
      <c r="J84" s="15" t="str">
        <f t="shared" si="33"/>
        <v>NE</v>
      </c>
      <c r="K84" s="15" t="str">
        <f t="shared" si="34"/>
        <v>NE</v>
      </c>
      <c r="L84" s="15" t="str">
        <f t="shared" si="35"/>
        <v>NE</v>
      </c>
      <c r="M84" s="15" t="str">
        <f t="shared" si="36"/>
        <v>NE</v>
      </c>
      <c r="N84" s="15" t="str">
        <f t="shared" si="37"/>
        <v>NE</v>
      </c>
      <c r="O84" s="15" t="str">
        <f t="shared" si="38"/>
        <v>NE</v>
      </c>
      <c r="Q84" t="str">
        <f t="shared" ref="Q84:Q86" si="41">IF(OR(C3="ESE",C3="SSE"),"SE",IF(OR(C3="WSW",C3="SSW"),"SW",IF(OR(C3="WNW",C3="NNW"),"NW",IF(OR(C3="ENE",C3="NNE"),"NE",IF(OR(C3="N",C3="NE",C3="E",C3="SE",C3="S",C3="SW",C3="W",C3="NW"),C3)))))</f>
        <v>N</v>
      </c>
      <c r="R84" t="str">
        <f t="shared" ref="R84:R86" si="42">IF(OR(D3="ESE",D3="SSE"),"SE",IF(OR(D3="WSW",D3="SSW"),"SW",IF(OR(D3="WNW",D3="NNW"),"NW",IF(OR(D3="ENE",D3="NNE"),"NE",IF(OR(D3="N",D3="NE",D3="E",D3="SE",D3="S",D3="SW",D3="W",D3="NW"),D3)))))</f>
        <v>N</v>
      </c>
      <c r="S84" t="str">
        <f t="shared" ref="S84:S86" si="43">IF(OR(E3="ESE",E3="SSE"),"SE",IF(OR(E3="WSW",E3="SSW"),"SW",IF(OR(E3="WNW",E3="NNW"),"NW",IF(OR(E3="ENE",E3="NNE"),"NE",IF(OR(E3="N",E3="NE",E3="E",E3="SE",E3="S",E3="SW",E3="W",E3="NW"),E3)))))</f>
        <v>N</v>
      </c>
      <c r="T84" t="str">
        <f t="shared" ref="T84:T86" si="44">IF(OR(F3="ESE",F3="SSE"),"SE",IF(OR(F3="WSW",F3="SSW"),"SW",IF(OR(F3="WNW",F3="NNW"),"NW",IF(OR(F3="ENE",F3="NNE"),"NE",IF(OR(F3="N",F3="NE",F3="E",F3="SE",F3="S",F3="SW",F3="W",F3="NW"),F3)))))</f>
        <v>N</v>
      </c>
      <c r="U84" t="str">
        <f t="shared" ref="U84:U86" si="45">IF(OR(G3="ESE",G3="SSE"),"SE",IF(OR(G3="WSW",G3="SSW"),"SW",IF(OR(G3="WNW",G3="NNW"),"NW",IF(OR(G3="ENE",G3="NNE"),"NE",IF(OR(G3="N",G3="NE",G3="E",G3="SE",G3="S",G3="SW",G3="W",G3="NW"),G3)))))</f>
        <v>SE</v>
      </c>
      <c r="V84" t="str">
        <f t="shared" ref="V84:V86" si="46">IF(OR(H3="ESE",H3="SSE"),"SE",IF(OR(H3="WSW",H3="SSW"),"SW",IF(OR(H3="WNW",H3="NNW"),"NW",IF(OR(H3="ENE",H3="NNE"),"NE",IF(OR(H3="N",H3="NE",H3="E",H3="SE",H3="S",H3="SW",H3="W",H3="NW"),H3)))))</f>
        <v>SE</v>
      </c>
      <c r="W84" t="str">
        <f t="shared" ref="W84:W86" si="47">IF(OR(I3="ESE",I3="SSE"),"SE",IF(OR(I3="WSW",I3="SSW"),"SW",IF(OR(I3="WNW",I3="NNW"),"NW",IF(OR(I3="ENE",I3="NNE"),"NE",IF(OR(I3="N",I3="NE",I3="E",I3="SE",I3="S",I3="SW",I3="W",I3="NW"),I3)))))</f>
        <v>SE</v>
      </c>
      <c r="X84" t="str">
        <f t="shared" ref="X84:X86" si="48">IF(OR(J3="ESE",J3="SSE"),"SE",IF(OR(J3="WSW",J3="SSW"),"SW",IF(OR(J3="WNW",J3="NNW"),"NW",IF(OR(J3="ENE",J3="NNE"),"NE",IF(OR(J3="N",J3="NE",J3="E",J3="SE",J3="S",J3="SW",J3="W",J3="NW"),J3)))))</f>
        <v>SE</v>
      </c>
      <c r="Y84" t="str">
        <f t="shared" ref="Y84:Y86" si="49">IF(OR(K3="ESE",K3="SSE"),"SE",IF(OR(K3="WSW",K3="SSW"),"SW",IF(OR(K3="WNW",K3="NNW"),"NW",IF(OR(K3="ENE",K3="NNE"),"NE",IF(OR(K3="N",K3="NE",K3="E",K3="SE",K3="S",K3="SW",K3="W",K3="NW"),K3)))))</f>
        <v>S</v>
      </c>
      <c r="Z84" t="str">
        <f t="shared" ref="Z84:Z86" si="50">IF(OR(L3="ESE",L3="SSE"),"SE",IF(OR(L3="WSW",L3="SSW"),"SW",IF(OR(L3="WNW",L3="NNW"),"NW",IF(OR(L3="ENE",L3="NNE"),"NE",IF(OR(L3="N",L3="NE",L3="E",L3="SE",L3="S",L3="SW",L3="W",L3="NW"),L3)))))</f>
        <v>S</v>
      </c>
      <c r="AA84" t="str">
        <f t="shared" ref="AA84:AB86" si="51">IF(OR(M3="ESE",M3="SSE"),"SE",IF(OR(M3="WSW",M3="SSW"),"SW",IF(OR(M3="WNW",M3="NNW"),"NW",IF(OR(M3="ENE",M3="NNE"),"NE",IF(OR(M3="N",M3="NE",M3="E",M3="SE",M3="S",M3="SW",M3="W",M3="NW"),M3)))))</f>
        <v>S</v>
      </c>
      <c r="AB84" t="str">
        <f t="shared" si="51"/>
        <v>S</v>
      </c>
      <c r="AC84" t="str">
        <f t="shared" ref="AC84:AC86" si="52">IF(OR(O3="ESE",O3="SSE"),"SE",IF(OR(O3="WSW",O3="SSW"),"SW",IF(OR(O3="WNW",O3="NNW"),"NW",IF(OR(O3="ENE",O3="NNE"),"NE",IF(OR(O3="N",O3="NE",O3="E",O3="SE",O3="S",O3="SW",O3="W",O3="NW"),O3)))))</f>
        <v>S</v>
      </c>
    </row>
    <row r="85" spans="1:29">
      <c r="A85" s="2" t="s">
        <v>90</v>
      </c>
      <c r="B85" s="2" t="s">
        <v>95</v>
      </c>
      <c r="C85" s="15" t="str">
        <f t="shared" si="26"/>
        <v>ENE</v>
      </c>
      <c r="D85" s="15" t="str">
        <f t="shared" si="27"/>
        <v>ENE</v>
      </c>
      <c r="E85" s="15" t="str">
        <f t="shared" si="28"/>
        <v>ENE</v>
      </c>
      <c r="F85" s="15" t="str">
        <f t="shared" si="29"/>
        <v>ENE</v>
      </c>
      <c r="G85" s="15" t="str">
        <f t="shared" si="30"/>
        <v>ENE</v>
      </c>
      <c r="H85" s="15" t="str">
        <f t="shared" si="31"/>
        <v>ENE</v>
      </c>
      <c r="I85" s="15" t="str">
        <f t="shared" si="32"/>
        <v>ENE</v>
      </c>
      <c r="J85" s="15" t="str">
        <f t="shared" si="33"/>
        <v>ENE</v>
      </c>
      <c r="K85" s="15" t="str">
        <f t="shared" si="34"/>
        <v>ENE</v>
      </c>
      <c r="L85" s="15" t="str">
        <f t="shared" si="35"/>
        <v>ENE</v>
      </c>
      <c r="M85" s="15" t="str">
        <f t="shared" si="36"/>
        <v>ENE</v>
      </c>
      <c r="N85" s="15" t="str">
        <f t="shared" si="37"/>
        <v>ENE</v>
      </c>
      <c r="O85" s="15" t="str">
        <f t="shared" si="38"/>
        <v>ENE</v>
      </c>
      <c r="Q85" t="str">
        <f t="shared" si="41"/>
        <v>NW</v>
      </c>
      <c r="R85" t="str">
        <f t="shared" si="42"/>
        <v>NW</v>
      </c>
      <c r="S85" t="str">
        <f t="shared" si="43"/>
        <v>NW</v>
      </c>
      <c r="T85" t="str">
        <f t="shared" si="44"/>
        <v>NW</v>
      </c>
      <c r="U85" t="str">
        <f t="shared" si="45"/>
        <v>NW</v>
      </c>
      <c r="V85" t="str">
        <f t="shared" si="46"/>
        <v>NW</v>
      </c>
      <c r="W85" t="str">
        <f t="shared" si="47"/>
        <v>S</v>
      </c>
      <c r="X85" t="str">
        <f t="shared" si="48"/>
        <v>S</v>
      </c>
      <c r="Y85" t="str">
        <f t="shared" si="49"/>
        <v>S</v>
      </c>
      <c r="Z85" t="str">
        <f t="shared" si="50"/>
        <v>S</v>
      </c>
      <c r="AA85" t="str">
        <f t="shared" si="51"/>
        <v>S</v>
      </c>
      <c r="AB85" t="str">
        <f t="shared" ref="AB85:AB87" si="53">IF(OR(N4="ESE",N4="SSE"),"SE",IF(OR(N4="WSW",N4="SSW"),"SW",IF(OR(N4="WNW",N4="NNW"),"NW",IF(OR(N4="ENE",N4="NNE"),"NE",IF(OR(N4="N",N4="NE",N4="E",N4="SE",N4="S",N4="SW",N4="W",N4="NW"),N4)))))</f>
        <v>S</v>
      </c>
      <c r="AC85" t="str">
        <f t="shared" si="52"/>
        <v>NW</v>
      </c>
    </row>
    <row r="86" spans="1:29" ht="22.8">
      <c r="A86" s="2" t="s">
        <v>90</v>
      </c>
      <c r="B86" s="2" t="s">
        <v>96</v>
      </c>
      <c r="C86" s="15" t="str">
        <f t="shared" si="26"/>
        <v>ENE</v>
      </c>
      <c r="D86" s="15" t="str">
        <f t="shared" si="27"/>
        <v>ENE</v>
      </c>
      <c r="E86" s="15" t="str">
        <f t="shared" si="28"/>
        <v>ENE</v>
      </c>
      <c r="F86" s="15" t="str">
        <f t="shared" si="29"/>
        <v>ENE</v>
      </c>
      <c r="G86" s="15" t="str">
        <f t="shared" si="30"/>
        <v>ENE</v>
      </c>
      <c r="H86" s="15" t="str">
        <f t="shared" si="31"/>
        <v>ENE</v>
      </c>
      <c r="I86" s="15" t="str">
        <f t="shared" si="32"/>
        <v>ENE</v>
      </c>
      <c r="J86" s="15" t="str">
        <f t="shared" si="33"/>
        <v>ENE</v>
      </c>
      <c r="K86" s="15" t="str">
        <f t="shared" si="34"/>
        <v>ENE</v>
      </c>
      <c r="L86" s="15" t="str">
        <f t="shared" si="35"/>
        <v>ENE</v>
      </c>
      <c r="M86" s="15" t="str">
        <f t="shared" si="36"/>
        <v>ENE</v>
      </c>
      <c r="N86" s="15" t="str">
        <f t="shared" si="37"/>
        <v>ENE</v>
      </c>
      <c r="O86" s="15" t="str">
        <f t="shared" si="38"/>
        <v>ENE</v>
      </c>
      <c r="Q86" t="str">
        <f t="shared" si="41"/>
        <v>NW</v>
      </c>
      <c r="R86" t="str">
        <f t="shared" si="42"/>
        <v>N</v>
      </c>
      <c r="S86" t="str">
        <f t="shared" si="43"/>
        <v>S</v>
      </c>
      <c r="T86" t="str">
        <f t="shared" si="44"/>
        <v>S</v>
      </c>
      <c r="U86" t="str">
        <f t="shared" si="45"/>
        <v>S</v>
      </c>
      <c r="V86" t="str">
        <f t="shared" si="46"/>
        <v>W</v>
      </c>
      <c r="W86" t="str">
        <f t="shared" si="47"/>
        <v>W</v>
      </c>
      <c r="X86" t="str">
        <f t="shared" si="48"/>
        <v>E</v>
      </c>
      <c r="Y86" t="str">
        <f t="shared" si="49"/>
        <v>NE</v>
      </c>
      <c r="Z86" t="str">
        <f t="shared" si="50"/>
        <v>E</v>
      </c>
      <c r="AA86" t="str">
        <f t="shared" si="51"/>
        <v>NW</v>
      </c>
      <c r="AB86" t="str">
        <f t="shared" si="53"/>
        <v>NW</v>
      </c>
      <c r="AC86" t="str">
        <f t="shared" si="52"/>
        <v>E</v>
      </c>
    </row>
    <row r="87" spans="1:29">
      <c r="A87" s="2" t="s">
        <v>90</v>
      </c>
      <c r="B87" s="2" t="s">
        <v>97</v>
      </c>
      <c r="C87" s="15" t="str">
        <f t="shared" si="26"/>
        <v>NW</v>
      </c>
      <c r="D87" s="15" t="str">
        <f t="shared" si="27"/>
        <v>NE</v>
      </c>
      <c r="E87" s="15" t="str">
        <f t="shared" si="28"/>
        <v>NE</v>
      </c>
      <c r="F87" s="15" t="str">
        <f t="shared" si="29"/>
        <v>NE</v>
      </c>
      <c r="G87" s="15" t="str">
        <f t="shared" si="30"/>
        <v>NE</v>
      </c>
      <c r="H87" s="15" t="str">
        <f t="shared" si="31"/>
        <v>NE</v>
      </c>
      <c r="I87" s="15" t="str">
        <f t="shared" si="32"/>
        <v>NE</v>
      </c>
      <c r="J87" s="15" t="str">
        <f t="shared" si="33"/>
        <v>NE</v>
      </c>
      <c r="K87" s="15" t="str">
        <f t="shared" si="34"/>
        <v>NE</v>
      </c>
      <c r="L87" s="15" t="str">
        <f t="shared" si="35"/>
        <v>NE</v>
      </c>
      <c r="M87" s="15" t="str">
        <f t="shared" si="36"/>
        <v>NE</v>
      </c>
      <c r="N87" s="15" t="str">
        <f t="shared" si="37"/>
        <v>NE</v>
      </c>
      <c r="O87" s="15" t="str">
        <f t="shared" si="38"/>
        <v>NE</v>
      </c>
      <c r="Q87" t="str">
        <f t="shared" ref="Q87:Q150" si="54">IF(OR(C6="ESE",C6="SSE"),"SE",IF(OR(C6="WSW",C6="SSW"),"SW",IF(OR(C6="WNW",C6="NNW"),"NW",IF(OR(C6="ENE",C6="NNE"),"NE",IF(OR(C6="N",C6="NE",C6="E",C6="SE",C6="S",C6="SW",C6="W",C6="NW"),C6)))))</f>
        <v>N</v>
      </c>
      <c r="R87" t="str">
        <f t="shared" ref="R87:R150" si="55">IF(OR(D6="ESE",D6="SSE"),"SE",IF(OR(D6="WSW",D6="SSW"),"SW",IF(OR(D6="WNW",D6="NNW"),"NW",IF(OR(D6="ENE",D6="NNE"),"NE",IF(OR(D6="N",D6="NE",D6="E",D6="SE",D6="S",D6="SW",D6="W",D6="NW"),D6)))))</f>
        <v>N</v>
      </c>
      <c r="S87" t="str">
        <f t="shared" ref="S87:S150" si="56">IF(OR(E6="ESE",E6="SSE"),"SE",IF(OR(E6="WSW",E6="SSW"),"SW",IF(OR(E6="WNW",E6="NNW"),"NW",IF(OR(E6="ENE",E6="NNE"),"NE",IF(OR(E6="N",E6="NE",E6="E",E6="SE",E6="S",E6="SW",E6="W",E6="NW"),E6)))))</f>
        <v>N</v>
      </c>
      <c r="T87" t="str">
        <f t="shared" ref="T87:T150" si="57">IF(OR(F6="ESE",F6="SSE"),"SE",IF(OR(F6="WSW",F6="SSW"),"SW",IF(OR(F6="WNW",F6="NNW"),"NW",IF(OR(F6="ENE",F6="NNE"),"NE",IF(OR(F6="N",F6="NE",F6="E",F6="SE",F6="S",F6="SW",F6="W",F6="NW"),F6)))))</f>
        <v>S</v>
      </c>
      <c r="U87" t="str">
        <f t="shared" ref="U87:U150" si="58">IF(OR(G6="ESE",G6="SSE"),"SE",IF(OR(G6="WSW",G6="SSW"),"SW",IF(OR(G6="WNW",G6="NNW"),"NW",IF(OR(G6="ENE",G6="NNE"),"NE",IF(OR(G6="N",G6="NE",G6="E",G6="SE",G6="S",G6="SW",G6="W",G6="NW"),G6)))))</f>
        <v>SE</v>
      </c>
      <c r="V87" t="str">
        <f t="shared" ref="V87:V150" si="59">IF(OR(H6="ESE",H6="SSE"),"SE",IF(OR(H6="WSW",H6="SSW"),"SW",IF(OR(H6="WNW",H6="NNW"),"NW",IF(OR(H6="ENE",H6="NNE"),"NE",IF(OR(H6="N",H6="NE",H6="E",H6="SE",H6="S",H6="SW",H6="W",H6="NW"),H6)))))</f>
        <v>SE</v>
      </c>
      <c r="W87" t="str">
        <f t="shared" ref="W87:W150" si="60">IF(OR(I6="ESE",I6="SSE"),"SE",IF(OR(I6="WSW",I6="SSW"),"SW",IF(OR(I6="WNW",I6="NNW"),"NW",IF(OR(I6="ENE",I6="NNE"),"NE",IF(OR(I6="N",I6="NE",I6="E",I6="SE",I6="S",I6="SW",I6="W",I6="NW"),I6)))))</f>
        <v>SE</v>
      </c>
      <c r="X87" t="str">
        <f t="shared" ref="X87:X150" si="61">IF(OR(J6="ESE",J6="SSE"),"SE",IF(OR(J6="WSW",J6="SSW"),"SW",IF(OR(J6="WNW",J6="NNW"),"NW",IF(OR(J6="ENE",J6="NNE"),"NE",IF(OR(J6="N",J6="NE",J6="E",J6="SE",J6="S",J6="SW",J6="W",J6="NW"),J6)))))</f>
        <v>SE</v>
      </c>
      <c r="Y87" t="str">
        <f t="shared" ref="Y87:Y150" si="62">IF(OR(K6="ESE",K6="SSE"),"SE",IF(OR(K6="WSW",K6="SSW"),"SW",IF(OR(K6="WNW",K6="NNW"),"NW",IF(OR(K6="ENE",K6="NNE"),"NE",IF(OR(K6="N",K6="NE",K6="E",K6="SE",K6="S",K6="SW",K6="W",K6="NW"),K6)))))</f>
        <v>SE</v>
      </c>
      <c r="Z87" t="str">
        <f t="shared" ref="Z87:Z150" si="63">IF(OR(L6="ESE",L6="SSE"),"SE",IF(OR(L6="WSW",L6="SSW"),"SW",IF(OR(L6="WNW",L6="NNW"),"NW",IF(OR(L6="ENE",L6="NNE"),"NE",IF(OR(L6="N",L6="NE",L6="E",L6="SE",L6="S",L6="SW",L6="W",L6="NW"),L6)))))</f>
        <v>N</v>
      </c>
      <c r="AA87" t="str">
        <f t="shared" ref="AA87:AA150" si="64">IF(OR(M6="ESE",M6="SSE"),"SE",IF(OR(M6="WSW",M6="SSW"),"SW",IF(OR(M6="WNW",M6="NNW"),"NW",IF(OR(M6="ENE",M6="NNE"),"NE",IF(OR(M6="N",M6="NE",M6="E",M6="SE",M6="S",M6="SW",M6="W",M6="NW"),M6)))))</f>
        <v>N</v>
      </c>
      <c r="AB87" t="str">
        <f t="shared" si="53"/>
        <v>N</v>
      </c>
      <c r="AC87" t="str">
        <f t="shared" ref="AC87:AC150" si="65">IF(OR(O6="ESE",O6="SSE"),"SE",IF(OR(O6="WSW",O6="SSW"),"SW",IF(OR(O6="WNW",O6="NNW"),"NW",IF(OR(O6="ENE",O6="NNE"),"NE",IF(OR(O6="N",O6="NE",O6="E",O6="SE",O6="S",O6="SW",O6="W",O6="NW"),O6)))))</f>
        <v>N</v>
      </c>
    </row>
    <row r="88" spans="1:29">
      <c r="A88" s="2" t="s">
        <v>98</v>
      </c>
      <c r="B88" s="2" t="s">
        <v>99</v>
      </c>
      <c r="C88" s="15" t="str">
        <f t="shared" si="26"/>
        <v>ESE</v>
      </c>
      <c r="D88" s="15" t="str">
        <f t="shared" si="27"/>
        <v>ESE</v>
      </c>
      <c r="E88" s="15" t="str">
        <f t="shared" si="28"/>
        <v>ESE</v>
      </c>
      <c r="F88" s="15" t="str">
        <f t="shared" si="29"/>
        <v>ESE</v>
      </c>
      <c r="G88" s="15" t="str">
        <f t="shared" si="30"/>
        <v>ESE</v>
      </c>
      <c r="H88" s="15" t="str">
        <f t="shared" si="31"/>
        <v>ESE</v>
      </c>
      <c r="I88" s="15" t="str">
        <f t="shared" si="32"/>
        <v>NW</v>
      </c>
      <c r="J88" s="15" t="str">
        <f t="shared" si="33"/>
        <v>NW</v>
      </c>
      <c r="K88" s="15" t="str">
        <f t="shared" si="34"/>
        <v>NW</v>
      </c>
      <c r="L88" s="15" t="str">
        <f t="shared" si="35"/>
        <v>NW</v>
      </c>
      <c r="M88" s="15" t="str">
        <f t="shared" si="36"/>
        <v>NW</v>
      </c>
      <c r="N88" s="15" t="str">
        <f t="shared" si="37"/>
        <v>NW</v>
      </c>
      <c r="O88" s="15" t="str">
        <f t="shared" si="38"/>
        <v>ESE</v>
      </c>
      <c r="Q88" t="str">
        <f t="shared" si="54"/>
        <v>NE</v>
      </c>
      <c r="R88" t="str">
        <f t="shared" si="55"/>
        <v>NE</v>
      </c>
      <c r="S88" t="str">
        <f t="shared" si="56"/>
        <v>NE</v>
      </c>
      <c r="T88" t="str">
        <f t="shared" si="57"/>
        <v>NE</v>
      </c>
      <c r="U88" t="str">
        <f t="shared" si="58"/>
        <v>NE</v>
      </c>
      <c r="V88" t="str">
        <f t="shared" si="59"/>
        <v>E</v>
      </c>
      <c r="W88" t="str">
        <f t="shared" si="60"/>
        <v>E</v>
      </c>
      <c r="X88" t="str">
        <f t="shared" si="61"/>
        <v>E</v>
      </c>
      <c r="Y88" t="str">
        <f t="shared" si="62"/>
        <v>NE</v>
      </c>
      <c r="Z88" t="str">
        <f t="shared" si="63"/>
        <v>NE</v>
      </c>
      <c r="AA88" t="str">
        <f t="shared" si="64"/>
        <v>NE</v>
      </c>
      <c r="AB88" t="str">
        <f t="shared" ref="AB88:AB151" si="66">IF(OR(N7="ESE",N7="SSE"),"SE",IF(OR(N7="WSW",N7="SSW"),"SW",IF(OR(N7="WNW",N7="NNW"),"NW",IF(OR(N7="ENE",N7="NNE"),"NE",IF(OR(N7="N",N7="NE",N7="E",N7="SE",N7="S",N7="SW",N7="W",N7="NW"),N7)))))</f>
        <v>NE</v>
      </c>
      <c r="AC88" t="str">
        <f t="shared" si="65"/>
        <v>NE</v>
      </c>
    </row>
    <row r="89" spans="1:29">
      <c r="A89" s="2" t="s">
        <v>98</v>
      </c>
      <c r="B89" s="2" t="s">
        <v>100</v>
      </c>
      <c r="C89" s="15" t="str">
        <f t="shared" si="26"/>
        <v>S</v>
      </c>
      <c r="D89" s="15" t="str">
        <f t="shared" si="27"/>
        <v>E</v>
      </c>
      <c r="E89" s="15" t="str">
        <f t="shared" si="28"/>
        <v>E</v>
      </c>
      <c r="F89" s="15" t="str">
        <f t="shared" si="29"/>
        <v>WNW</v>
      </c>
      <c r="G89" s="15" t="str">
        <f t="shared" si="30"/>
        <v>WNW</v>
      </c>
      <c r="H89" s="15" t="str">
        <f t="shared" si="31"/>
        <v>WNW</v>
      </c>
      <c r="I89" s="15" t="str">
        <f t="shared" si="32"/>
        <v>WNW</v>
      </c>
      <c r="J89" s="15" t="str">
        <f t="shared" si="33"/>
        <v>WNW</v>
      </c>
      <c r="K89" s="15" t="str">
        <f t="shared" si="34"/>
        <v>WNW</v>
      </c>
      <c r="L89" s="15" t="str">
        <f t="shared" si="35"/>
        <v>E</v>
      </c>
      <c r="M89" s="15" t="str">
        <f t="shared" si="36"/>
        <v>E</v>
      </c>
      <c r="N89" s="15" t="str">
        <f t="shared" si="37"/>
        <v>S</v>
      </c>
      <c r="O89" s="15" t="str">
        <f t="shared" si="38"/>
        <v>WNW</v>
      </c>
      <c r="Q89" t="str">
        <f t="shared" si="54"/>
        <v>SE</v>
      </c>
      <c r="R89" t="str">
        <f t="shared" si="55"/>
        <v>SE</v>
      </c>
      <c r="S89" t="str">
        <f t="shared" si="56"/>
        <v>SE</v>
      </c>
      <c r="T89" t="str">
        <f t="shared" si="57"/>
        <v>NW</v>
      </c>
      <c r="U89" t="str">
        <f t="shared" si="58"/>
        <v>SE</v>
      </c>
      <c r="V89" t="str">
        <f t="shared" si="59"/>
        <v>SE</v>
      </c>
      <c r="W89" t="str">
        <f t="shared" si="60"/>
        <v>SE</v>
      </c>
      <c r="X89" t="str">
        <f t="shared" si="61"/>
        <v>SE</v>
      </c>
      <c r="Y89" t="str">
        <f t="shared" si="62"/>
        <v>SE</v>
      </c>
      <c r="Z89" t="str">
        <f t="shared" si="63"/>
        <v>NW</v>
      </c>
      <c r="AA89" t="str">
        <f t="shared" si="64"/>
        <v>NW</v>
      </c>
      <c r="AB89" t="str">
        <f t="shared" si="66"/>
        <v>SE</v>
      </c>
      <c r="AC89" t="str">
        <f t="shared" si="65"/>
        <v>SE</v>
      </c>
    </row>
    <row r="90" spans="1:29">
      <c r="A90" s="2" t="s">
        <v>98</v>
      </c>
      <c r="B90" s="2" t="s">
        <v>101</v>
      </c>
      <c r="C90" s="15" t="str">
        <f t="shared" si="26"/>
        <v>WSW</v>
      </c>
      <c r="D90" s="15" t="str">
        <f t="shared" si="27"/>
        <v>WSW</v>
      </c>
      <c r="E90" s="15" t="str">
        <f t="shared" si="28"/>
        <v>WSW</v>
      </c>
      <c r="F90" s="15" t="str">
        <f t="shared" si="29"/>
        <v>WSW</v>
      </c>
      <c r="G90" s="15" t="str">
        <f t="shared" si="30"/>
        <v>WSW</v>
      </c>
      <c r="H90" s="15" t="str">
        <f t="shared" si="31"/>
        <v>WSW</v>
      </c>
      <c r="I90" s="15" t="str">
        <f t="shared" si="32"/>
        <v>WSW</v>
      </c>
      <c r="J90" s="15" t="str">
        <f t="shared" si="33"/>
        <v>WSW</v>
      </c>
      <c r="K90" s="15" t="str">
        <f t="shared" si="34"/>
        <v>WSW</v>
      </c>
      <c r="L90" s="15" t="str">
        <f t="shared" si="35"/>
        <v>WSW</v>
      </c>
      <c r="M90" s="15" t="str">
        <f t="shared" si="36"/>
        <v>WSW</v>
      </c>
      <c r="N90" s="15" t="str">
        <f t="shared" si="37"/>
        <v>WSW</v>
      </c>
      <c r="O90" s="15" t="str">
        <f t="shared" si="38"/>
        <v>WSW</v>
      </c>
      <c r="Q90" t="str">
        <f t="shared" si="54"/>
        <v>N</v>
      </c>
      <c r="R90" t="str">
        <f t="shared" si="55"/>
        <v>N</v>
      </c>
      <c r="S90" t="str">
        <f t="shared" si="56"/>
        <v>N</v>
      </c>
      <c r="T90" t="str">
        <f t="shared" si="57"/>
        <v>N</v>
      </c>
      <c r="U90" t="str">
        <f t="shared" si="58"/>
        <v>N</v>
      </c>
      <c r="V90" t="str">
        <f t="shared" si="59"/>
        <v>SW</v>
      </c>
      <c r="W90" t="str">
        <f t="shared" si="60"/>
        <v>SW</v>
      </c>
      <c r="X90" t="str">
        <f t="shared" si="61"/>
        <v>SW</v>
      </c>
      <c r="Y90" t="str">
        <f t="shared" si="62"/>
        <v>N</v>
      </c>
      <c r="Z90" t="str">
        <f t="shared" si="63"/>
        <v>N</v>
      </c>
      <c r="AA90" t="str">
        <f t="shared" si="64"/>
        <v>N</v>
      </c>
      <c r="AB90" t="str">
        <f t="shared" si="66"/>
        <v>N</v>
      </c>
      <c r="AC90" t="str">
        <f t="shared" si="65"/>
        <v>N</v>
      </c>
    </row>
    <row r="91" spans="1:29">
      <c r="A91" s="3" t="s">
        <v>102</v>
      </c>
      <c r="B91" s="3" t="s">
        <v>103</v>
      </c>
      <c r="C91" s="15" t="str">
        <f t="shared" si="26"/>
        <v>W</v>
      </c>
      <c r="D91" s="15" t="str">
        <f t="shared" si="27"/>
        <v>W</v>
      </c>
      <c r="E91" s="15" t="str">
        <f t="shared" si="28"/>
        <v>W</v>
      </c>
      <c r="F91" s="15" t="str">
        <f t="shared" si="29"/>
        <v>NE</v>
      </c>
      <c r="G91" s="15" t="str">
        <f t="shared" si="30"/>
        <v>NE</v>
      </c>
      <c r="H91" s="15" t="str">
        <f t="shared" si="31"/>
        <v>NE</v>
      </c>
      <c r="I91" s="15" t="str">
        <f t="shared" si="32"/>
        <v>SW</v>
      </c>
      <c r="J91" s="15" t="str">
        <f t="shared" si="33"/>
        <v>SW</v>
      </c>
      <c r="K91" s="15" t="str">
        <f t="shared" si="34"/>
        <v>S</v>
      </c>
      <c r="L91" s="15" t="str">
        <f t="shared" si="35"/>
        <v>S</v>
      </c>
      <c r="M91" s="15" t="str">
        <f t="shared" si="36"/>
        <v>S</v>
      </c>
      <c r="N91" s="15" t="str">
        <f t="shared" si="37"/>
        <v>W</v>
      </c>
      <c r="O91" s="15" t="str">
        <f t="shared" si="38"/>
        <v>S</v>
      </c>
      <c r="Q91" t="str">
        <f t="shared" si="54"/>
        <v>SE</v>
      </c>
      <c r="R91" t="str">
        <f t="shared" si="55"/>
        <v>SE</v>
      </c>
      <c r="S91" t="str">
        <f t="shared" si="56"/>
        <v>SE</v>
      </c>
      <c r="T91" t="str">
        <f t="shared" si="57"/>
        <v>SE</v>
      </c>
      <c r="U91" t="str">
        <f t="shared" si="58"/>
        <v>SE</v>
      </c>
      <c r="V91" t="str">
        <f t="shared" si="59"/>
        <v>SE</v>
      </c>
      <c r="W91" t="str">
        <f t="shared" si="60"/>
        <v>E</v>
      </c>
      <c r="X91" t="str">
        <f t="shared" si="61"/>
        <v>E</v>
      </c>
      <c r="Y91" t="str">
        <f t="shared" si="62"/>
        <v>SE</v>
      </c>
      <c r="Z91" t="str">
        <f t="shared" si="63"/>
        <v>SE</v>
      </c>
      <c r="AA91" t="str">
        <f t="shared" si="64"/>
        <v>SE</v>
      </c>
      <c r="AB91" t="str">
        <f t="shared" si="66"/>
        <v>SE</v>
      </c>
      <c r="AC91" t="str">
        <f t="shared" si="65"/>
        <v>SE</v>
      </c>
    </row>
    <row r="92" spans="1:29">
      <c r="A92" s="3" t="s">
        <v>102</v>
      </c>
      <c r="B92" s="3" t="s">
        <v>104</v>
      </c>
      <c r="C92" s="15" t="str">
        <f t="shared" si="26"/>
        <v>W</v>
      </c>
      <c r="D92" s="15" t="str">
        <f t="shared" si="27"/>
        <v>W</v>
      </c>
      <c r="E92" s="15" t="str">
        <f t="shared" si="28"/>
        <v>W</v>
      </c>
      <c r="F92" s="15" t="str">
        <f t="shared" si="29"/>
        <v>W</v>
      </c>
      <c r="G92" s="15" t="str">
        <f t="shared" si="30"/>
        <v>SSW</v>
      </c>
      <c r="H92" s="15" t="str">
        <f t="shared" si="31"/>
        <v>SW</v>
      </c>
      <c r="I92" s="15" t="str">
        <f t="shared" si="32"/>
        <v>SW</v>
      </c>
      <c r="J92" s="15" t="str">
        <f t="shared" si="33"/>
        <v>SW</v>
      </c>
      <c r="K92" s="15" t="str">
        <f t="shared" si="34"/>
        <v>S</v>
      </c>
      <c r="L92" s="15" t="str">
        <f t="shared" si="35"/>
        <v>S</v>
      </c>
      <c r="M92" s="15" t="str">
        <f t="shared" si="36"/>
        <v>SSW</v>
      </c>
      <c r="N92" s="15" t="str">
        <f t="shared" si="37"/>
        <v>W</v>
      </c>
      <c r="O92" s="15" t="str">
        <f t="shared" si="38"/>
        <v>W</v>
      </c>
      <c r="Q92" t="str">
        <f t="shared" si="54"/>
        <v>NW</v>
      </c>
      <c r="R92" t="str">
        <f t="shared" si="55"/>
        <v>NW</v>
      </c>
      <c r="S92" t="str">
        <f t="shared" si="56"/>
        <v>NW</v>
      </c>
      <c r="T92" t="str">
        <f t="shared" si="57"/>
        <v>NW</v>
      </c>
      <c r="U92" t="str">
        <f t="shared" si="58"/>
        <v>NW</v>
      </c>
      <c r="V92" t="str">
        <f t="shared" si="59"/>
        <v>E</v>
      </c>
      <c r="W92" t="str">
        <f t="shared" si="60"/>
        <v>NE</v>
      </c>
      <c r="X92" t="str">
        <f t="shared" si="61"/>
        <v>NW</v>
      </c>
      <c r="Y92" t="str">
        <f t="shared" si="62"/>
        <v>NW</v>
      </c>
      <c r="Z92" t="str">
        <f t="shared" si="63"/>
        <v>NW</v>
      </c>
      <c r="AA92" t="str">
        <f t="shared" si="64"/>
        <v>NW</v>
      </c>
      <c r="AB92" t="str">
        <f t="shared" si="66"/>
        <v>NW</v>
      </c>
      <c r="AC92" t="str">
        <f t="shared" si="65"/>
        <v>NW</v>
      </c>
    </row>
    <row r="93" spans="1:29">
      <c r="A93" s="3" t="s">
        <v>102</v>
      </c>
      <c r="B93" s="3" t="s">
        <v>105</v>
      </c>
      <c r="C93" s="15" t="str">
        <f t="shared" si="26"/>
        <v>WNW</v>
      </c>
      <c r="D93" s="15" t="str">
        <f t="shared" si="27"/>
        <v>WNW</v>
      </c>
      <c r="E93" s="15" t="str">
        <f t="shared" si="28"/>
        <v>WNW</v>
      </c>
      <c r="F93" s="15" t="str">
        <f t="shared" si="29"/>
        <v>WNW</v>
      </c>
      <c r="G93" s="15" t="str">
        <f t="shared" si="30"/>
        <v>S</v>
      </c>
      <c r="H93" s="15" t="str">
        <f t="shared" si="31"/>
        <v>S</v>
      </c>
      <c r="I93" s="15" t="str">
        <f t="shared" si="32"/>
        <v>S</v>
      </c>
      <c r="J93" s="15" t="str">
        <f t="shared" si="33"/>
        <v>S</v>
      </c>
      <c r="K93" s="15" t="str">
        <f t="shared" si="34"/>
        <v>S</v>
      </c>
      <c r="L93" s="15" t="str">
        <f t="shared" si="35"/>
        <v>S</v>
      </c>
      <c r="M93" s="15" t="str">
        <f t="shared" si="36"/>
        <v>WNW</v>
      </c>
      <c r="N93" s="15" t="str">
        <f t="shared" si="37"/>
        <v>WNW</v>
      </c>
      <c r="O93" s="15" t="str">
        <f t="shared" si="38"/>
        <v>WNW</v>
      </c>
      <c r="Q93" t="str">
        <f t="shared" si="54"/>
        <v>E</v>
      </c>
      <c r="R93" t="str">
        <f t="shared" si="55"/>
        <v>NE</v>
      </c>
      <c r="S93" t="str">
        <f t="shared" si="56"/>
        <v>E</v>
      </c>
      <c r="T93" t="str">
        <f t="shared" si="57"/>
        <v>N</v>
      </c>
      <c r="U93" t="str">
        <f t="shared" si="58"/>
        <v>N</v>
      </c>
      <c r="V93" t="str">
        <f t="shared" si="59"/>
        <v>SW</v>
      </c>
      <c r="W93" t="str">
        <f t="shared" si="60"/>
        <v>SW</v>
      </c>
      <c r="X93" t="str">
        <f t="shared" si="61"/>
        <v>SW</v>
      </c>
      <c r="Y93" t="str">
        <f t="shared" si="62"/>
        <v>N</v>
      </c>
      <c r="Z93" t="str">
        <f t="shared" si="63"/>
        <v>N</v>
      </c>
      <c r="AA93" t="str">
        <f t="shared" si="64"/>
        <v>N</v>
      </c>
      <c r="AB93" t="str">
        <f t="shared" si="66"/>
        <v>E</v>
      </c>
      <c r="AC93" t="str">
        <f t="shared" si="65"/>
        <v>N</v>
      </c>
    </row>
    <row r="94" spans="1:29">
      <c r="A94" s="3" t="s">
        <v>102</v>
      </c>
      <c r="B94" s="3" t="s">
        <v>106</v>
      </c>
      <c r="C94" s="15" t="str">
        <f t="shared" si="26"/>
        <v>S</v>
      </c>
      <c r="D94" s="15" t="str">
        <f t="shared" si="27"/>
        <v>S</v>
      </c>
      <c r="E94" s="15" t="str">
        <f t="shared" si="28"/>
        <v>S</v>
      </c>
      <c r="F94" s="15" t="str">
        <f t="shared" si="29"/>
        <v>S</v>
      </c>
      <c r="G94" s="15" t="str">
        <f t="shared" si="30"/>
        <v>S</v>
      </c>
      <c r="H94" s="15" t="str">
        <f t="shared" si="31"/>
        <v>S</v>
      </c>
      <c r="I94" s="15" t="str">
        <f t="shared" si="32"/>
        <v>S</v>
      </c>
      <c r="J94" s="15" t="str">
        <f t="shared" si="33"/>
        <v>S</v>
      </c>
      <c r="K94" s="15" t="str">
        <f t="shared" si="34"/>
        <v>S</v>
      </c>
      <c r="L94" s="15" t="str">
        <f t="shared" si="35"/>
        <v>S</v>
      </c>
      <c r="M94" s="15" t="str">
        <f t="shared" si="36"/>
        <v>S</v>
      </c>
      <c r="N94" s="15" t="str">
        <f t="shared" si="37"/>
        <v>S</v>
      </c>
      <c r="O94" s="15" t="str">
        <f t="shared" si="38"/>
        <v>S</v>
      </c>
      <c r="Q94" t="str">
        <f t="shared" si="54"/>
        <v>SW</v>
      </c>
      <c r="R94" t="str">
        <f t="shared" si="55"/>
        <v>SW</v>
      </c>
      <c r="S94" t="str">
        <f t="shared" si="56"/>
        <v>SW</v>
      </c>
      <c r="T94" t="str">
        <f t="shared" si="57"/>
        <v>SW</v>
      </c>
      <c r="U94" t="str">
        <f t="shared" si="58"/>
        <v>SW</v>
      </c>
      <c r="V94" t="str">
        <f t="shared" si="59"/>
        <v>SW</v>
      </c>
      <c r="W94" t="str">
        <f t="shared" si="60"/>
        <v>SW</v>
      </c>
      <c r="X94" t="str">
        <f t="shared" si="61"/>
        <v>SW</v>
      </c>
      <c r="Y94" t="str">
        <f t="shared" si="62"/>
        <v>SW</v>
      </c>
      <c r="Z94" t="str">
        <f t="shared" si="63"/>
        <v>SW</v>
      </c>
      <c r="AA94" t="str">
        <f t="shared" si="64"/>
        <v>SW</v>
      </c>
      <c r="AB94" t="str">
        <f t="shared" si="66"/>
        <v>SW</v>
      </c>
      <c r="AC94" t="str">
        <f t="shared" si="65"/>
        <v>SW</v>
      </c>
    </row>
    <row r="95" spans="1:29">
      <c r="A95" s="3" t="s">
        <v>102</v>
      </c>
      <c r="B95" s="5" t="s">
        <v>107</v>
      </c>
      <c r="C95" s="15" t="str">
        <f t="shared" si="26"/>
        <v>W</v>
      </c>
      <c r="D95" s="15" t="str">
        <f t="shared" si="27"/>
        <v>WNW</v>
      </c>
      <c r="E95" s="15" t="str">
        <f t="shared" si="28"/>
        <v>W</v>
      </c>
      <c r="F95" s="15" t="str">
        <f t="shared" si="29"/>
        <v>S</v>
      </c>
      <c r="G95" s="15" t="str">
        <f t="shared" si="30"/>
        <v>S</v>
      </c>
      <c r="H95" s="15" t="str">
        <f t="shared" si="31"/>
        <v>S</v>
      </c>
      <c r="I95" s="15">
        <f t="shared" si="32"/>
        <v>0</v>
      </c>
      <c r="J95" s="15" t="str">
        <f t="shared" si="33"/>
        <v>S</v>
      </c>
      <c r="K95" s="15" t="str">
        <f t="shared" si="34"/>
        <v>S</v>
      </c>
      <c r="L95" s="15" t="str">
        <f t="shared" si="35"/>
        <v>S</v>
      </c>
      <c r="M95" s="15" t="str">
        <f t="shared" si="36"/>
        <v>S</v>
      </c>
      <c r="N95" s="15" t="str">
        <f t="shared" si="37"/>
        <v>S</v>
      </c>
      <c r="O95" s="15" t="str">
        <f t="shared" si="38"/>
        <v>S</v>
      </c>
      <c r="Q95" t="str">
        <f t="shared" si="54"/>
        <v>E</v>
      </c>
      <c r="R95" t="str">
        <f t="shared" si="55"/>
        <v>E</v>
      </c>
      <c r="S95" t="str">
        <f t="shared" si="56"/>
        <v>E</v>
      </c>
      <c r="T95" t="str">
        <f t="shared" si="57"/>
        <v>E</v>
      </c>
      <c r="U95" t="str">
        <f t="shared" si="58"/>
        <v>E</v>
      </c>
      <c r="V95" t="str">
        <f t="shared" si="59"/>
        <v>E</v>
      </c>
      <c r="W95" t="str">
        <f t="shared" si="60"/>
        <v>E</v>
      </c>
      <c r="X95" t="str">
        <f t="shared" si="61"/>
        <v>E</v>
      </c>
      <c r="Y95" t="str">
        <f t="shared" si="62"/>
        <v>W</v>
      </c>
      <c r="Z95" t="str">
        <f t="shared" si="63"/>
        <v>W</v>
      </c>
      <c r="AA95" t="str">
        <f t="shared" si="64"/>
        <v>W</v>
      </c>
      <c r="AB95" t="str">
        <f t="shared" si="66"/>
        <v>W</v>
      </c>
      <c r="AC95" t="str">
        <f t="shared" si="65"/>
        <v>E</v>
      </c>
    </row>
    <row r="96" spans="1:29">
      <c r="A96" s="3" t="s">
        <v>102</v>
      </c>
      <c r="B96" s="2" t="s">
        <v>108</v>
      </c>
      <c r="C96" s="15" t="str">
        <f t="shared" si="26"/>
        <v>WNW</v>
      </c>
      <c r="D96" s="15" t="str">
        <f t="shared" si="27"/>
        <v>WNW</v>
      </c>
      <c r="E96" s="15" t="str">
        <f t="shared" si="28"/>
        <v>WNW</v>
      </c>
      <c r="F96" s="15" t="str">
        <f t="shared" si="29"/>
        <v>WNW</v>
      </c>
      <c r="G96" s="15" t="str">
        <f t="shared" si="30"/>
        <v>WNW</v>
      </c>
      <c r="H96" s="15" t="str">
        <f t="shared" si="31"/>
        <v>S</v>
      </c>
      <c r="I96" s="15" t="str">
        <f t="shared" si="32"/>
        <v>S</v>
      </c>
      <c r="J96" s="15" t="str">
        <f t="shared" si="33"/>
        <v>S</v>
      </c>
      <c r="K96" s="15" t="str">
        <f t="shared" si="34"/>
        <v>S</v>
      </c>
      <c r="L96" s="15" t="str">
        <f t="shared" si="35"/>
        <v>S</v>
      </c>
      <c r="M96" s="15" t="str">
        <f t="shared" si="36"/>
        <v>S</v>
      </c>
      <c r="N96" s="15" t="str">
        <f t="shared" si="37"/>
        <v>S</v>
      </c>
      <c r="O96" s="15" t="str">
        <f t="shared" si="38"/>
        <v>S</v>
      </c>
      <c r="Q96" t="str">
        <f t="shared" si="54"/>
        <v>SE</v>
      </c>
      <c r="R96" t="str">
        <f t="shared" si="55"/>
        <v>SE</v>
      </c>
      <c r="S96" t="str">
        <f t="shared" si="56"/>
        <v>SE</v>
      </c>
      <c r="T96" t="str">
        <f t="shared" si="57"/>
        <v>SE</v>
      </c>
      <c r="U96" t="str">
        <f t="shared" si="58"/>
        <v>SE</v>
      </c>
      <c r="V96" t="str">
        <f t="shared" si="59"/>
        <v>SE</v>
      </c>
      <c r="W96" t="str">
        <f t="shared" si="60"/>
        <v>SE</v>
      </c>
      <c r="X96" t="str">
        <f t="shared" si="61"/>
        <v>SE</v>
      </c>
      <c r="Y96" t="str">
        <f t="shared" si="62"/>
        <v>SE</v>
      </c>
      <c r="Z96" t="str">
        <f t="shared" si="63"/>
        <v>SE</v>
      </c>
      <c r="AA96" t="str">
        <f t="shared" si="64"/>
        <v>SE</v>
      </c>
      <c r="AB96" t="str">
        <f t="shared" si="66"/>
        <v>SE</v>
      </c>
      <c r="AC96" t="str">
        <f t="shared" si="65"/>
        <v>SE</v>
      </c>
    </row>
    <row r="97" spans="1:29">
      <c r="A97" s="3" t="s">
        <v>102</v>
      </c>
      <c r="B97" s="2" t="s">
        <v>109</v>
      </c>
      <c r="C97" s="15" t="str">
        <f t="shared" ref="C97:C120" si="67">INDEX(tablewind,MATCH($B97,citywind,0),2)</f>
        <v>SSE</v>
      </c>
      <c r="D97" s="15" t="str">
        <f t="shared" ref="D97:D120" si="68">INDEX(tablewind,MATCH($B97,citywind,0),3)</f>
        <v>SSE</v>
      </c>
      <c r="E97" s="15" t="str">
        <f t="shared" ref="E97:E120" si="69">INDEX(tablewind,MATCH($B97,citywind,0),4)</f>
        <v>SSE</v>
      </c>
      <c r="F97" s="15" t="str">
        <f t="shared" ref="F97:F120" si="70">INDEX(tablewind,MATCH($B97,citywind,0),5)</f>
        <v>SSE</v>
      </c>
      <c r="G97" s="15" t="str">
        <f t="shared" ref="G97:G120" si="71">INDEX(tablewind,MATCH($B97,citywind,0),6)</f>
        <v>SSE</v>
      </c>
      <c r="H97" s="15" t="str">
        <f t="shared" ref="H97:H120" si="72">INDEX(tablewind,MATCH($B97,citywind,0),7)</f>
        <v>S</v>
      </c>
      <c r="I97" s="15" t="str">
        <f t="shared" ref="I97:I120" si="73">INDEX(tablewind,MATCH($B97,citywind,0),8)</f>
        <v>S</v>
      </c>
      <c r="J97" s="15" t="str">
        <f t="shared" ref="J97:J120" si="74">INDEX(tablewind,MATCH($B97,citywind,0),9)</f>
        <v>SSE</v>
      </c>
      <c r="K97" s="15" t="str">
        <f t="shared" ref="K97:K120" si="75">INDEX(tablewind,MATCH($B97,citywind,0),10)</f>
        <v>SSE</v>
      </c>
      <c r="L97" s="15" t="str">
        <f t="shared" ref="L97:L120" si="76">INDEX(tablewind,MATCH($B97,citywind,0),11)</f>
        <v>SSE</v>
      </c>
      <c r="M97" s="15" t="str">
        <f t="shared" ref="M97:M120" si="77">INDEX(tablewind,MATCH($B97,citywind,0),12)</f>
        <v>SSE</v>
      </c>
      <c r="N97" s="15" t="str">
        <f t="shared" ref="N97:N120" si="78">INDEX(tablewind,MATCH($B97,citywind,0),13)</f>
        <v>SSE</v>
      </c>
      <c r="O97" s="15" t="str">
        <f t="shared" ref="O97:O120" si="79">INDEX(tablewind,MATCH($B97,citywind,0),14)</f>
        <v>SSE</v>
      </c>
      <c r="Q97" t="str">
        <f t="shared" si="54"/>
        <v>SE</v>
      </c>
      <c r="R97" t="str">
        <f t="shared" si="55"/>
        <v>SE</v>
      </c>
      <c r="S97" t="str">
        <f t="shared" si="56"/>
        <v>SW</v>
      </c>
      <c r="T97" t="str">
        <f t="shared" si="57"/>
        <v>SW</v>
      </c>
      <c r="U97" t="str">
        <f t="shared" si="58"/>
        <v>SW</v>
      </c>
      <c r="V97" t="str">
        <f t="shared" si="59"/>
        <v>SW</v>
      </c>
      <c r="W97" t="str">
        <f t="shared" si="60"/>
        <v>SW</v>
      </c>
      <c r="X97" t="str">
        <f t="shared" si="61"/>
        <v>SW</v>
      </c>
      <c r="Y97" t="str">
        <f t="shared" si="62"/>
        <v>SW</v>
      </c>
      <c r="Z97" t="str">
        <f t="shared" si="63"/>
        <v>SE</v>
      </c>
      <c r="AA97" t="str">
        <f t="shared" si="64"/>
        <v>SE</v>
      </c>
      <c r="AB97" t="str">
        <f t="shared" si="66"/>
        <v>SE</v>
      </c>
      <c r="AC97" t="str">
        <f t="shared" si="65"/>
        <v>SE</v>
      </c>
    </row>
    <row r="98" spans="1:29">
      <c r="A98" s="3" t="s">
        <v>110</v>
      </c>
      <c r="B98" s="4" t="s">
        <v>86</v>
      </c>
      <c r="C98" s="15" t="str">
        <f t="shared" si="67"/>
        <v>ENE</v>
      </c>
      <c r="D98" s="15" t="str">
        <f t="shared" si="68"/>
        <v>ENE</v>
      </c>
      <c r="E98" s="15" t="str">
        <f t="shared" si="69"/>
        <v>NW</v>
      </c>
      <c r="F98" s="15" t="str">
        <f t="shared" si="70"/>
        <v>NW</v>
      </c>
      <c r="G98" s="15" t="str">
        <f t="shared" si="71"/>
        <v>WNW</v>
      </c>
      <c r="H98" s="15" t="str">
        <f t="shared" si="72"/>
        <v>WNW</v>
      </c>
      <c r="I98" s="15" t="str">
        <f t="shared" si="73"/>
        <v>S</v>
      </c>
      <c r="J98" s="15" t="str">
        <f t="shared" si="74"/>
        <v>S</v>
      </c>
      <c r="K98" s="15" t="str">
        <f t="shared" si="75"/>
        <v>E</v>
      </c>
      <c r="L98" s="15" t="str">
        <f t="shared" si="76"/>
        <v>E</v>
      </c>
      <c r="M98" s="15" t="str">
        <f t="shared" si="77"/>
        <v>ENE</v>
      </c>
      <c r="N98" s="15" t="str">
        <f t="shared" si="78"/>
        <v>ENE</v>
      </c>
      <c r="O98" s="15" t="str">
        <f t="shared" si="79"/>
        <v>ENE</v>
      </c>
      <c r="Q98" t="str">
        <f t="shared" si="54"/>
        <v>N</v>
      </c>
      <c r="R98" t="str">
        <f t="shared" si="55"/>
        <v>N</v>
      </c>
      <c r="S98" t="str">
        <f t="shared" si="56"/>
        <v>NW</v>
      </c>
      <c r="T98" t="str">
        <f t="shared" si="57"/>
        <v>W</v>
      </c>
      <c r="U98" t="str">
        <f t="shared" si="58"/>
        <v>NW</v>
      </c>
      <c r="V98" t="str">
        <f t="shared" si="59"/>
        <v>SE</v>
      </c>
      <c r="W98" t="str">
        <f t="shared" si="60"/>
        <v>SE</v>
      </c>
      <c r="X98" t="str">
        <f t="shared" si="61"/>
        <v>SE</v>
      </c>
      <c r="Y98" t="str">
        <f t="shared" si="62"/>
        <v>SE</v>
      </c>
      <c r="Z98" t="str">
        <f t="shared" si="63"/>
        <v>N</v>
      </c>
      <c r="AA98" t="str">
        <f t="shared" si="64"/>
        <v>N</v>
      </c>
      <c r="AB98" t="str">
        <f t="shared" si="66"/>
        <v>N</v>
      </c>
      <c r="AC98" t="str">
        <f t="shared" si="65"/>
        <v>N</v>
      </c>
    </row>
    <row r="99" spans="1:29">
      <c r="A99" s="3" t="s">
        <v>110</v>
      </c>
      <c r="B99" s="2" t="s">
        <v>111</v>
      </c>
      <c r="C99" s="15" t="str">
        <f t="shared" si="67"/>
        <v>NW</v>
      </c>
      <c r="D99" s="15" t="str">
        <f t="shared" si="68"/>
        <v>NW</v>
      </c>
      <c r="E99" s="15" t="str">
        <f t="shared" si="69"/>
        <v>NW</v>
      </c>
      <c r="F99" s="15" t="str">
        <f t="shared" si="70"/>
        <v>S</v>
      </c>
      <c r="G99" s="15" t="str">
        <f t="shared" si="71"/>
        <v>SSW</v>
      </c>
      <c r="H99" s="15" t="str">
        <f t="shared" si="72"/>
        <v>SW</v>
      </c>
      <c r="I99" s="15" t="str">
        <f t="shared" si="73"/>
        <v>WSW</v>
      </c>
      <c r="J99" s="15" t="str">
        <f t="shared" si="74"/>
        <v>SW</v>
      </c>
      <c r="K99" s="15" t="str">
        <f t="shared" si="75"/>
        <v>S</v>
      </c>
      <c r="L99" s="15" t="str">
        <f t="shared" si="76"/>
        <v>S</v>
      </c>
      <c r="M99" s="15" t="str">
        <f t="shared" si="77"/>
        <v>S</v>
      </c>
      <c r="N99" s="15" t="str">
        <f t="shared" si="78"/>
        <v>NW</v>
      </c>
      <c r="O99" s="15" t="str">
        <f t="shared" si="79"/>
        <v>S</v>
      </c>
      <c r="Q99" t="str">
        <f t="shared" si="54"/>
        <v>N</v>
      </c>
      <c r="R99" t="str">
        <f t="shared" si="55"/>
        <v>N</v>
      </c>
      <c r="S99" t="str">
        <f t="shared" si="56"/>
        <v>S</v>
      </c>
      <c r="T99" t="str">
        <f t="shared" si="57"/>
        <v>S</v>
      </c>
      <c r="U99" t="str">
        <f t="shared" si="58"/>
        <v>S</v>
      </c>
      <c r="V99" t="str">
        <f t="shared" si="59"/>
        <v>S</v>
      </c>
      <c r="W99" t="str">
        <f t="shared" si="60"/>
        <v>S</v>
      </c>
      <c r="X99" t="str">
        <f t="shared" si="61"/>
        <v>S</v>
      </c>
      <c r="Y99" t="str">
        <f t="shared" si="62"/>
        <v>N</v>
      </c>
      <c r="Z99" t="str">
        <f t="shared" si="63"/>
        <v>N</v>
      </c>
      <c r="AA99" t="str">
        <f t="shared" si="64"/>
        <v>S</v>
      </c>
      <c r="AB99" t="str">
        <f t="shared" si="66"/>
        <v>N</v>
      </c>
      <c r="AC99" t="str">
        <f t="shared" si="65"/>
        <v>S</v>
      </c>
    </row>
    <row r="100" spans="1:29" ht="22.8">
      <c r="A100" s="3" t="s">
        <v>110</v>
      </c>
      <c r="B100" s="2" t="s">
        <v>112</v>
      </c>
      <c r="C100" s="15" t="str">
        <f t="shared" si="67"/>
        <v>W</v>
      </c>
      <c r="D100" s="15" t="str">
        <f t="shared" si="68"/>
        <v>W</v>
      </c>
      <c r="E100" s="15" t="str">
        <f t="shared" si="69"/>
        <v>W</v>
      </c>
      <c r="F100" s="15" t="str">
        <f t="shared" si="70"/>
        <v>W</v>
      </c>
      <c r="G100" s="15" t="str">
        <f t="shared" si="71"/>
        <v>SW</v>
      </c>
      <c r="H100" s="15" t="str">
        <f t="shared" si="72"/>
        <v>SW</v>
      </c>
      <c r="I100" s="15" t="str">
        <f t="shared" si="73"/>
        <v>SW</v>
      </c>
      <c r="J100" s="15" t="str">
        <f t="shared" si="74"/>
        <v>SW</v>
      </c>
      <c r="K100" s="15" t="str">
        <f t="shared" si="75"/>
        <v>SW</v>
      </c>
      <c r="L100" s="15" t="str">
        <f t="shared" si="76"/>
        <v>SW</v>
      </c>
      <c r="M100" s="15" t="str">
        <f t="shared" si="77"/>
        <v>W</v>
      </c>
      <c r="N100" s="15" t="str">
        <f t="shared" si="78"/>
        <v>W</v>
      </c>
      <c r="O100" s="15" t="str">
        <f t="shared" si="79"/>
        <v>SW</v>
      </c>
      <c r="Q100" t="str">
        <f t="shared" si="54"/>
        <v>E</v>
      </c>
      <c r="R100" t="str">
        <f t="shared" si="55"/>
        <v>E</v>
      </c>
      <c r="S100" t="str">
        <f t="shared" si="56"/>
        <v>E</v>
      </c>
      <c r="T100" t="str">
        <f t="shared" si="57"/>
        <v>E</v>
      </c>
      <c r="U100" t="str">
        <f t="shared" si="58"/>
        <v>E</v>
      </c>
      <c r="V100" t="str">
        <f t="shared" si="59"/>
        <v>E</v>
      </c>
      <c r="W100" t="str">
        <f t="shared" si="60"/>
        <v>E</v>
      </c>
      <c r="X100" t="str">
        <f t="shared" si="61"/>
        <v>E</v>
      </c>
      <c r="Y100" t="str">
        <f t="shared" si="62"/>
        <v>E</v>
      </c>
      <c r="Z100" t="str">
        <f t="shared" si="63"/>
        <v>E</v>
      </c>
      <c r="AA100" t="str">
        <f t="shared" si="64"/>
        <v>E</v>
      </c>
      <c r="AB100" t="str">
        <f t="shared" si="66"/>
        <v>E</v>
      </c>
      <c r="AC100" t="str">
        <f t="shared" si="65"/>
        <v>E</v>
      </c>
    </row>
    <row r="101" spans="1:29" ht="22.8">
      <c r="A101" s="3" t="s">
        <v>110</v>
      </c>
      <c r="B101" s="2" t="s">
        <v>113</v>
      </c>
      <c r="C101" s="15" t="str">
        <f t="shared" si="67"/>
        <v>WSW</v>
      </c>
      <c r="D101" s="15" t="str">
        <f t="shared" si="68"/>
        <v>WSW</v>
      </c>
      <c r="E101" s="15" t="str">
        <f t="shared" si="69"/>
        <v>SW</v>
      </c>
      <c r="F101" s="15" t="str">
        <f t="shared" si="70"/>
        <v>SW</v>
      </c>
      <c r="G101" s="15" t="str">
        <f t="shared" si="71"/>
        <v>WSW</v>
      </c>
      <c r="H101" s="15" t="str">
        <f t="shared" si="72"/>
        <v>WSW</v>
      </c>
      <c r="I101" s="15" t="str">
        <f t="shared" si="73"/>
        <v>SW</v>
      </c>
      <c r="J101" s="15" t="str">
        <f t="shared" si="74"/>
        <v>SW</v>
      </c>
      <c r="K101" s="15" t="str">
        <f t="shared" si="75"/>
        <v>SW</v>
      </c>
      <c r="L101" s="15" t="str">
        <f t="shared" si="76"/>
        <v>SW</v>
      </c>
      <c r="M101" s="15" t="str">
        <f t="shared" si="77"/>
        <v>SW</v>
      </c>
      <c r="N101" s="15" t="str">
        <f t="shared" si="78"/>
        <v>SW</v>
      </c>
      <c r="O101" s="15" t="str">
        <f t="shared" si="79"/>
        <v>SW</v>
      </c>
      <c r="Q101" t="str">
        <f t="shared" si="54"/>
        <v>SW</v>
      </c>
      <c r="R101" t="str">
        <f t="shared" si="55"/>
        <v>SW</v>
      </c>
      <c r="S101" t="str">
        <f t="shared" si="56"/>
        <v>S</v>
      </c>
      <c r="T101" t="str">
        <f t="shared" si="57"/>
        <v>S</v>
      </c>
      <c r="U101" t="str">
        <f t="shared" si="58"/>
        <v>S</v>
      </c>
      <c r="V101" t="str">
        <f t="shared" si="59"/>
        <v>SW</v>
      </c>
      <c r="W101" t="str">
        <f t="shared" si="60"/>
        <v>SW</v>
      </c>
      <c r="X101" t="str">
        <f t="shared" si="61"/>
        <v>S</v>
      </c>
      <c r="Y101" t="str">
        <f t="shared" si="62"/>
        <v>NE</v>
      </c>
      <c r="Z101" t="str">
        <f t="shared" si="63"/>
        <v>S</v>
      </c>
      <c r="AA101" t="str">
        <f t="shared" si="64"/>
        <v>S</v>
      </c>
      <c r="AB101" t="str">
        <f t="shared" si="66"/>
        <v>SW</v>
      </c>
      <c r="AC101" t="str">
        <f t="shared" si="65"/>
        <v>S</v>
      </c>
    </row>
    <row r="102" spans="1:29">
      <c r="A102" s="3" t="s">
        <v>110</v>
      </c>
      <c r="B102" s="2" t="s">
        <v>114</v>
      </c>
      <c r="C102" s="15" t="str">
        <f t="shared" si="67"/>
        <v>W</v>
      </c>
      <c r="D102" s="15" t="str">
        <f t="shared" si="68"/>
        <v>W</v>
      </c>
      <c r="E102" s="15" t="str">
        <f t="shared" si="69"/>
        <v>W</v>
      </c>
      <c r="F102" s="15" t="str">
        <f t="shared" si="70"/>
        <v>W</v>
      </c>
      <c r="G102" s="15" t="str">
        <f t="shared" si="71"/>
        <v>N</v>
      </c>
      <c r="H102" s="15" t="str">
        <f t="shared" si="72"/>
        <v>S</v>
      </c>
      <c r="I102" s="15" t="str">
        <f t="shared" si="73"/>
        <v>W</v>
      </c>
      <c r="J102" s="15" t="str">
        <f t="shared" si="74"/>
        <v>S</v>
      </c>
      <c r="K102" s="15" t="str">
        <f t="shared" si="75"/>
        <v>S</v>
      </c>
      <c r="L102" s="15" t="str">
        <f t="shared" si="76"/>
        <v>S</v>
      </c>
      <c r="M102" s="15" t="str">
        <f t="shared" si="77"/>
        <v>W</v>
      </c>
      <c r="N102" s="15" t="str">
        <f t="shared" si="78"/>
        <v>W</v>
      </c>
      <c r="O102" s="15" t="str">
        <f t="shared" si="79"/>
        <v>W</v>
      </c>
      <c r="Q102" t="str">
        <f t="shared" si="54"/>
        <v>NW</v>
      </c>
      <c r="R102" t="str">
        <f t="shared" si="55"/>
        <v>W</v>
      </c>
      <c r="S102" t="str">
        <f t="shared" si="56"/>
        <v>W</v>
      </c>
      <c r="T102" t="str">
        <f t="shared" si="57"/>
        <v>W</v>
      </c>
      <c r="U102" t="str">
        <f t="shared" si="58"/>
        <v>W</v>
      </c>
      <c r="V102" t="str">
        <f t="shared" si="59"/>
        <v>W</v>
      </c>
      <c r="W102" t="str">
        <f t="shared" si="60"/>
        <v>W</v>
      </c>
      <c r="X102" t="str">
        <f t="shared" si="61"/>
        <v>W</v>
      </c>
      <c r="Y102" t="str">
        <f t="shared" si="62"/>
        <v>W</v>
      </c>
      <c r="Z102" t="str">
        <f t="shared" si="63"/>
        <v>W</v>
      </c>
      <c r="AA102" t="str">
        <f t="shared" si="64"/>
        <v>W</v>
      </c>
      <c r="AB102" t="str">
        <f t="shared" si="66"/>
        <v>NW</v>
      </c>
      <c r="AC102" t="str">
        <f t="shared" si="65"/>
        <v>W</v>
      </c>
    </row>
    <row r="103" spans="1:29" ht="22.8">
      <c r="A103" s="3" t="s">
        <v>110</v>
      </c>
      <c r="B103" s="2" t="s">
        <v>699</v>
      </c>
      <c r="C103" s="15" t="str">
        <f t="shared" si="67"/>
        <v>SW</v>
      </c>
      <c r="D103" s="15" t="str">
        <f t="shared" si="68"/>
        <v>SW</v>
      </c>
      <c r="E103" s="15" t="str">
        <f t="shared" si="69"/>
        <v>SW</v>
      </c>
      <c r="F103" s="15" t="str">
        <f t="shared" si="70"/>
        <v>SW</v>
      </c>
      <c r="G103" s="15" t="str">
        <f t="shared" si="71"/>
        <v>SSW</v>
      </c>
      <c r="H103" s="15" t="str">
        <f t="shared" si="72"/>
        <v>SSW</v>
      </c>
      <c r="I103" s="15" t="str">
        <f t="shared" si="73"/>
        <v>SW</v>
      </c>
      <c r="J103" s="15" t="str">
        <f t="shared" si="74"/>
        <v>SW</v>
      </c>
      <c r="K103" s="15" t="str">
        <f t="shared" si="75"/>
        <v>SW</v>
      </c>
      <c r="L103" s="15" t="str">
        <f t="shared" si="76"/>
        <v>SW</v>
      </c>
      <c r="M103" s="15" t="str">
        <f t="shared" si="77"/>
        <v>SW</v>
      </c>
      <c r="N103" s="15" t="str">
        <f t="shared" si="78"/>
        <v>SW</v>
      </c>
      <c r="O103" s="15" t="str">
        <f t="shared" si="79"/>
        <v>SW</v>
      </c>
      <c r="Q103" t="str">
        <f t="shared" si="54"/>
        <v>W</v>
      </c>
      <c r="R103" t="str">
        <f t="shared" si="55"/>
        <v>W</v>
      </c>
      <c r="S103" t="str">
        <f t="shared" si="56"/>
        <v>W</v>
      </c>
      <c r="T103" t="str">
        <f t="shared" si="57"/>
        <v>W</v>
      </c>
      <c r="U103" t="str">
        <f t="shared" si="58"/>
        <v>W</v>
      </c>
      <c r="V103" t="str">
        <f t="shared" si="59"/>
        <v>W</v>
      </c>
      <c r="W103" t="str">
        <f t="shared" si="60"/>
        <v>W</v>
      </c>
      <c r="X103" t="str">
        <f t="shared" si="61"/>
        <v>W</v>
      </c>
      <c r="Y103" t="str">
        <f t="shared" si="62"/>
        <v>W</v>
      </c>
      <c r="Z103" t="str">
        <f t="shared" si="63"/>
        <v>W</v>
      </c>
      <c r="AA103" t="str">
        <f t="shared" si="64"/>
        <v>W</v>
      </c>
      <c r="AB103" t="str">
        <f t="shared" si="66"/>
        <v>W</v>
      </c>
      <c r="AC103" t="str">
        <f t="shared" si="65"/>
        <v>W</v>
      </c>
    </row>
    <row r="104" spans="1:29" ht="22.8">
      <c r="A104" s="3" t="s">
        <v>115</v>
      </c>
      <c r="B104" s="4" t="s">
        <v>116</v>
      </c>
      <c r="C104" s="15" t="str">
        <f t="shared" si="67"/>
        <v>NW</v>
      </c>
      <c r="D104" s="15" t="str">
        <f t="shared" si="68"/>
        <v>NW</v>
      </c>
      <c r="E104" s="15" t="str">
        <f t="shared" si="69"/>
        <v>NW</v>
      </c>
      <c r="F104" s="15" t="str">
        <f t="shared" si="70"/>
        <v>NW</v>
      </c>
      <c r="G104" s="15" t="str">
        <f t="shared" si="71"/>
        <v>S</v>
      </c>
      <c r="H104" s="15" t="str">
        <f t="shared" si="72"/>
        <v>S</v>
      </c>
      <c r="I104" s="15" t="str">
        <f t="shared" si="73"/>
        <v>S</v>
      </c>
      <c r="J104" s="15" t="str">
        <f t="shared" si="74"/>
        <v>S</v>
      </c>
      <c r="K104" s="15" t="str">
        <f t="shared" si="75"/>
        <v>S</v>
      </c>
      <c r="L104" s="15" t="str">
        <f t="shared" si="76"/>
        <v>S</v>
      </c>
      <c r="M104" s="15" t="str">
        <f t="shared" si="77"/>
        <v>NW</v>
      </c>
      <c r="N104" s="15" t="str">
        <f t="shared" si="78"/>
        <v>NW</v>
      </c>
      <c r="O104" s="15" t="str">
        <f t="shared" si="79"/>
        <v>S</v>
      </c>
      <c r="Q104" t="str">
        <f t="shared" si="54"/>
        <v>SE</v>
      </c>
      <c r="R104" t="str">
        <f t="shared" si="55"/>
        <v>SE</v>
      </c>
      <c r="S104" t="str">
        <f t="shared" si="56"/>
        <v>SE</v>
      </c>
      <c r="T104" t="str">
        <f t="shared" si="57"/>
        <v>SE</v>
      </c>
      <c r="U104" t="str">
        <f t="shared" si="58"/>
        <v>NW</v>
      </c>
      <c r="V104" t="str">
        <f t="shared" si="59"/>
        <v>NW</v>
      </c>
      <c r="W104" t="str">
        <f t="shared" si="60"/>
        <v>NW</v>
      </c>
      <c r="X104" t="str">
        <f t="shared" si="61"/>
        <v>NW</v>
      </c>
      <c r="Y104" t="str">
        <f t="shared" si="62"/>
        <v>NW</v>
      </c>
      <c r="Z104" t="str">
        <f t="shared" si="63"/>
        <v>NW</v>
      </c>
      <c r="AA104" t="str">
        <f t="shared" si="64"/>
        <v>NW</v>
      </c>
      <c r="AB104" t="str">
        <f t="shared" si="66"/>
        <v>NW</v>
      </c>
      <c r="AC104" t="str">
        <f t="shared" si="65"/>
        <v>NW</v>
      </c>
    </row>
    <row r="105" spans="1:29">
      <c r="A105" s="3" t="s">
        <v>115</v>
      </c>
      <c r="B105" s="2" t="s">
        <v>117</v>
      </c>
      <c r="C105" s="15" t="str">
        <f t="shared" si="67"/>
        <v>S</v>
      </c>
      <c r="D105" s="15" t="str">
        <f t="shared" si="68"/>
        <v>S</v>
      </c>
      <c r="E105" s="15" t="str">
        <f t="shared" si="69"/>
        <v>NW</v>
      </c>
      <c r="F105" s="15" t="str">
        <f t="shared" si="70"/>
        <v>S</v>
      </c>
      <c r="G105" s="15" t="str">
        <f t="shared" si="71"/>
        <v>S</v>
      </c>
      <c r="H105" s="15" t="str">
        <f t="shared" si="72"/>
        <v>S</v>
      </c>
      <c r="I105" s="15" t="str">
        <f t="shared" si="73"/>
        <v>S</v>
      </c>
      <c r="J105" s="15" t="str">
        <f t="shared" si="74"/>
        <v>S</v>
      </c>
      <c r="K105" s="15" t="str">
        <f t="shared" si="75"/>
        <v>S</v>
      </c>
      <c r="L105" s="15" t="str">
        <f t="shared" si="76"/>
        <v>S</v>
      </c>
      <c r="M105" s="15" t="str">
        <f t="shared" si="77"/>
        <v>S</v>
      </c>
      <c r="N105" s="15" t="str">
        <f t="shared" si="78"/>
        <v>S</v>
      </c>
      <c r="O105" s="15" t="str">
        <f t="shared" si="79"/>
        <v>S</v>
      </c>
      <c r="Q105" t="str">
        <f t="shared" si="54"/>
        <v>N</v>
      </c>
      <c r="R105" t="str">
        <f t="shared" si="55"/>
        <v>N</v>
      </c>
      <c r="S105" t="str">
        <f t="shared" si="56"/>
        <v>N</v>
      </c>
      <c r="T105" t="str">
        <f t="shared" si="57"/>
        <v>N</v>
      </c>
      <c r="U105" t="str">
        <f t="shared" si="58"/>
        <v>N</v>
      </c>
      <c r="V105" t="str">
        <f t="shared" si="59"/>
        <v>N</v>
      </c>
      <c r="W105" t="str">
        <f t="shared" si="60"/>
        <v>N</v>
      </c>
      <c r="X105" t="str">
        <f t="shared" si="61"/>
        <v>N</v>
      </c>
      <c r="Y105" t="str">
        <f t="shared" si="62"/>
        <v>N</v>
      </c>
      <c r="Z105" t="str">
        <f t="shared" si="63"/>
        <v>N</v>
      </c>
      <c r="AA105" t="str">
        <f t="shared" si="64"/>
        <v>S</v>
      </c>
      <c r="AB105" t="str">
        <f t="shared" si="66"/>
        <v>S</v>
      </c>
      <c r="AC105" t="str">
        <f t="shared" si="65"/>
        <v>N</v>
      </c>
    </row>
    <row r="106" spans="1:29">
      <c r="A106" s="3" t="s">
        <v>115</v>
      </c>
      <c r="B106" s="4" t="s">
        <v>118</v>
      </c>
      <c r="C106" s="15" t="str">
        <f t="shared" si="67"/>
        <v>NW</v>
      </c>
      <c r="D106" s="15" t="str">
        <f t="shared" si="68"/>
        <v>NW</v>
      </c>
      <c r="E106" s="15" t="str">
        <f t="shared" si="69"/>
        <v>NW</v>
      </c>
      <c r="F106" s="15" t="str">
        <f t="shared" si="70"/>
        <v>NW</v>
      </c>
      <c r="G106" s="15" t="str">
        <f t="shared" si="71"/>
        <v>NW</v>
      </c>
      <c r="H106" s="15" t="str">
        <f t="shared" si="72"/>
        <v>SSE</v>
      </c>
      <c r="I106" s="15" t="str">
        <f t="shared" si="73"/>
        <v>SSE</v>
      </c>
      <c r="J106" s="15" t="str">
        <f t="shared" si="74"/>
        <v>SE</v>
      </c>
      <c r="K106" s="15" t="str">
        <f t="shared" si="75"/>
        <v>SE</v>
      </c>
      <c r="L106" s="15" t="str">
        <f t="shared" si="76"/>
        <v>NW</v>
      </c>
      <c r="M106" s="15" t="str">
        <f t="shared" si="77"/>
        <v>NW</v>
      </c>
      <c r="N106" s="15" t="str">
        <f t="shared" si="78"/>
        <v>NW</v>
      </c>
      <c r="O106" s="15" t="str">
        <f t="shared" si="79"/>
        <v>NW</v>
      </c>
      <c r="Q106" t="str">
        <f t="shared" si="54"/>
        <v>W</v>
      </c>
      <c r="R106" t="str">
        <f t="shared" si="55"/>
        <v>W</v>
      </c>
      <c r="S106" t="str">
        <f t="shared" si="56"/>
        <v>W</v>
      </c>
      <c r="T106" t="str">
        <f t="shared" si="57"/>
        <v>W</v>
      </c>
      <c r="U106" t="str">
        <f t="shared" si="58"/>
        <v>SW</v>
      </c>
      <c r="V106" t="str">
        <f t="shared" si="59"/>
        <v>SW</v>
      </c>
      <c r="W106" t="str">
        <f t="shared" si="60"/>
        <v>SW</v>
      </c>
      <c r="X106" t="str">
        <f t="shared" si="61"/>
        <v>SW</v>
      </c>
      <c r="Y106" t="str">
        <f t="shared" si="62"/>
        <v>SW</v>
      </c>
      <c r="Z106" t="str">
        <f t="shared" si="63"/>
        <v>W</v>
      </c>
      <c r="AA106" t="str">
        <f t="shared" si="64"/>
        <v>W</v>
      </c>
      <c r="AB106" t="str">
        <f t="shared" si="66"/>
        <v>SW</v>
      </c>
      <c r="AC106" t="str">
        <f t="shared" si="65"/>
        <v>W</v>
      </c>
    </row>
    <row r="107" spans="1:29">
      <c r="A107" s="3" t="s">
        <v>115</v>
      </c>
      <c r="B107" s="2" t="s">
        <v>119</v>
      </c>
      <c r="C107" s="15" t="str">
        <f t="shared" si="67"/>
        <v>NW</v>
      </c>
      <c r="D107" s="15" t="str">
        <f t="shared" si="68"/>
        <v>NW</v>
      </c>
      <c r="E107" s="15" t="str">
        <f t="shared" si="69"/>
        <v>NW</v>
      </c>
      <c r="F107" s="15" t="str">
        <f t="shared" si="70"/>
        <v>NW</v>
      </c>
      <c r="G107" s="15" t="str">
        <f t="shared" si="71"/>
        <v>NW</v>
      </c>
      <c r="H107" s="15" t="str">
        <f t="shared" si="72"/>
        <v>NW</v>
      </c>
      <c r="I107" s="15" t="str">
        <f t="shared" si="73"/>
        <v>NNW</v>
      </c>
      <c r="J107" s="15" t="str">
        <f t="shared" si="74"/>
        <v>NNW</v>
      </c>
      <c r="K107" s="15" t="str">
        <f t="shared" si="75"/>
        <v>NNW</v>
      </c>
      <c r="L107" s="15" t="str">
        <f t="shared" si="76"/>
        <v>NW</v>
      </c>
      <c r="M107" s="15" t="str">
        <f t="shared" si="77"/>
        <v>NW</v>
      </c>
      <c r="N107" s="15" t="str">
        <f t="shared" si="78"/>
        <v>NW</v>
      </c>
      <c r="O107" s="15" t="str">
        <f t="shared" si="79"/>
        <v>NW</v>
      </c>
      <c r="Q107" t="str">
        <f t="shared" si="54"/>
        <v>SW</v>
      </c>
      <c r="R107" t="str">
        <f t="shared" si="55"/>
        <v>SW</v>
      </c>
      <c r="S107" t="str">
        <f t="shared" si="56"/>
        <v>SW</v>
      </c>
      <c r="T107" t="str">
        <f t="shared" si="57"/>
        <v>SW</v>
      </c>
      <c r="U107" t="str">
        <f t="shared" si="58"/>
        <v>SW</v>
      </c>
      <c r="V107" t="str">
        <f t="shared" si="59"/>
        <v>SW</v>
      </c>
      <c r="W107" t="str">
        <f t="shared" si="60"/>
        <v>SW</v>
      </c>
      <c r="X107" t="str">
        <f t="shared" si="61"/>
        <v>SW</v>
      </c>
      <c r="Y107" t="str">
        <f t="shared" si="62"/>
        <v>SW</v>
      </c>
      <c r="Z107" t="str">
        <f t="shared" si="63"/>
        <v>SW</v>
      </c>
      <c r="AA107" t="str">
        <f t="shared" si="64"/>
        <v>SW</v>
      </c>
      <c r="AB107" t="str">
        <f t="shared" si="66"/>
        <v>SW</v>
      </c>
      <c r="AC107" t="str">
        <f t="shared" si="65"/>
        <v>SW</v>
      </c>
    </row>
    <row r="108" spans="1:29">
      <c r="A108" s="2" t="s">
        <v>120</v>
      </c>
      <c r="B108" s="2" t="s">
        <v>121</v>
      </c>
      <c r="C108" s="15" t="str">
        <f t="shared" si="67"/>
        <v>N</v>
      </c>
      <c r="D108" s="15" t="str">
        <f t="shared" si="68"/>
        <v>N</v>
      </c>
      <c r="E108" s="15" t="str">
        <f t="shared" si="69"/>
        <v>N</v>
      </c>
      <c r="F108" s="15" t="str">
        <f t="shared" si="70"/>
        <v>N</v>
      </c>
      <c r="G108" s="15" t="str">
        <f t="shared" si="71"/>
        <v>N</v>
      </c>
      <c r="H108" s="15" t="str">
        <f t="shared" si="72"/>
        <v>N</v>
      </c>
      <c r="I108" s="15" t="str">
        <f t="shared" si="73"/>
        <v>S</v>
      </c>
      <c r="J108" s="15" t="str">
        <f t="shared" si="74"/>
        <v>S</v>
      </c>
      <c r="K108" s="15" t="str">
        <f t="shared" si="75"/>
        <v>S</v>
      </c>
      <c r="L108" s="15" t="str">
        <f t="shared" si="76"/>
        <v>S</v>
      </c>
      <c r="M108" s="15" t="str">
        <f t="shared" si="77"/>
        <v>S</v>
      </c>
      <c r="N108" s="15" t="str">
        <f t="shared" si="78"/>
        <v>S</v>
      </c>
      <c r="O108" s="15" t="str">
        <f t="shared" si="79"/>
        <v>S</v>
      </c>
      <c r="Q108" t="str">
        <f t="shared" si="54"/>
        <v>SE</v>
      </c>
      <c r="R108" t="str">
        <f t="shared" si="55"/>
        <v>SE</v>
      </c>
      <c r="S108" t="str">
        <f t="shared" si="56"/>
        <v>N</v>
      </c>
      <c r="T108" t="str">
        <f t="shared" si="57"/>
        <v>N</v>
      </c>
      <c r="U108" t="str">
        <f t="shared" si="58"/>
        <v>N</v>
      </c>
      <c r="V108" t="str">
        <f t="shared" si="59"/>
        <v>N</v>
      </c>
      <c r="W108" t="str">
        <f t="shared" si="60"/>
        <v>N</v>
      </c>
      <c r="X108" t="str">
        <f t="shared" si="61"/>
        <v>NW</v>
      </c>
      <c r="Y108" t="str">
        <f t="shared" si="62"/>
        <v>N</v>
      </c>
      <c r="Z108" t="str">
        <f t="shared" si="63"/>
        <v>N</v>
      </c>
      <c r="AA108" t="str">
        <f t="shared" si="64"/>
        <v>SE</v>
      </c>
      <c r="AB108" t="str">
        <f t="shared" si="66"/>
        <v>SE</v>
      </c>
      <c r="AC108" t="str">
        <f t="shared" si="65"/>
        <v>N</v>
      </c>
    </row>
    <row r="109" spans="1:29">
      <c r="A109" s="2" t="s">
        <v>120</v>
      </c>
      <c r="B109" s="2" t="s">
        <v>122</v>
      </c>
      <c r="C109" s="15" t="str">
        <f t="shared" si="67"/>
        <v>NNW</v>
      </c>
      <c r="D109" s="15" t="str">
        <f t="shared" si="68"/>
        <v>NNW</v>
      </c>
      <c r="E109" s="15" t="str">
        <f t="shared" si="69"/>
        <v>NNW</v>
      </c>
      <c r="F109" s="15" t="str">
        <f t="shared" si="70"/>
        <v>N</v>
      </c>
      <c r="G109" s="15" t="str">
        <f t="shared" si="71"/>
        <v>N</v>
      </c>
      <c r="H109" s="15" t="str">
        <f t="shared" si="72"/>
        <v>N</v>
      </c>
      <c r="I109" s="15" t="str">
        <f t="shared" si="73"/>
        <v>S</v>
      </c>
      <c r="J109" s="15" t="str">
        <f t="shared" si="74"/>
        <v>S</v>
      </c>
      <c r="K109" s="15" t="str">
        <f t="shared" si="75"/>
        <v>S</v>
      </c>
      <c r="L109" s="15" t="str">
        <f t="shared" si="76"/>
        <v>S</v>
      </c>
      <c r="M109" s="15" t="str">
        <f t="shared" si="77"/>
        <v>S</v>
      </c>
      <c r="N109" s="15" t="str">
        <f t="shared" si="78"/>
        <v>S</v>
      </c>
      <c r="O109" s="15" t="str">
        <f t="shared" si="79"/>
        <v>S</v>
      </c>
      <c r="Q109" t="str">
        <f t="shared" si="54"/>
        <v>N</v>
      </c>
      <c r="R109" t="str">
        <f t="shared" si="55"/>
        <v>N</v>
      </c>
      <c r="S109" t="str">
        <f t="shared" si="56"/>
        <v>SW</v>
      </c>
      <c r="T109" t="str">
        <f t="shared" si="57"/>
        <v>SW</v>
      </c>
      <c r="U109" t="str">
        <f t="shared" si="58"/>
        <v>SW</v>
      </c>
      <c r="V109" t="str">
        <f t="shared" si="59"/>
        <v>SW</v>
      </c>
      <c r="W109" t="str">
        <f t="shared" si="60"/>
        <v>SW</v>
      </c>
      <c r="X109" t="str">
        <f t="shared" si="61"/>
        <v>SW</v>
      </c>
      <c r="Y109" t="str">
        <f t="shared" si="62"/>
        <v>SW</v>
      </c>
      <c r="Z109" t="str">
        <f t="shared" si="63"/>
        <v>SW</v>
      </c>
      <c r="AA109" t="str">
        <f t="shared" si="64"/>
        <v>N</v>
      </c>
      <c r="AB109" t="str">
        <f t="shared" si="66"/>
        <v>N</v>
      </c>
      <c r="AC109" t="str">
        <f t="shared" si="65"/>
        <v>SW</v>
      </c>
    </row>
    <row r="110" spans="1:29">
      <c r="A110" s="2" t="s">
        <v>120</v>
      </c>
      <c r="B110" s="2" t="s">
        <v>123</v>
      </c>
      <c r="C110" s="15" t="str">
        <f t="shared" si="67"/>
        <v>W</v>
      </c>
      <c r="D110" s="15" t="str">
        <f t="shared" si="68"/>
        <v>NNW</v>
      </c>
      <c r="E110" s="15" t="str">
        <f t="shared" si="69"/>
        <v>NNW</v>
      </c>
      <c r="F110" s="15" t="str">
        <f t="shared" si="70"/>
        <v>NNW</v>
      </c>
      <c r="G110" s="15" t="str">
        <f t="shared" si="71"/>
        <v>SSE</v>
      </c>
      <c r="H110" s="15" t="str">
        <f t="shared" si="72"/>
        <v>SSE</v>
      </c>
      <c r="I110" s="15" t="str">
        <f t="shared" si="73"/>
        <v>SSE</v>
      </c>
      <c r="J110" s="15" t="str">
        <f t="shared" si="74"/>
        <v>SSE</v>
      </c>
      <c r="K110" s="15" t="str">
        <f t="shared" si="75"/>
        <v>S</v>
      </c>
      <c r="L110" s="15" t="str">
        <f t="shared" si="76"/>
        <v>NNW</v>
      </c>
      <c r="M110" s="15" t="str">
        <f t="shared" si="77"/>
        <v>NNW</v>
      </c>
      <c r="N110" s="15" t="str">
        <f t="shared" si="78"/>
        <v>NNW</v>
      </c>
      <c r="O110" s="15" t="str">
        <f t="shared" si="79"/>
        <v>SSE</v>
      </c>
      <c r="Q110" t="str">
        <f t="shared" si="54"/>
        <v>SE</v>
      </c>
      <c r="R110" t="str">
        <f t="shared" si="55"/>
        <v>SE</v>
      </c>
      <c r="S110" t="str">
        <f t="shared" si="56"/>
        <v>NW</v>
      </c>
      <c r="T110" t="str">
        <f t="shared" si="57"/>
        <v>NW</v>
      </c>
      <c r="U110" t="str">
        <f t="shared" si="58"/>
        <v>NW</v>
      </c>
      <c r="V110" t="str">
        <f t="shared" si="59"/>
        <v>NW</v>
      </c>
      <c r="W110" t="str">
        <f t="shared" si="60"/>
        <v>NW</v>
      </c>
      <c r="X110" t="str">
        <f t="shared" si="61"/>
        <v>NW</v>
      </c>
      <c r="Y110" t="str">
        <f t="shared" si="62"/>
        <v>NW</v>
      </c>
      <c r="Z110" t="str">
        <f t="shared" si="63"/>
        <v>NW</v>
      </c>
      <c r="AA110" t="str">
        <f t="shared" si="64"/>
        <v>NW</v>
      </c>
      <c r="AB110" t="str">
        <f t="shared" si="66"/>
        <v>SE</v>
      </c>
      <c r="AC110" t="str">
        <f t="shared" si="65"/>
        <v>NW</v>
      </c>
    </row>
    <row r="111" spans="1:29">
      <c r="A111" s="2" t="s">
        <v>120</v>
      </c>
      <c r="B111" s="2" t="s">
        <v>124</v>
      </c>
      <c r="C111" s="15" t="str">
        <f t="shared" si="67"/>
        <v>N</v>
      </c>
      <c r="D111" s="15" t="str">
        <f t="shared" si="68"/>
        <v>N</v>
      </c>
      <c r="E111" s="15" t="str">
        <f t="shared" si="69"/>
        <v>N</v>
      </c>
      <c r="F111" s="15" t="str">
        <f t="shared" si="70"/>
        <v>N</v>
      </c>
      <c r="G111" s="15" t="str">
        <f t="shared" si="71"/>
        <v>N</v>
      </c>
      <c r="H111" s="15" t="str">
        <f t="shared" si="72"/>
        <v>N</v>
      </c>
      <c r="I111" s="15" t="str">
        <f t="shared" si="73"/>
        <v>N</v>
      </c>
      <c r="J111" s="15" t="str">
        <f t="shared" si="74"/>
        <v>N</v>
      </c>
      <c r="K111" s="15" t="str">
        <f t="shared" si="75"/>
        <v>N</v>
      </c>
      <c r="L111" s="15" t="str">
        <f t="shared" si="76"/>
        <v>N</v>
      </c>
      <c r="M111" s="15" t="str">
        <f t="shared" si="77"/>
        <v>N</v>
      </c>
      <c r="N111" s="15" t="str">
        <f t="shared" si="78"/>
        <v>N</v>
      </c>
      <c r="O111" s="15" t="str">
        <f t="shared" si="79"/>
        <v>N</v>
      </c>
      <c r="Q111" t="str">
        <f t="shared" si="54"/>
        <v>NW</v>
      </c>
      <c r="R111" t="str">
        <f t="shared" si="55"/>
        <v>NW</v>
      </c>
      <c r="S111" t="str">
        <f t="shared" si="56"/>
        <v>W</v>
      </c>
      <c r="T111" t="str">
        <f t="shared" si="57"/>
        <v>S</v>
      </c>
      <c r="U111" t="str">
        <f t="shared" si="58"/>
        <v>S</v>
      </c>
      <c r="V111" t="str">
        <f t="shared" si="59"/>
        <v>S</v>
      </c>
      <c r="W111" t="str">
        <f t="shared" si="60"/>
        <v>S</v>
      </c>
      <c r="X111" t="str">
        <f t="shared" si="61"/>
        <v>NW</v>
      </c>
      <c r="Y111" t="str">
        <f t="shared" si="62"/>
        <v>NW</v>
      </c>
      <c r="Z111" t="str">
        <f t="shared" si="63"/>
        <v>NW</v>
      </c>
      <c r="AA111" t="str">
        <f t="shared" si="64"/>
        <v>NW</v>
      </c>
      <c r="AB111" t="str">
        <f t="shared" si="66"/>
        <v>NW</v>
      </c>
      <c r="AC111" t="str">
        <f t="shared" si="65"/>
        <v>NW</v>
      </c>
    </row>
    <row r="112" spans="1:29">
      <c r="A112" s="2" t="s">
        <v>120</v>
      </c>
      <c r="B112" s="2" t="s">
        <v>125</v>
      </c>
      <c r="C112" s="15" t="str">
        <f t="shared" si="67"/>
        <v>N</v>
      </c>
      <c r="D112" s="15" t="str">
        <f t="shared" si="68"/>
        <v>N</v>
      </c>
      <c r="E112" s="15" t="str">
        <f t="shared" si="69"/>
        <v>N</v>
      </c>
      <c r="F112" s="15" t="str">
        <f t="shared" si="70"/>
        <v>N</v>
      </c>
      <c r="G112" s="15" t="str">
        <f t="shared" si="71"/>
        <v>N</v>
      </c>
      <c r="H112" s="15" t="str">
        <f t="shared" si="72"/>
        <v>N</v>
      </c>
      <c r="I112" s="15" t="str">
        <f t="shared" si="73"/>
        <v>N</v>
      </c>
      <c r="J112" s="15" t="str">
        <f t="shared" si="74"/>
        <v>N</v>
      </c>
      <c r="K112" s="15" t="str">
        <f t="shared" si="75"/>
        <v>S</v>
      </c>
      <c r="L112" s="15" t="str">
        <f t="shared" si="76"/>
        <v>S</v>
      </c>
      <c r="M112" s="15" t="str">
        <f t="shared" si="77"/>
        <v>S</v>
      </c>
      <c r="N112" s="15" t="str">
        <f t="shared" si="78"/>
        <v>S</v>
      </c>
      <c r="O112" s="15" t="str">
        <f t="shared" si="79"/>
        <v>N</v>
      </c>
      <c r="Q112" t="str">
        <f t="shared" si="54"/>
        <v>SW</v>
      </c>
      <c r="R112" t="str">
        <f t="shared" si="55"/>
        <v>SW</v>
      </c>
      <c r="S112" t="str">
        <f t="shared" si="56"/>
        <v>SW</v>
      </c>
      <c r="T112" t="str">
        <f t="shared" si="57"/>
        <v>SW</v>
      </c>
      <c r="U112" t="str">
        <f t="shared" si="58"/>
        <v>SW</v>
      </c>
      <c r="V112" t="str">
        <f t="shared" si="59"/>
        <v>SW</v>
      </c>
      <c r="W112" t="str">
        <f t="shared" si="60"/>
        <v>SW</v>
      </c>
      <c r="X112" t="str">
        <f t="shared" si="61"/>
        <v>SW</v>
      </c>
      <c r="Y112" t="str">
        <f t="shared" si="62"/>
        <v>SW</v>
      </c>
      <c r="Z112" t="str">
        <f t="shared" si="63"/>
        <v>SW</v>
      </c>
      <c r="AA112" t="str">
        <f t="shared" si="64"/>
        <v>W</v>
      </c>
      <c r="AB112" t="str">
        <f t="shared" si="66"/>
        <v>W</v>
      </c>
      <c r="AC112" t="str">
        <f t="shared" si="65"/>
        <v>SW</v>
      </c>
    </row>
    <row r="113" spans="1:29" ht="22.8">
      <c r="A113" s="2" t="s">
        <v>126</v>
      </c>
      <c r="B113" s="2" t="s">
        <v>127</v>
      </c>
      <c r="C113" s="15" t="str">
        <f t="shared" si="67"/>
        <v>N</v>
      </c>
      <c r="D113" s="15" t="str">
        <f t="shared" si="68"/>
        <v>N</v>
      </c>
      <c r="E113" s="15" t="str">
        <f t="shared" si="69"/>
        <v>N</v>
      </c>
      <c r="F113" s="15" t="str">
        <f t="shared" si="70"/>
        <v>S</v>
      </c>
      <c r="G113" s="15" t="str">
        <f t="shared" si="71"/>
        <v>S</v>
      </c>
      <c r="H113" s="15" t="str">
        <f t="shared" si="72"/>
        <v>S</v>
      </c>
      <c r="I113" s="15" t="str">
        <f t="shared" si="73"/>
        <v>SSW</v>
      </c>
      <c r="J113" s="15" t="str">
        <f t="shared" si="74"/>
        <v>S</v>
      </c>
      <c r="K113" s="15" t="str">
        <f t="shared" si="75"/>
        <v>S</v>
      </c>
      <c r="L113" s="15" t="str">
        <f t="shared" si="76"/>
        <v>S</v>
      </c>
      <c r="M113" s="15" t="str">
        <f t="shared" si="77"/>
        <v>S</v>
      </c>
      <c r="N113" s="15" t="str">
        <f t="shared" si="78"/>
        <v>S</v>
      </c>
      <c r="O113" s="15" t="str">
        <f t="shared" si="79"/>
        <v>S</v>
      </c>
      <c r="Q113" t="str">
        <f t="shared" si="54"/>
        <v>NE</v>
      </c>
      <c r="R113" t="str">
        <f t="shared" si="55"/>
        <v>W</v>
      </c>
      <c r="S113" t="str">
        <f t="shared" si="56"/>
        <v>W</v>
      </c>
      <c r="T113" t="str">
        <f t="shared" si="57"/>
        <v>W</v>
      </c>
      <c r="U113" t="str">
        <f t="shared" si="58"/>
        <v>W</v>
      </c>
      <c r="V113" t="str">
        <f t="shared" si="59"/>
        <v>W</v>
      </c>
      <c r="W113" t="str">
        <f t="shared" si="60"/>
        <v>W</v>
      </c>
      <c r="X113" t="str">
        <f t="shared" si="61"/>
        <v>W</v>
      </c>
      <c r="Y113" t="str">
        <f t="shared" si="62"/>
        <v>W</v>
      </c>
      <c r="Z113" t="str">
        <f t="shared" si="63"/>
        <v>W</v>
      </c>
      <c r="AA113" t="str">
        <f t="shared" si="64"/>
        <v>W</v>
      </c>
      <c r="AB113" t="str">
        <f t="shared" si="66"/>
        <v>NE</v>
      </c>
      <c r="AC113" t="str">
        <f t="shared" si="65"/>
        <v>W</v>
      </c>
    </row>
    <row r="114" spans="1:29" ht="22.8">
      <c r="A114" s="2" t="s">
        <v>126</v>
      </c>
      <c r="B114" s="2" t="s">
        <v>128</v>
      </c>
      <c r="C114" s="15" t="str">
        <f t="shared" si="67"/>
        <v>SW</v>
      </c>
      <c r="D114" s="15" t="str">
        <f t="shared" si="68"/>
        <v>SW</v>
      </c>
      <c r="E114" s="15" t="str">
        <f t="shared" si="69"/>
        <v>S</v>
      </c>
      <c r="F114" s="15" t="str">
        <f t="shared" si="70"/>
        <v>S</v>
      </c>
      <c r="G114" s="15" t="str">
        <f t="shared" si="71"/>
        <v>S</v>
      </c>
      <c r="H114" s="15" t="str">
        <f t="shared" si="72"/>
        <v>S</v>
      </c>
      <c r="I114" s="15" t="str">
        <f t="shared" si="73"/>
        <v>S</v>
      </c>
      <c r="J114" s="15" t="str">
        <f t="shared" si="74"/>
        <v>S</v>
      </c>
      <c r="K114" s="15" t="str">
        <f t="shared" si="75"/>
        <v>S</v>
      </c>
      <c r="L114" s="15" t="str">
        <f t="shared" si="76"/>
        <v>S</v>
      </c>
      <c r="M114" s="15" t="str">
        <f t="shared" si="77"/>
        <v>S</v>
      </c>
      <c r="N114" s="15" t="str">
        <f t="shared" si="78"/>
        <v>S</v>
      </c>
      <c r="O114" s="15" t="str">
        <f t="shared" si="79"/>
        <v>S</v>
      </c>
      <c r="Q114" t="str">
        <f t="shared" si="54"/>
        <v>SE</v>
      </c>
      <c r="R114" t="str">
        <f t="shared" si="55"/>
        <v>SE</v>
      </c>
      <c r="S114" t="str">
        <f t="shared" si="56"/>
        <v>SE</v>
      </c>
      <c r="T114" t="str">
        <f t="shared" si="57"/>
        <v>SE</v>
      </c>
      <c r="U114" t="str">
        <f t="shared" si="58"/>
        <v>SE</v>
      </c>
      <c r="V114" t="str">
        <f t="shared" si="59"/>
        <v>S</v>
      </c>
      <c r="W114" t="str">
        <f t="shared" si="60"/>
        <v>S</v>
      </c>
      <c r="X114" t="str">
        <f t="shared" si="61"/>
        <v>S</v>
      </c>
      <c r="Y114" t="str">
        <f t="shared" si="62"/>
        <v>S</v>
      </c>
      <c r="Z114" t="str">
        <f t="shared" si="63"/>
        <v>NW</v>
      </c>
      <c r="AA114" t="str">
        <f t="shared" si="64"/>
        <v>SE</v>
      </c>
      <c r="AB114" t="str">
        <f t="shared" si="66"/>
        <v>NW</v>
      </c>
      <c r="AC114" t="str">
        <f t="shared" si="65"/>
        <v>SE</v>
      </c>
    </row>
    <row r="115" spans="1:29" ht="22.8">
      <c r="A115" s="2" t="s">
        <v>126</v>
      </c>
      <c r="B115" s="2" t="s">
        <v>129</v>
      </c>
      <c r="C115" s="15" t="str">
        <f t="shared" si="67"/>
        <v>S</v>
      </c>
      <c r="D115" s="15" t="str">
        <f t="shared" si="68"/>
        <v>S</v>
      </c>
      <c r="E115" s="15" t="str">
        <f t="shared" si="69"/>
        <v>S</v>
      </c>
      <c r="F115" s="15" t="str">
        <f t="shared" si="70"/>
        <v>S</v>
      </c>
      <c r="G115" s="15" t="str">
        <f t="shared" si="71"/>
        <v>S</v>
      </c>
      <c r="H115" s="15" t="str">
        <f t="shared" si="72"/>
        <v>S</v>
      </c>
      <c r="I115" s="15" t="str">
        <f t="shared" si="73"/>
        <v>S</v>
      </c>
      <c r="J115" s="15" t="str">
        <f t="shared" si="74"/>
        <v>S</v>
      </c>
      <c r="K115" s="15" t="str">
        <f t="shared" si="75"/>
        <v>S</v>
      </c>
      <c r="L115" s="15" t="str">
        <f t="shared" si="76"/>
        <v>S</v>
      </c>
      <c r="M115" s="15" t="str">
        <f t="shared" si="77"/>
        <v>S</v>
      </c>
      <c r="N115" s="15" t="str">
        <f t="shared" si="78"/>
        <v>S</v>
      </c>
      <c r="O115" s="15" t="str">
        <f t="shared" si="79"/>
        <v>S</v>
      </c>
      <c r="Q115" t="str">
        <f t="shared" si="54"/>
        <v>SE</v>
      </c>
      <c r="R115" t="str">
        <f t="shared" si="55"/>
        <v>SW</v>
      </c>
      <c r="S115" t="str">
        <f t="shared" si="56"/>
        <v>W</v>
      </c>
      <c r="T115" t="str">
        <f t="shared" si="57"/>
        <v>W</v>
      </c>
      <c r="U115" t="str">
        <f t="shared" si="58"/>
        <v>W</v>
      </c>
      <c r="V115" t="str">
        <f t="shared" si="59"/>
        <v>W</v>
      </c>
      <c r="W115" t="str">
        <f t="shared" si="60"/>
        <v>W</v>
      </c>
      <c r="X115" t="str">
        <f t="shared" si="61"/>
        <v>W</v>
      </c>
      <c r="Y115" t="str">
        <f t="shared" si="62"/>
        <v>W</v>
      </c>
      <c r="Z115" t="str">
        <f t="shared" si="63"/>
        <v>W</v>
      </c>
      <c r="AA115" t="str">
        <f t="shared" si="64"/>
        <v>SW</v>
      </c>
      <c r="AB115" t="str">
        <f t="shared" si="66"/>
        <v>SE</v>
      </c>
      <c r="AC115" t="str">
        <f t="shared" si="65"/>
        <v>W</v>
      </c>
    </row>
    <row r="116" spans="1:29" ht="22.8">
      <c r="A116" s="2" t="s">
        <v>126</v>
      </c>
      <c r="B116" s="2" t="s">
        <v>130</v>
      </c>
      <c r="C116" s="15" t="str">
        <f t="shared" si="67"/>
        <v>WNW</v>
      </c>
      <c r="D116" s="15" t="str">
        <f t="shared" si="68"/>
        <v>WNW</v>
      </c>
      <c r="E116" s="15" t="str">
        <f t="shared" si="69"/>
        <v>WNW</v>
      </c>
      <c r="F116" s="15" t="str">
        <f t="shared" si="70"/>
        <v>WNW</v>
      </c>
      <c r="G116" s="15" t="str">
        <f t="shared" si="71"/>
        <v>NW</v>
      </c>
      <c r="H116" s="15" t="str">
        <f t="shared" si="72"/>
        <v>NW</v>
      </c>
      <c r="I116" s="15" t="str">
        <f t="shared" si="73"/>
        <v>S</v>
      </c>
      <c r="J116" s="15" t="str">
        <f t="shared" si="74"/>
        <v>S</v>
      </c>
      <c r="K116" s="15" t="str">
        <f t="shared" si="75"/>
        <v>S</v>
      </c>
      <c r="L116" s="15" t="str">
        <f t="shared" si="76"/>
        <v>S</v>
      </c>
      <c r="M116" s="15" t="str">
        <f t="shared" si="77"/>
        <v>S</v>
      </c>
      <c r="N116" s="15" t="str">
        <f t="shared" si="78"/>
        <v>S</v>
      </c>
      <c r="O116" s="15" t="str">
        <f t="shared" si="79"/>
        <v>S</v>
      </c>
      <c r="Q116" t="b">
        <f t="shared" si="54"/>
        <v>0</v>
      </c>
      <c r="R116" t="b">
        <f t="shared" si="55"/>
        <v>0</v>
      </c>
      <c r="S116" t="b">
        <f t="shared" si="56"/>
        <v>0</v>
      </c>
      <c r="T116" t="b">
        <f t="shared" si="57"/>
        <v>0</v>
      </c>
      <c r="U116" t="b">
        <f t="shared" si="58"/>
        <v>0</v>
      </c>
      <c r="V116" t="b">
        <f t="shared" si="59"/>
        <v>0</v>
      </c>
      <c r="W116" t="b">
        <f t="shared" si="60"/>
        <v>0</v>
      </c>
      <c r="X116" t="b">
        <f t="shared" si="61"/>
        <v>0</v>
      </c>
      <c r="Y116" t="b">
        <f t="shared" si="62"/>
        <v>0</v>
      </c>
      <c r="Z116" t="b">
        <f t="shared" si="63"/>
        <v>0</v>
      </c>
      <c r="AA116" t="b">
        <f t="shared" si="64"/>
        <v>0</v>
      </c>
      <c r="AB116" t="b">
        <f t="shared" si="66"/>
        <v>0</v>
      </c>
      <c r="AC116" t="b">
        <f t="shared" si="65"/>
        <v>0</v>
      </c>
    </row>
    <row r="117" spans="1:29" ht="22.8">
      <c r="A117" s="2" t="s">
        <v>126</v>
      </c>
      <c r="B117" s="2" t="s">
        <v>131</v>
      </c>
      <c r="C117" s="15" t="str">
        <f t="shared" si="67"/>
        <v>S</v>
      </c>
      <c r="D117" s="15" t="str">
        <f t="shared" si="68"/>
        <v>S</v>
      </c>
      <c r="E117" s="15" t="str">
        <f t="shared" si="69"/>
        <v>S</v>
      </c>
      <c r="F117" s="15" t="str">
        <f t="shared" si="70"/>
        <v>S</v>
      </c>
      <c r="G117" s="15" t="str">
        <f t="shared" si="71"/>
        <v>S</v>
      </c>
      <c r="H117" s="15" t="str">
        <f t="shared" si="72"/>
        <v>S</v>
      </c>
      <c r="I117" s="15" t="str">
        <f t="shared" si="73"/>
        <v>S</v>
      </c>
      <c r="J117" s="15" t="str">
        <f t="shared" si="74"/>
        <v>S</v>
      </c>
      <c r="K117" s="15" t="str">
        <f t="shared" si="75"/>
        <v>S</v>
      </c>
      <c r="L117" s="15" t="str">
        <f t="shared" si="76"/>
        <v>S</v>
      </c>
      <c r="M117" s="15" t="str">
        <f t="shared" si="77"/>
        <v>S</v>
      </c>
      <c r="N117" s="15" t="str">
        <f t="shared" si="78"/>
        <v>S</v>
      </c>
      <c r="O117" s="15" t="str">
        <f t="shared" si="79"/>
        <v>S</v>
      </c>
      <c r="Q117" t="str">
        <f t="shared" si="54"/>
        <v>SW</v>
      </c>
      <c r="R117" t="str">
        <f t="shared" si="55"/>
        <v>SW</v>
      </c>
      <c r="S117" t="str">
        <f t="shared" si="56"/>
        <v>SW</v>
      </c>
      <c r="T117" t="str">
        <f t="shared" si="57"/>
        <v>SW</v>
      </c>
      <c r="U117" t="str">
        <f t="shared" si="58"/>
        <v>SW</v>
      </c>
      <c r="V117" t="str">
        <f t="shared" si="59"/>
        <v>SW</v>
      </c>
      <c r="W117" t="str">
        <f t="shared" si="60"/>
        <v>SW</v>
      </c>
      <c r="X117" t="str">
        <f t="shared" si="61"/>
        <v>SW</v>
      </c>
      <c r="Y117" t="str">
        <f t="shared" si="62"/>
        <v>SW</v>
      </c>
      <c r="Z117" t="str">
        <f t="shared" si="63"/>
        <v>SW</v>
      </c>
      <c r="AA117" t="str">
        <f t="shared" si="64"/>
        <v>SW</v>
      </c>
      <c r="AB117" t="str">
        <f t="shared" si="66"/>
        <v>SW</v>
      </c>
      <c r="AC117" t="str">
        <f t="shared" si="65"/>
        <v>SW</v>
      </c>
    </row>
    <row r="118" spans="1:29" ht="22.8">
      <c r="A118" s="2" t="s">
        <v>132</v>
      </c>
      <c r="B118" s="2" t="s">
        <v>133</v>
      </c>
      <c r="C118" s="15" t="str">
        <f t="shared" si="67"/>
        <v>NNW</v>
      </c>
      <c r="D118" s="15" t="str">
        <f t="shared" si="68"/>
        <v>NNW</v>
      </c>
      <c r="E118" s="15" t="str">
        <f t="shared" si="69"/>
        <v>S</v>
      </c>
      <c r="F118" s="15" t="str">
        <f t="shared" si="70"/>
        <v>S</v>
      </c>
      <c r="G118" s="15" t="str">
        <f t="shared" si="71"/>
        <v>S</v>
      </c>
      <c r="H118" s="15" t="str">
        <f t="shared" si="72"/>
        <v>S</v>
      </c>
      <c r="I118" s="15" t="str">
        <f t="shared" si="73"/>
        <v>S</v>
      </c>
      <c r="J118" s="15" t="str">
        <f t="shared" si="74"/>
        <v>SSE</v>
      </c>
      <c r="K118" s="15" t="str">
        <f t="shared" si="75"/>
        <v>NNE</v>
      </c>
      <c r="L118" s="15" t="str">
        <f t="shared" si="76"/>
        <v>SSE</v>
      </c>
      <c r="M118" s="15" t="str">
        <f t="shared" si="77"/>
        <v>SSE</v>
      </c>
      <c r="N118" s="15" t="str">
        <f t="shared" si="78"/>
        <v>SSE</v>
      </c>
      <c r="O118" s="15" t="str">
        <f t="shared" si="79"/>
        <v>SSE</v>
      </c>
      <c r="Q118" t="str">
        <f t="shared" si="54"/>
        <v>SE</v>
      </c>
      <c r="R118" t="str">
        <f t="shared" si="55"/>
        <v>SE</v>
      </c>
      <c r="S118" t="str">
        <f t="shared" si="56"/>
        <v>SE</v>
      </c>
      <c r="T118" t="str">
        <f t="shared" si="57"/>
        <v>SE</v>
      </c>
      <c r="U118" t="str">
        <f t="shared" si="58"/>
        <v>SE</v>
      </c>
      <c r="V118" t="str">
        <f t="shared" si="59"/>
        <v>SE</v>
      </c>
      <c r="W118" t="str">
        <f t="shared" si="60"/>
        <v>SE</v>
      </c>
      <c r="X118" t="str">
        <f t="shared" si="61"/>
        <v>SE</v>
      </c>
      <c r="Y118" t="str">
        <f t="shared" si="62"/>
        <v>SE</v>
      </c>
      <c r="Z118" t="str">
        <f t="shared" si="63"/>
        <v>NW</v>
      </c>
      <c r="AA118" t="str">
        <f t="shared" si="64"/>
        <v>NW</v>
      </c>
      <c r="AB118" t="str">
        <f t="shared" si="66"/>
        <v>NW</v>
      </c>
      <c r="AC118" t="str">
        <f t="shared" si="65"/>
        <v>SE</v>
      </c>
    </row>
    <row r="119" spans="1:29" ht="22.8">
      <c r="A119" s="2" t="s">
        <v>132</v>
      </c>
      <c r="B119" s="2" t="s">
        <v>134</v>
      </c>
      <c r="C119" s="15" t="str">
        <f t="shared" si="67"/>
        <v>N</v>
      </c>
      <c r="D119" s="15" t="str">
        <f t="shared" si="68"/>
        <v>N</v>
      </c>
      <c r="E119" s="15" t="str">
        <f t="shared" si="69"/>
        <v>N</v>
      </c>
      <c r="F119" s="15" t="str">
        <f t="shared" si="70"/>
        <v>N</v>
      </c>
      <c r="G119" s="15" t="str">
        <f t="shared" si="71"/>
        <v>ESE</v>
      </c>
      <c r="H119" s="15" t="str">
        <f t="shared" si="72"/>
        <v>ESE</v>
      </c>
      <c r="I119" s="15" t="str">
        <f t="shared" si="73"/>
        <v>S</v>
      </c>
      <c r="J119" s="15" t="str">
        <f t="shared" si="74"/>
        <v>S</v>
      </c>
      <c r="K119" s="15" t="str">
        <f t="shared" si="75"/>
        <v>ESE</v>
      </c>
      <c r="L119" s="15" t="str">
        <f t="shared" si="76"/>
        <v>ESE</v>
      </c>
      <c r="M119" s="15" t="str">
        <f t="shared" si="77"/>
        <v>S</v>
      </c>
      <c r="N119" s="15" t="str">
        <f t="shared" si="78"/>
        <v>S</v>
      </c>
      <c r="O119" s="15" t="str">
        <f t="shared" si="79"/>
        <v>ESE</v>
      </c>
      <c r="Q119" t="str">
        <f t="shared" si="54"/>
        <v>N</v>
      </c>
      <c r="R119" t="str">
        <f t="shared" si="55"/>
        <v>N</v>
      </c>
      <c r="S119" t="str">
        <f t="shared" si="56"/>
        <v>N</v>
      </c>
      <c r="T119" t="str">
        <f t="shared" si="57"/>
        <v>N</v>
      </c>
      <c r="U119" t="str">
        <f t="shared" si="58"/>
        <v>S</v>
      </c>
      <c r="V119" t="str">
        <f t="shared" si="59"/>
        <v>S</v>
      </c>
      <c r="W119" t="str">
        <f t="shared" si="60"/>
        <v>S</v>
      </c>
      <c r="X119" t="str">
        <f t="shared" si="61"/>
        <v>S</v>
      </c>
      <c r="Y119" t="str">
        <f t="shared" si="62"/>
        <v>S</v>
      </c>
      <c r="Z119" t="str">
        <f t="shared" si="63"/>
        <v>S</v>
      </c>
      <c r="AA119" t="str">
        <f t="shared" si="64"/>
        <v>NW</v>
      </c>
      <c r="AB119" t="str">
        <f t="shared" si="66"/>
        <v>NW</v>
      </c>
      <c r="AC119" t="str">
        <f t="shared" si="65"/>
        <v>N</v>
      </c>
    </row>
    <row r="120" spans="1:29" ht="22.8">
      <c r="A120" s="2" t="s">
        <v>132</v>
      </c>
      <c r="B120" s="2" t="s">
        <v>135</v>
      </c>
      <c r="C120" s="15" t="str">
        <f t="shared" si="67"/>
        <v>N</v>
      </c>
      <c r="D120" s="15" t="str">
        <f t="shared" si="68"/>
        <v>N</v>
      </c>
      <c r="E120" s="15" t="str">
        <f t="shared" si="69"/>
        <v>S</v>
      </c>
      <c r="F120" s="15" t="str">
        <f t="shared" si="70"/>
        <v>S</v>
      </c>
      <c r="G120" s="15" t="str">
        <f t="shared" si="71"/>
        <v>S</v>
      </c>
      <c r="H120" s="15" t="str">
        <f t="shared" si="72"/>
        <v>S</v>
      </c>
      <c r="I120" s="15" t="str">
        <f t="shared" si="73"/>
        <v>S</v>
      </c>
      <c r="J120" s="15" t="str">
        <f t="shared" si="74"/>
        <v>S</v>
      </c>
      <c r="K120" s="15" t="str">
        <f t="shared" si="75"/>
        <v>NE</v>
      </c>
      <c r="L120" s="15" t="str">
        <f t="shared" si="76"/>
        <v>NE</v>
      </c>
      <c r="M120" s="15" t="str">
        <f t="shared" si="77"/>
        <v>N</v>
      </c>
      <c r="N120" s="15" t="str">
        <f t="shared" si="78"/>
        <v>N</v>
      </c>
      <c r="O120" s="15" t="str">
        <f t="shared" si="79"/>
        <v>S</v>
      </c>
      <c r="Q120" t="str">
        <f t="shared" si="54"/>
        <v>NW</v>
      </c>
      <c r="R120" t="str">
        <f t="shared" si="55"/>
        <v>NW</v>
      </c>
      <c r="S120" t="str">
        <f t="shared" si="56"/>
        <v>NW</v>
      </c>
      <c r="T120" t="str">
        <f t="shared" si="57"/>
        <v>NW</v>
      </c>
      <c r="U120" t="str">
        <f t="shared" si="58"/>
        <v>NW</v>
      </c>
      <c r="V120" t="str">
        <f t="shared" si="59"/>
        <v>NW</v>
      </c>
      <c r="W120" t="str">
        <f t="shared" si="60"/>
        <v>NW</v>
      </c>
      <c r="X120" t="str">
        <f t="shared" si="61"/>
        <v>NW</v>
      </c>
      <c r="Y120" t="str">
        <f t="shared" si="62"/>
        <v>NW</v>
      </c>
      <c r="Z120" t="str">
        <f t="shared" si="63"/>
        <v>NW</v>
      </c>
      <c r="AA120" t="str">
        <f t="shared" si="64"/>
        <v>NW</v>
      </c>
      <c r="AB120" t="str">
        <f t="shared" si="66"/>
        <v>NW</v>
      </c>
      <c r="AC120" t="str">
        <f t="shared" si="65"/>
        <v>NW</v>
      </c>
    </row>
    <row r="121" spans="1:29" ht="22.8">
      <c r="A121" s="2" t="s">
        <v>132</v>
      </c>
      <c r="B121" s="4" t="s">
        <v>136</v>
      </c>
      <c r="C121" s="17" t="s">
        <v>700</v>
      </c>
      <c r="D121" s="17" t="s">
        <v>700</v>
      </c>
      <c r="E121" s="17" t="s">
        <v>701</v>
      </c>
      <c r="F121" s="17" t="s">
        <v>701</v>
      </c>
      <c r="G121" s="17" t="s">
        <v>702</v>
      </c>
      <c r="H121" s="17" t="s">
        <v>702</v>
      </c>
      <c r="I121" s="17" t="s">
        <v>702</v>
      </c>
      <c r="J121" s="17" t="s">
        <v>702</v>
      </c>
      <c r="K121" s="17" t="s">
        <v>702</v>
      </c>
      <c r="L121" s="17" t="s">
        <v>702</v>
      </c>
      <c r="M121" s="17" t="s">
        <v>702</v>
      </c>
      <c r="N121" s="17" t="s">
        <v>702</v>
      </c>
      <c r="O121" s="17" t="s">
        <v>702</v>
      </c>
      <c r="Q121" t="str">
        <f t="shared" si="54"/>
        <v>SE</v>
      </c>
      <c r="R121" t="str">
        <f t="shared" si="55"/>
        <v>SE</v>
      </c>
      <c r="S121" t="str">
        <f t="shared" si="56"/>
        <v>SE</v>
      </c>
      <c r="T121" t="str">
        <f t="shared" si="57"/>
        <v>SE</v>
      </c>
      <c r="U121" t="str">
        <f t="shared" si="58"/>
        <v>SE</v>
      </c>
      <c r="V121" t="str">
        <f t="shared" si="59"/>
        <v>SE</v>
      </c>
      <c r="W121" t="str">
        <f t="shared" si="60"/>
        <v>SE</v>
      </c>
      <c r="X121" t="str">
        <f t="shared" si="61"/>
        <v>SE</v>
      </c>
      <c r="Y121" t="str">
        <f t="shared" si="62"/>
        <v>SE</v>
      </c>
      <c r="Z121" t="str">
        <f t="shared" si="63"/>
        <v>SW</v>
      </c>
      <c r="AA121" t="str">
        <f t="shared" si="64"/>
        <v>SW</v>
      </c>
      <c r="AB121" t="str">
        <f t="shared" si="66"/>
        <v>SW</v>
      </c>
      <c r="AC121" t="str">
        <f t="shared" si="65"/>
        <v>SE</v>
      </c>
    </row>
    <row r="122" spans="1:29" ht="22.8">
      <c r="A122" s="2" t="s">
        <v>132</v>
      </c>
      <c r="B122" s="2" t="s">
        <v>137</v>
      </c>
      <c r="C122" s="15" t="str">
        <f t="shared" ref="C122:C153" si="80">INDEX(tablewind,MATCH($B122,citywind,0),2)</f>
        <v>S</v>
      </c>
      <c r="D122" s="15" t="str">
        <f t="shared" ref="D122:D153" si="81">INDEX(tablewind,MATCH($B122,citywind,0),3)</f>
        <v>S</v>
      </c>
      <c r="E122" s="15" t="str">
        <f t="shared" ref="E122:E153" si="82">INDEX(tablewind,MATCH($B122,citywind,0),4)</f>
        <v>S</v>
      </c>
      <c r="F122" s="15" t="str">
        <f t="shared" ref="F122:F153" si="83">INDEX(tablewind,MATCH($B122,citywind,0),5)</f>
        <v>S</v>
      </c>
      <c r="G122" s="15" t="str">
        <f t="shared" ref="G122:G153" si="84">INDEX(tablewind,MATCH($B122,citywind,0),6)</f>
        <v>S</v>
      </c>
      <c r="H122" s="15" t="str">
        <f t="shared" ref="H122:H153" si="85">INDEX(tablewind,MATCH($B122,citywind,0),7)</f>
        <v>S</v>
      </c>
      <c r="I122" s="15" t="str">
        <f t="shared" ref="I122:I153" si="86">INDEX(tablewind,MATCH($B122,citywind,0),8)</f>
        <v>S</v>
      </c>
      <c r="J122" s="15" t="str">
        <f t="shared" ref="J122:J153" si="87">INDEX(tablewind,MATCH($B122,citywind,0),9)</f>
        <v>S</v>
      </c>
      <c r="K122" s="15" t="str">
        <f t="shared" ref="K122:K153" si="88">INDEX(tablewind,MATCH($B122,citywind,0),10)</f>
        <v>SE</v>
      </c>
      <c r="L122" s="15" t="str">
        <f t="shared" ref="L122:L153" si="89">INDEX(tablewind,MATCH($B122,citywind,0),11)</f>
        <v>SE</v>
      </c>
      <c r="M122" s="15" t="str">
        <f t="shared" ref="M122:M153" si="90">INDEX(tablewind,MATCH($B122,citywind,0),12)</f>
        <v>S</v>
      </c>
      <c r="N122" s="15" t="str">
        <f t="shared" ref="N122:N153" si="91">INDEX(tablewind,MATCH($B122,citywind,0),13)</f>
        <v>S</v>
      </c>
      <c r="O122" s="15" t="str">
        <f t="shared" ref="O122:O153" si="92">INDEX(tablewind,MATCH($B122,citywind,0),14)</f>
        <v>S</v>
      </c>
      <c r="Q122" t="str">
        <f t="shared" si="54"/>
        <v>NW</v>
      </c>
      <c r="R122" t="str">
        <f t="shared" si="55"/>
        <v>NW</v>
      </c>
      <c r="S122" t="str">
        <f t="shared" si="56"/>
        <v>NW</v>
      </c>
      <c r="T122" t="str">
        <f t="shared" si="57"/>
        <v>NW</v>
      </c>
      <c r="U122" t="str">
        <f t="shared" si="58"/>
        <v>NW</v>
      </c>
      <c r="V122" t="str">
        <f t="shared" si="59"/>
        <v>NW</v>
      </c>
      <c r="W122" t="str">
        <f t="shared" si="60"/>
        <v>NW</v>
      </c>
      <c r="X122" t="str">
        <f t="shared" si="61"/>
        <v>NW</v>
      </c>
      <c r="Y122" t="str">
        <f t="shared" si="62"/>
        <v>NW</v>
      </c>
      <c r="Z122" t="str">
        <f t="shared" si="63"/>
        <v>NW</v>
      </c>
      <c r="AA122" t="str">
        <f t="shared" si="64"/>
        <v>NW</v>
      </c>
      <c r="AB122" t="str">
        <f t="shared" si="66"/>
        <v>NW</v>
      </c>
      <c r="AC122" t="str">
        <f t="shared" si="65"/>
        <v>NW</v>
      </c>
    </row>
    <row r="123" spans="1:29">
      <c r="A123" s="2" t="s">
        <v>138</v>
      </c>
      <c r="B123" s="2" t="s">
        <v>139</v>
      </c>
      <c r="C123" s="15" t="str">
        <f t="shared" si="80"/>
        <v>NW</v>
      </c>
      <c r="D123" s="15" t="str">
        <f t="shared" si="81"/>
        <v>NW</v>
      </c>
      <c r="E123" s="15" t="str">
        <f t="shared" si="82"/>
        <v>NW</v>
      </c>
      <c r="F123" s="15" t="str">
        <f t="shared" si="83"/>
        <v>S</v>
      </c>
      <c r="G123" s="15" t="str">
        <f t="shared" si="84"/>
        <v>S</v>
      </c>
      <c r="H123" s="15" t="str">
        <f t="shared" si="85"/>
        <v>S</v>
      </c>
      <c r="I123" s="15" t="str">
        <f t="shared" si="86"/>
        <v>S</v>
      </c>
      <c r="J123" s="15" t="str">
        <f t="shared" si="87"/>
        <v>S</v>
      </c>
      <c r="K123" s="15" t="str">
        <f t="shared" si="88"/>
        <v>S</v>
      </c>
      <c r="L123" s="15" t="str">
        <f t="shared" si="89"/>
        <v>S</v>
      </c>
      <c r="M123" s="15" t="str">
        <f t="shared" si="90"/>
        <v>N</v>
      </c>
      <c r="N123" s="15" t="str">
        <f t="shared" si="91"/>
        <v>NW</v>
      </c>
      <c r="O123" s="15" t="str">
        <f t="shared" si="92"/>
        <v>S</v>
      </c>
      <c r="Q123" t="str">
        <f t="shared" si="54"/>
        <v>NW</v>
      </c>
      <c r="R123" t="str">
        <f t="shared" si="55"/>
        <v>NW</v>
      </c>
      <c r="S123" t="str">
        <f t="shared" si="56"/>
        <v>NW</v>
      </c>
      <c r="T123" t="str">
        <f t="shared" si="57"/>
        <v>W</v>
      </c>
      <c r="U123" t="str">
        <f t="shared" si="58"/>
        <v>W</v>
      </c>
      <c r="V123" t="str">
        <f t="shared" si="59"/>
        <v>W</v>
      </c>
      <c r="W123" t="str">
        <f t="shared" si="60"/>
        <v>W</v>
      </c>
      <c r="X123" t="str">
        <f t="shared" si="61"/>
        <v>W</v>
      </c>
      <c r="Y123" t="str">
        <f t="shared" si="62"/>
        <v>W</v>
      </c>
      <c r="Z123" t="str">
        <f t="shared" si="63"/>
        <v>W</v>
      </c>
      <c r="AA123" t="str">
        <f t="shared" si="64"/>
        <v>W</v>
      </c>
      <c r="AB123" t="str">
        <f t="shared" si="66"/>
        <v>W</v>
      </c>
      <c r="AC123" t="str">
        <f t="shared" si="65"/>
        <v>W</v>
      </c>
    </row>
    <row r="124" spans="1:29">
      <c r="A124" s="2" t="s">
        <v>138</v>
      </c>
      <c r="B124" s="2" t="s">
        <v>140</v>
      </c>
      <c r="C124" s="15" t="str">
        <f t="shared" si="80"/>
        <v>NW</v>
      </c>
      <c r="D124" s="15" t="str">
        <f t="shared" si="81"/>
        <v>NW</v>
      </c>
      <c r="E124" s="15" t="str">
        <f t="shared" si="82"/>
        <v>NW</v>
      </c>
      <c r="F124" s="15" t="str">
        <f t="shared" si="83"/>
        <v>NW</v>
      </c>
      <c r="G124" s="15" t="str">
        <f t="shared" si="84"/>
        <v>NW</v>
      </c>
      <c r="H124" s="15" t="str">
        <f t="shared" si="85"/>
        <v>WSW</v>
      </c>
      <c r="I124" s="15" t="str">
        <f t="shared" si="86"/>
        <v>WSW</v>
      </c>
      <c r="J124" s="15" t="str">
        <f t="shared" si="87"/>
        <v>WSW</v>
      </c>
      <c r="K124" s="15" t="str">
        <f t="shared" si="88"/>
        <v>WSW</v>
      </c>
      <c r="L124" s="15" t="str">
        <f t="shared" si="89"/>
        <v>WSW</v>
      </c>
      <c r="M124" s="15" t="str">
        <f t="shared" si="90"/>
        <v>WSW</v>
      </c>
      <c r="N124" s="15" t="str">
        <f t="shared" si="91"/>
        <v>WSW</v>
      </c>
      <c r="O124" s="15" t="str">
        <f t="shared" si="92"/>
        <v>WSW</v>
      </c>
      <c r="Q124" t="str">
        <f t="shared" si="54"/>
        <v>NW</v>
      </c>
      <c r="R124" t="str">
        <f t="shared" si="55"/>
        <v>NW</v>
      </c>
      <c r="S124" t="str">
        <f t="shared" si="56"/>
        <v>NW</v>
      </c>
      <c r="T124" t="str">
        <f t="shared" si="57"/>
        <v>NW</v>
      </c>
      <c r="U124" t="str">
        <f t="shared" si="58"/>
        <v>NW</v>
      </c>
      <c r="V124" t="str">
        <f t="shared" si="59"/>
        <v>NW</v>
      </c>
      <c r="W124" t="str">
        <f t="shared" si="60"/>
        <v>NW</v>
      </c>
      <c r="X124" t="str">
        <f t="shared" si="61"/>
        <v>NW</v>
      </c>
      <c r="Y124" t="str">
        <f t="shared" si="62"/>
        <v>NW</v>
      </c>
      <c r="Z124" t="str">
        <f t="shared" si="63"/>
        <v>NW</v>
      </c>
      <c r="AA124" t="str">
        <f t="shared" si="64"/>
        <v>NW</v>
      </c>
      <c r="AB124" t="str">
        <f t="shared" si="66"/>
        <v>NW</v>
      </c>
      <c r="AC124" t="str">
        <f t="shared" si="65"/>
        <v>NW</v>
      </c>
    </row>
    <row r="125" spans="1:29">
      <c r="A125" s="2" t="s">
        <v>138</v>
      </c>
      <c r="B125" s="2" t="s">
        <v>141</v>
      </c>
      <c r="C125" s="15" t="str">
        <f t="shared" si="80"/>
        <v>W</v>
      </c>
      <c r="D125" s="15" t="str">
        <f t="shared" si="81"/>
        <v>W</v>
      </c>
      <c r="E125" s="15" t="str">
        <f t="shared" si="82"/>
        <v>W</v>
      </c>
      <c r="F125" s="15" t="str">
        <f t="shared" si="83"/>
        <v>W</v>
      </c>
      <c r="G125" s="15" t="str">
        <f t="shared" si="84"/>
        <v>NNW</v>
      </c>
      <c r="H125" s="15" t="str">
        <f t="shared" si="85"/>
        <v>NNW</v>
      </c>
      <c r="I125" s="15" t="str">
        <f t="shared" si="86"/>
        <v>NNW</v>
      </c>
      <c r="J125" s="15" t="str">
        <f t="shared" si="87"/>
        <v>NNW</v>
      </c>
      <c r="K125" s="15" t="str">
        <f t="shared" si="88"/>
        <v>NW</v>
      </c>
      <c r="L125" s="15" t="str">
        <f t="shared" si="89"/>
        <v>NW</v>
      </c>
      <c r="M125" s="15" t="str">
        <f t="shared" si="90"/>
        <v>NW</v>
      </c>
      <c r="N125" s="15" t="str">
        <f t="shared" si="91"/>
        <v>NW</v>
      </c>
      <c r="O125" s="15" t="str">
        <f t="shared" si="92"/>
        <v>NW</v>
      </c>
      <c r="Q125" t="str">
        <f t="shared" si="54"/>
        <v>W</v>
      </c>
      <c r="R125" t="str">
        <f t="shared" si="55"/>
        <v>SW</v>
      </c>
      <c r="S125" t="str">
        <f t="shared" si="56"/>
        <v>SW</v>
      </c>
      <c r="T125" t="str">
        <f t="shared" si="57"/>
        <v>SW</v>
      </c>
      <c r="U125" t="str">
        <f t="shared" si="58"/>
        <v>SW</v>
      </c>
      <c r="V125" t="str">
        <f t="shared" si="59"/>
        <v>SW</v>
      </c>
      <c r="W125" t="str">
        <f t="shared" si="60"/>
        <v>SW</v>
      </c>
      <c r="X125" t="str">
        <f t="shared" si="61"/>
        <v>SW</v>
      </c>
      <c r="Y125" t="str">
        <f t="shared" si="62"/>
        <v>SW</v>
      </c>
      <c r="Z125" t="str">
        <f t="shared" si="63"/>
        <v>SW</v>
      </c>
      <c r="AA125" t="str">
        <f t="shared" si="64"/>
        <v>W</v>
      </c>
      <c r="AB125" t="str">
        <f t="shared" si="66"/>
        <v>W</v>
      </c>
      <c r="AC125" t="str">
        <f t="shared" si="65"/>
        <v>SW</v>
      </c>
    </row>
    <row r="126" spans="1:29" ht="22.8">
      <c r="A126" s="2" t="s">
        <v>142</v>
      </c>
      <c r="B126" s="4" t="s">
        <v>143</v>
      </c>
      <c r="C126" s="15" t="str">
        <f t="shared" si="80"/>
        <v>WNW</v>
      </c>
      <c r="D126" s="15" t="str">
        <f t="shared" si="81"/>
        <v>NW</v>
      </c>
      <c r="E126" s="15" t="str">
        <f t="shared" si="82"/>
        <v>WNW</v>
      </c>
      <c r="F126" s="15" t="str">
        <f t="shared" si="83"/>
        <v>WNW</v>
      </c>
      <c r="G126" s="15" t="str">
        <f t="shared" si="84"/>
        <v>W</v>
      </c>
      <c r="H126" s="15" t="str">
        <f t="shared" si="85"/>
        <v>WNW</v>
      </c>
      <c r="I126" s="15" t="str">
        <f t="shared" si="86"/>
        <v>W</v>
      </c>
      <c r="J126" s="15" t="str">
        <f t="shared" si="87"/>
        <v>W</v>
      </c>
      <c r="K126" s="15" t="str">
        <f t="shared" si="88"/>
        <v>S</v>
      </c>
      <c r="L126" s="15" t="str">
        <f t="shared" si="89"/>
        <v>NW</v>
      </c>
      <c r="M126" s="15" t="str">
        <f t="shared" si="90"/>
        <v>WNW</v>
      </c>
      <c r="N126" s="15" t="str">
        <f t="shared" si="91"/>
        <v>WNW</v>
      </c>
      <c r="O126" s="15" t="str">
        <f t="shared" si="92"/>
        <v>WNW</v>
      </c>
      <c r="Q126" t="str">
        <f t="shared" si="54"/>
        <v>NW</v>
      </c>
      <c r="R126" t="str">
        <f t="shared" si="55"/>
        <v>NW</v>
      </c>
      <c r="S126" t="str">
        <f t="shared" si="56"/>
        <v>NW</v>
      </c>
      <c r="T126" t="str">
        <f t="shared" si="57"/>
        <v>NW</v>
      </c>
      <c r="U126" t="str">
        <f t="shared" si="58"/>
        <v>NW</v>
      </c>
      <c r="V126" t="str">
        <f t="shared" si="59"/>
        <v>NW</v>
      </c>
      <c r="W126" t="str">
        <f t="shared" si="60"/>
        <v>NW</v>
      </c>
      <c r="X126" t="str">
        <f t="shared" si="61"/>
        <v>NW</v>
      </c>
      <c r="Y126" t="str">
        <f t="shared" si="62"/>
        <v>NW</v>
      </c>
      <c r="Z126" t="str">
        <f t="shared" si="63"/>
        <v>W</v>
      </c>
      <c r="AA126" t="str">
        <f t="shared" si="64"/>
        <v>NW</v>
      </c>
      <c r="AB126" t="str">
        <f t="shared" si="66"/>
        <v>NW</v>
      </c>
      <c r="AC126" t="str">
        <f t="shared" si="65"/>
        <v>NW</v>
      </c>
    </row>
    <row r="127" spans="1:29" ht="22.8">
      <c r="A127" s="2" t="s">
        <v>142</v>
      </c>
      <c r="B127" s="2" t="s">
        <v>144</v>
      </c>
      <c r="C127" s="15" t="str">
        <f t="shared" si="80"/>
        <v>NNW</v>
      </c>
      <c r="D127" s="15" t="str">
        <f t="shared" si="81"/>
        <v>NW</v>
      </c>
      <c r="E127" s="15" t="str">
        <f t="shared" si="82"/>
        <v>NNW</v>
      </c>
      <c r="F127" s="15" t="str">
        <f t="shared" si="83"/>
        <v>NW</v>
      </c>
      <c r="G127" s="15" t="str">
        <f t="shared" si="84"/>
        <v>SSE</v>
      </c>
      <c r="H127" s="15" t="str">
        <f t="shared" si="85"/>
        <v>S</v>
      </c>
      <c r="I127" s="15" t="str">
        <f t="shared" si="86"/>
        <v>S</v>
      </c>
      <c r="J127" s="15" t="str">
        <f t="shared" si="87"/>
        <v>S</v>
      </c>
      <c r="K127" s="15" t="str">
        <f t="shared" si="88"/>
        <v>S</v>
      </c>
      <c r="L127" s="15" t="str">
        <f t="shared" si="89"/>
        <v>NNW</v>
      </c>
      <c r="M127" s="15" t="str">
        <f t="shared" si="90"/>
        <v>NNW</v>
      </c>
      <c r="N127" s="15" t="str">
        <f t="shared" si="91"/>
        <v>NNW</v>
      </c>
      <c r="O127" s="15" t="str">
        <f t="shared" si="92"/>
        <v>NNW</v>
      </c>
      <c r="Q127" t="str">
        <f t="shared" si="54"/>
        <v>SE</v>
      </c>
      <c r="R127" t="str">
        <f t="shared" si="55"/>
        <v>SE</v>
      </c>
      <c r="S127" t="str">
        <f t="shared" si="56"/>
        <v>NW</v>
      </c>
      <c r="T127" t="str">
        <f t="shared" si="57"/>
        <v>NW</v>
      </c>
      <c r="U127" t="str">
        <f t="shared" si="58"/>
        <v>W</v>
      </c>
      <c r="V127" t="str">
        <f t="shared" si="59"/>
        <v>W</v>
      </c>
      <c r="W127" t="str">
        <f t="shared" si="60"/>
        <v>NW</v>
      </c>
      <c r="X127" t="str">
        <f t="shared" si="61"/>
        <v>NW</v>
      </c>
      <c r="Y127" t="str">
        <f t="shared" si="62"/>
        <v>NW</v>
      </c>
      <c r="Z127" t="str">
        <f t="shared" si="63"/>
        <v>NW</v>
      </c>
      <c r="AA127" t="str">
        <f t="shared" si="64"/>
        <v>SE</v>
      </c>
      <c r="AB127" t="str">
        <f t="shared" si="66"/>
        <v>SE</v>
      </c>
      <c r="AC127" t="str">
        <f t="shared" si="65"/>
        <v>NW</v>
      </c>
    </row>
    <row r="128" spans="1:29" ht="22.8">
      <c r="A128" s="4" t="s">
        <v>145</v>
      </c>
      <c r="B128" s="2" t="s">
        <v>146</v>
      </c>
      <c r="C128" s="15" t="str">
        <f t="shared" si="80"/>
        <v>WNW</v>
      </c>
      <c r="D128" s="15" t="str">
        <f t="shared" si="81"/>
        <v>WNW</v>
      </c>
      <c r="E128" s="15" t="str">
        <f t="shared" si="82"/>
        <v>WNW</v>
      </c>
      <c r="F128" s="15" t="str">
        <f t="shared" si="83"/>
        <v>WNW</v>
      </c>
      <c r="G128" s="15" t="str">
        <f t="shared" si="84"/>
        <v>SSW</v>
      </c>
      <c r="H128" s="15" t="str">
        <f t="shared" si="85"/>
        <v>WSW</v>
      </c>
      <c r="I128" s="15" t="str">
        <f t="shared" si="86"/>
        <v>WSW</v>
      </c>
      <c r="J128" s="15" t="str">
        <f t="shared" si="87"/>
        <v>WSW</v>
      </c>
      <c r="K128" s="15" t="str">
        <f t="shared" si="88"/>
        <v>WSW</v>
      </c>
      <c r="L128" s="15" t="str">
        <f t="shared" si="89"/>
        <v>WNW</v>
      </c>
      <c r="M128" s="15" t="str">
        <f t="shared" si="90"/>
        <v>WNW</v>
      </c>
      <c r="N128" s="15" t="str">
        <f t="shared" si="91"/>
        <v>WNW</v>
      </c>
      <c r="O128" s="15" t="str">
        <f t="shared" si="92"/>
        <v>WNW</v>
      </c>
      <c r="Q128" t="str">
        <f t="shared" si="54"/>
        <v>S</v>
      </c>
      <c r="R128" t="str">
        <f t="shared" si="55"/>
        <v>S</v>
      </c>
      <c r="S128" t="str">
        <f t="shared" si="56"/>
        <v>S</v>
      </c>
      <c r="T128" t="str">
        <f t="shared" si="57"/>
        <v>S</v>
      </c>
      <c r="U128" t="str">
        <f t="shared" si="58"/>
        <v>S</v>
      </c>
      <c r="V128" t="str">
        <f t="shared" si="59"/>
        <v>S</v>
      </c>
      <c r="W128" t="str">
        <f t="shared" si="60"/>
        <v>S</v>
      </c>
      <c r="X128" t="str">
        <f t="shared" si="61"/>
        <v>S</v>
      </c>
      <c r="Y128" t="str">
        <f t="shared" si="62"/>
        <v>S</v>
      </c>
      <c r="Z128" t="str">
        <f t="shared" si="63"/>
        <v>S</v>
      </c>
      <c r="AA128" t="str">
        <f t="shared" si="64"/>
        <v>S</v>
      </c>
      <c r="AB128" t="str">
        <f t="shared" si="66"/>
        <v>S</v>
      </c>
      <c r="AC128" t="str">
        <f t="shared" si="65"/>
        <v>S</v>
      </c>
    </row>
    <row r="129" spans="1:29" ht="22.8">
      <c r="A129" s="4" t="s">
        <v>145</v>
      </c>
      <c r="B129" s="2" t="s">
        <v>147</v>
      </c>
      <c r="C129" s="15" t="str">
        <f t="shared" si="80"/>
        <v>WNW</v>
      </c>
      <c r="D129" s="15" t="str">
        <f t="shared" si="81"/>
        <v>WNW</v>
      </c>
      <c r="E129" s="15" t="str">
        <f t="shared" si="82"/>
        <v>WNW</v>
      </c>
      <c r="F129" s="15" t="str">
        <f t="shared" si="83"/>
        <v>WNW</v>
      </c>
      <c r="G129" s="15" t="str">
        <f t="shared" si="84"/>
        <v>S</v>
      </c>
      <c r="H129" s="15" t="str">
        <f t="shared" si="85"/>
        <v>S</v>
      </c>
      <c r="I129" s="15" t="str">
        <f t="shared" si="86"/>
        <v>S</v>
      </c>
      <c r="J129" s="15" t="str">
        <f t="shared" si="87"/>
        <v>S</v>
      </c>
      <c r="K129" s="15" t="str">
        <f t="shared" si="88"/>
        <v>S</v>
      </c>
      <c r="L129" s="15" t="str">
        <f t="shared" si="89"/>
        <v>N</v>
      </c>
      <c r="M129" s="15" t="str">
        <f t="shared" si="90"/>
        <v>WNW</v>
      </c>
      <c r="N129" s="15" t="str">
        <f t="shared" si="91"/>
        <v>N</v>
      </c>
      <c r="O129" s="15" t="str">
        <f t="shared" si="92"/>
        <v>S</v>
      </c>
      <c r="Q129" t="str">
        <f t="shared" si="54"/>
        <v>N</v>
      </c>
      <c r="R129" t="str">
        <f t="shared" si="55"/>
        <v>N</v>
      </c>
      <c r="S129" t="str">
        <f t="shared" si="56"/>
        <v>N</v>
      </c>
      <c r="T129" t="str">
        <f t="shared" si="57"/>
        <v>N</v>
      </c>
      <c r="U129" t="str">
        <f t="shared" si="58"/>
        <v>N</v>
      </c>
      <c r="V129" t="str">
        <f t="shared" si="59"/>
        <v>N</v>
      </c>
      <c r="W129" t="str">
        <f t="shared" si="60"/>
        <v>N</v>
      </c>
      <c r="X129" t="str">
        <f t="shared" si="61"/>
        <v>N</v>
      </c>
      <c r="Y129" t="str">
        <f t="shared" si="62"/>
        <v>N</v>
      </c>
      <c r="Z129" t="str">
        <f t="shared" si="63"/>
        <v>N</v>
      </c>
      <c r="AA129" t="str">
        <f t="shared" si="64"/>
        <v>N</v>
      </c>
      <c r="AB129" t="str">
        <f t="shared" si="66"/>
        <v>N</v>
      </c>
      <c r="AC129" t="str">
        <f t="shared" si="65"/>
        <v>N</v>
      </c>
    </row>
    <row r="130" spans="1:29" ht="22.8">
      <c r="A130" s="4" t="s">
        <v>145</v>
      </c>
      <c r="B130" s="2" t="s">
        <v>148</v>
      </c>
      <c r="C130" s="15" t="str">
        <f t="shared" si="80"/>
        <v>W</v>
      </c>
      <c r="D130" s="15" t="str">
        <f t="shared" si="81"/>
        <v>NW</v>
      </c>
      <c r="E130" s="15" t="str">
        <f t="shared" si="82"/>
        <v>WNW</v>
      </c>
      <c r="F130" s="15" t="str">
        <f t="shared" si="83"/>
        <v>WSW</v>
      </c>
      <c r="G130" s="15" t="str">
        <f t="shared" si="84"/>
        <v>WSW</v>
      </c>
      <c r="H130" s="15" t="str">
        <f t="shared" si="85"/>
        <v>WSW</v>
      </c>
      <c r="I130" s="15" t="str">
        <f t="shared" si="86"/>
        <v>WSW</v>
      </c>
      <c r="J130" s="15" t="str">
        <f t="shared" si="87"/>
        <v>WSW</v>
      </c>
      <c r="K130" s="15" t="str">
        <f t="shared" si="88"/>
        <v>WSW</v>
      </c>
      <c r="L130" s="15" t="str">
        <f t="shared" si="89"/>
        <v>WSW</v>
      </c>
      <c r="M130" s="15" t="str">
        <f t="shared" si="90"/>
        <v>W</v>
      </c>
      <c r="N130" s="15" t="str">
        <f t="shared" si="91"/>
        <v>W</v>
      </c>
      <c r="O130" s="15" t="str">
        <f t="shared" si="92"/>
        <v>WSW</v>
      </c>
      <c r="Q130" t="str">
        <f t="shared" si="54"/>
        <v>S</v>
      </c>
      <c r="R130" t="str">
        <f t="shared" si="55"/>
        <v>S</v>
      </c>
      <c r="S130" t="str">
        <f t="shared" si="56"/>
        <v>S</v>
      </c>
      <c r="T130" t="str">
        <f t="shared" si="57"/>
        <v>S</v>
      </c>
      <c r="U130" t="str">
        <f t="shared" si="58"/>
        <v>S</v>
      </c>
      <c r="V130" t="str">
        <f t="shared" si="59"/>
        <v>S</v>
      </c>
      <c r="W130" t="str">
        <f t="shared" si="60"/>
        <v>S</v>
      </c>
      <c r="X130" t="str">
        <f t="shared" si="61"/>
        <v>S</v>
      </c>
      <c r="Y130" t="str">
        <f t="shared" si="62"/>
        <v>S</v>
      </c>
      <c r="Z130" t="str">
        <f t="shared" si="63"/>
        <v>S</v>
      </c>
      <c r="AA130" t="str">
        <f t="shared" si="64"/>
        <v>S</v>
      </c>
      <c r="AB130" t="str">
        <f t="shared" si="66"/>
        <v>S</v>
      </c>
      <c r="AC130" t="str">
        <f t="shared" si="65"/>
        <v>S</v>
      </c>
    </row>
    <row r="131" spans="1:29" ht="22.8">
      <c r="A131" s="4" t="s">
        <v>145</v>
      </c>
      <c r="B131" s="2" t="s">
        <v>149</v>
      </c>
      <c r="C131" s="15" t="str">
        <f t="shared" si="80"/>
        <v>W</v>
      </c>
      <c r="D131" s="15" t="str">
        <f t="shared" si="81"/>
        <v>NW</v>
      </c>
      <c r="E131" s="15" t="str">
        <f t="shared" si="82"/>
        <v>NW</v>
      </c>
      <c r="F131" s="15" t="str">
        <f t="shared" si="83"/>
        <v>NW</v>
      </c>
      <c r="G131" s="15" t="str">
        <f t="shared" si="84"/>
        <v>S</v>
      </c>
      <c r="H131" s="15" t="str">
        <f t="shared" si="85"/>
        <v>S</v>
      </c>
      <c r="I131" s="15" t="str">
        <f t="shared" si="86"/>
        <v>SW</v>
      </c>
      <c r="J131" s="15" t="str">
        <f t="shared" si="87"/>
        <v>SW</v>
      </c>
      <c r="K131" s="15" t="str">
        <f t="shared" si="88"/>
        <v>SW</v>
      </c>
      <c r="L131" s="15" t="str">
        <f t="shared" si="89"/>
        <v>NW</v>
      </c>
      <c r="M131" s="15" t="str">
        <f t="shared" si="90"/>
        <v>W</v>
      </c>
      <c r="N131" s="15" t="str">
        <f t="shared" si="91"/>
        <v>W</v>
      </c>
      <c r="O131" s="15" t="str">
        <f t="shared" si="92"/>
        <v>NW</v>
      </c>
      <c r="Q131" t="str">
        <f t="shared" si="54"/>
        <v>SE</v>
      </c>
      <c r="R131" t="str">
        <f t="shared" si="55"/>
        <v>SE</v>
      </c>
      <c r="S131" t="str">
        <f t="shared" si="56"/>
        <v>SE</v>
      </c>
      <c r="T131" t="str">
        <f t="shared" si="57"/>
        <v>SE</v>
      </c>
      <c r="U131" t="str">
        <f t="shared" si="58"/>
        <v>SE</v>
      </c>
      <c r="V131" t="str">
        <f t="shared" si="59"/>
        <v>SE</v>
      </c>
      <c r="W131" t="str">
        <f t="shared" si="60"/>
        <v>SE</v>
      </c>
      <c r="X131" t="str">
        <f t="shared" si="61"/>
        <v>SE</v>
      </c>
      <c r="Y131" t="str">
        <f t="shared" si="62"/>
        <v>SE</v>
      </c>
      <c r="Z131" t="str">
        <f t="shared" si="63"/>
        <v>SE</v>
      </c>
      <c r="AA131" t="str">
        <f t="shared" si="64"/>
        <v>SE</v>
      </c>
      <c r="AB131" t="str">
        <f t="shared" si="66"/>
        <v>SE</v>
      </c>
      <c r="AC131" t="str">
        <f t="shared" si="65"/>
        <v>SE</v>
      </c>
    </row>
    <row r="132" spans="1:29" ht="22.8">
      <c r="A132" s="4" t="s">
        <v>145</v>
      </c>
      <c r="B132" s="2" t="s">
        <v>150</v>
      </c>
      <c r="C132" s="15" t="str">
        <f t="shared" si="80"/>
        <v>WNW</v>
      </c>
      <c r="D132" s="15" t="str">
        <f t="shared" si="81"/>
        <v>WNW</v>
      </c>
      <c r="E132" s="15" t="str">
        <f t="shared" si="82"/>
        <v>WNW</v>
      </c>
      <c r="F132" s="15" t="str">
        <f t="shared" si="83"/>
        <v>WNW</v>
      </c>
      <c r="G132" s="15" t="str">
        <f t="shared" si="84"/>
        <v>WNW</v>
      </c>
      <c r="H132" s="15" t="str">
        <f t="shared" si="85"/>
        <v>WNW</v>
      </c>
      <c r="I132" s="15" t="str">
        <f t="shared" si="86"/>
        <v>WNW</v>
      </c>
      <c r="J132" s="15" t="str">
        <f t="shared" si="87"/>
        <v>WNW</v>
      </c>
      <c r="K132" s="15" t="str">
        <f t="shared" si="88"/>
        <v>WNW</v>
      </c>
      <c r="L132" s="15" t="str">
        <f t="shared" si="89"/>
        <v>WNW</v>
      </c>
      <c r="M132" s="15" t="str">
        <f t="shared" si="90"/>
        <v>WNW</v>
      </c>
      <c r="N132" s="15" t="str">
        <f t="shared" si="91"/>
        <v>WNW</v>
      </c>
      <c r="O132" s="15" t="str">
        <f t="shared" si="92"/>
        <v>WNW</v>
      </c>
      <c r="Q132" t="str">
        <f t="shared" si="54"/>
        <v>W</v>
      </c>
      <c r="R132" t="str">
        <f t="shared" si="55"/>
        <v>W</v>
      </c>
      <c r="S132" t="str">
        <f t="shared" si="56"/>
        <v>SE</v>
      </c>
      <c r="T132" t="str">
        <f t="shared" si="57"/>
        <v>SE</v>
      </c>
      <c r="U132" t="str">
        <f t="shared" si="58"/>
        <v>SE</v>
      </c>
      <c r="V132" t="str">
        <f t="shared" si="59"/>
        <v>SE</v>
      </c>
      <c r="W132" t="str">
        <f t="shared" si="60"/>
        <v>SE</v>
      </c>
      <c r="X132" t="str">
        <f t="shared" si="61"/>
        <v>SE</v>
      </c>
      <c r="Y132" t="str">
        <f t="shared" si="62"/>
        <v>SE</v>
      </c>
      <c r="Z132" t="str">
        <f t="shared" si="63"/>
        <v>SE</v>
      </c>
      <c r="AA132" t="str">
        <f t="shared" si="64"/>
        <v>SE</v>
      </c>
      <c r="AB132" t="str">
        <f t="shared" si="66"/>
        <v>SE</v>
      </c>
      <c r="AC132" t="str">
        <f t="shared" si="65"/>
        <v>SE</v>
      </c>
    </row>
    <row r="133" spans="1:29">
      <c r="A133" s="3" t="s">
        <v>151</v>
      </c>
      <c r="B133" s="3" t="s">
        <v>152</v>
      </c>
      <c r="C133" s="15" t="str">
        <f t="shared" si="80"/>
        <v>WNW</v>
      </c>
      <c r="D133" s="15" t="str">
        <f t="shared" si="81"/>
        <v>WNW</v>
      </c>
      <c r="E133" s="15" t="str">
        <f t="shared" si="82"/>
        <v>WNW</v>
      </c>
      <c r="F133" s="15" t="str">
        <f t="shared" si="83"/>
        <v>ESE</v>
      </c>
      <c r="G133" s="15" t="str">
        <f t="shared" si="84"/>
        <v>ESE</v>
      </c>
      <c r="H133" s="15" t="str">
        <f t="shared" si="85"/>
        <v>ESE</v>
      </c>
      <c r="I133" s="15" t="str">
        <f t="shared" si="86"/>
        <v>WNW</v>
      </c>
      <c r="J133" s="15" t="str">
        <f t="shared" si="87"/>
        <v>WSW</v>
      </c>
      <c r="K133" s="15" t="str">
        <f t="shared" si="88"/>
        <v>WSW</v>
      </c>
      <c r="L133" s="15" t="str">
        <f t="shared" si="89"/>
        <v>S</v>
      </c>
      <c r="M133" s="15" t="str">
        <f t="shared" si="90"/>
        <v>WSW</v>
      </c>
      <c r="N133" s="15" t="str">
        <f t="shared" si="91"/>
        <v>WSW</v>
      </c>
      <c r="O133" s="15" t="str">
        <f t="shared" si="92"/>
        <v>WNW</v>
      </c>
      <c r="Q133" t="str">
        <f t="shared" si="54"/>
        <v>W</v>
      </c>
      <c r="R133" t="str">
        <f t="shared" si="55"/>
        <v>W</v>
      </c>
      <c r="S133" t="str">
        <f t="shared" si="56"/>
        <v>NW</v>
      </c>
      <c r="T133" t="str">
        <f t="shared" si="57"/>
        <v>NW</v>
      </c>
      <c r="U133" t="str">
        <f t="shared" si="58"/>
        <v>NW</v>
      </c>
      <c r="V133" t="str">
        <f t="shared" si="59"/>
        <v>NW</v>
      </c>
      <c r="W133" t="str">
        <f t="shared" si="60"/>
        <v>SW</v>
      </c>
      <c r="X133" t="str">
        <f t="shared" si="61"/>
        <v>SW</v>
      </c>
      <c r="Y133" t="str">
        <f t="shared" si="62"/>
        <v>SW</v>
      </c>
      <c r="Z133" t="str">
        <f t="shared" si="63"/>
        <v>SW</v>
      </c>
      <c r="AA133" t="str">
        <f t="shared" si="64"/>
        <v>SW</v>
      </c>
      <c r="AB133" t="str">
        <f t="shared" si="66"/>
        <v>SW</v>
      </c>
      <c r="AC133" t="str">
        <f t="shared" si="65"/>
        <v>SW</v>
      </c>
    </row>
    <row r="134" spans="1:29">
      <c r="A134" s="3" t="s">
        <v>151</v>
      </c>
      <c r="B134" s="3" t="s">
        <v>153</v>
      </c>
      <c r="C134" s="15" t="str">
        <f t="shared" si="80"/>
        <v>WSW</v>
      </c>
      <c r="D134" s="15" t="str">
        <f t="shared" si="81"/>
        <v>SW</v>
      </c>
      <c r="E134" s="15" t="str">
        <f t="shared" si="82"/>
        <v>WNW</v>
      </c>
      <c r="F134" s="15" t="str">
        <f t="shared" si="83"/>
        <v>SW</v>
      </c>
      <c r="G134" s="15" t="str">
        <f t="shared" si="84"/>
        <v>NE</v>
      </c>
      <c r="H134" s="15" t="str">
        <f t="shared" si="85"/>
        <v>SW</v>
      </c>
      <c r="I134" s="15" t="str">
        <f t="shared" si="86"/>
        <v>SW</v>
      </c>
      <c r="J134" s="15" t="str">
        <f t="shared" si="87"/>
        <v>SW</v>
      </c>
      <c r="K134" s="15" t="str">
        <f t="shared" si="88"/>
        <v>SW</v>
      </c>
      <c r="L134" s="15" t="str">
        <f t="shared" si="89"/>
        <v>SW</v>
      </c>
      <c r="M134" s="15" t="str">
        <f t="shared" si="90"/>
        <v>WSW</v>
      </c>
      <c r="N134" s="15" t="str">
        <f t="shared" si="91"/>
        <v>SW</v>
      </c>
      <c r="O134" s="15" t="str">
        <f t="shared" si="92"/>
        <v>SW</v>
      </c>
      <c r="Q134" t="str">
        <f t="shared" si="54"/>
        <v>NW</v>
      </c>
      <c r="R134" t="str">
        <f t="shared" si="55"/>
        <v>NW</v>
      </c>
      <c r="S134" t="str">
        <f t="shared" si="56"/>
        <v>NW</v>
      </c>
      <c r="T134" t="str">
        <f t="shared" si="57"/>
        <v>NW</v>
      </c>
      <c r="U134" t="str">
        <f t="shared" si="58"/>
        <v>NW</v>
      </c>
      <c r="V134" t="str">
        <f t="shared" si="59"/>
        <v>NW</v>
      </c>
      <c r="W134" t="str">
        <f t="shared" si="60"/>
        <v>N</v>
      </c>
      <c r="X134" t="str">
        <f t="shared" si="61"/>
        <v>N</v>
      </c>
      <c r="Y134" t="str">
        <f t="shared" si="62"/>
        <v>N</v>
      </c>
      <c r="Z134" t="str">
        <f t="shared" si="63"/>
        <v>S</v>
      </c>
      <c r="AA134" t="str">
        <f t="shared" si="64"/>
        <v>S</v>
      </c>
      <c r="AB134" t="str">
        <f t="shared" si="66"/>
        <v>S</v>
      </c>
      <c r="AC134" t="str">
        <f t="shared" si="65"/>
        <v>NW</v>
      </c>
    </row>
    <row r="135" spans="1:29">
      <c r="A135" s="3" t="s">
        <v>151</v>
      </c>
      <c r="B135" s="3" t="s">
        <v>154</v>
      </c>
      <c r="C135" s="15" t="str">
        <f t="shared" si="80"/>
        <v>W</v>
      </c>
      <c r="D135" s="15" t="str">
        <f t="shared" si="81"/>
        <v>W</v>
      </c>
      <c r="E135" s="15" t="str">
        <f t="shared" si="82"/>
        <v>WNW</v>
      </c>
      <c r="F135" s="15" t="str">
        <f t="shared" si="83"/>
        <v>WSW</v>
      </c>
      <c r="G135" s="15" t="str">
        <f t="shared" si="84"/>
        <v>WSW</v>
      </c>
      <c r="H135" s="15" t="str">
        <f t="shared" si="85"/>
        <v>SSW</v>
      </c>
      <c r="I135" s="15" t="str">
        <f t="shared" si="86"/>
        <v>SW</v>
      </c>
      <c r="J135" s="15" t="str">
        <f t="shared" si="87"/>
        <v>SSW</v>
      </c>
      <c r="K135" s="15" t="str">
        <f t="shared" si="88"/>
        <v>SSW</v>
      </c>
      <c r="L135" s="15" t="str">
        <f t="shared" si="89"/>
        <v>S</v>
      </c>
      <c r="M135" s="15" t="str">
        <f t="shared" si="90"/>
        <v>SW</v>
      </c>
      <c r="N135" s="15" t="str">
        <f t="shared" si="91"/>
        <v>SW</v>
      </c>
      <c r="O135" s="15" t="str">
        <f t="shared" si="92"/>
        <v>WSW</v>
      </c>
      <c r="Q135" t="str">
        <f t="shared" si="54"/>
        <v>NW</v>
      </c>
      <c r="R135" t="str">
        <f t="shared" si="55"/>
        <v>NW</v>
      </c>
      <c r="S135" t="str">
        <f t="shared" si="56"/>
        <v>NW</v>
      </c>
      <c r="T135" t="str">
        <f t="shared" si="57"/>
        <v>NW</v>
      </c>
      <c r="U135" t="str">
        <f t="shared" si="58"/>
        <v>SW</v>
      </c>
      <c r="V135" t="str">
        <f t="shared" si="59"/>
        <v>SW</v>
      </c>
      <c r="W135" t="str">
        <f t="shared" si="60"/>
        <v>SW</v>
      </c>
      <c r="X135" t="str">
        <f t="shared" si="61"/>
        <v>SW</v>
      </c>
      <c r="Y135" t="str">
        <f t="shared" si="62"/>
        <v>SW</v>
      </c>
      <c r="Z135" t="str">
        <f t="shared" si="63"/>
        <v>SW</v>
      </c>
      <c r="AA135" t="str">
        <f t="shared" si="64"/>
        <v>SW</v>
      </c>
      <c r="AB135" t="str">
        <f t="shared" si="66"/>
        <v>NW</v>
      </c>
      <c r="AC135" t="str">
        <f t="shared" si="65"/>
        <v>SW</v>
      </c>
    </row>
    <row r="136" spans="1:29">
      <c r="A136" s="3" t="s">
        <v>151</v>
      </c>
      <c r="B136" s="3" t="s">
        <v>155</v>
      </c>
      <c r="C136" s="15" t="str">
        <f t="shared" si="80"/>
        <v>WSW</v>
      </c>
      <c r="D136" s="15" t="str">
        <f t="shared" si="81"/>
        <v>WSW</v>
      </c>
      <c r="E136" s="15" t="str">
        <f t="shared" si="82"/>
        <v>WSW</v>
      </c>
      <c r="F136" s="15" t="str">
        <f t="shared" si="83"/>
        <v>WSW</v>
      </c>
      <c r="G136" s="15" t="str">
        <f t="shared" si="84"/>
        <v>WSW</v>
      </c>
      <c r="H136" s="15" t="str">
        <f t="shared" si="85"/>
        <v>WSW</v>
      </c>
      <c r="I136" s="15" t="str">
        <f t="shared" si="86"/>
        <v>WSW</v>
      </c>
      <c r="J136" s="15" t="str">
        <f t="shared" si="87"/>
        <v>WSW</v>
      </c>
      <c r="K136" s="15" t="str">
        <f t="shared" si="88"/>
        <v>S</v>
      </c>
      <c r="L136" s="15" t="str">
        <f t="shared" si="89"/>
        <v>S</v>
      </c>
      <c r="M136" s="15" t="str">
        <f t="shared" si="90"/>
        <v>WSW</v>
      </c>
      <c r="N136" s="15" t="str">
        <f t="shared" si="91"/>
        <v>S</v>
      </c>
      <c r="O136" s="15" t="str">
        <f t="shared" si="92"/>
        <v>WSW</v>
      </c>
      <c r="Q136" t="str">
        <f t="shared" si="54"/>
        <v>NW</v>
      </c>
      <c r="R136" t="str">
        <f t="shared" si="55"/>
        <v>NW</v>
      </c>
      <c r="S136" t="str">
        <f t="shared" si="56"/>
        <v>NW</v>
      </c>
      <c r="T136" t="str">
        <f t="shared" si="57"/>
        <v>NW</v>
      </c>
      <c r="U136" t="str">
        <f t="shared" si="58"/>
        <v>NW</v>
      </c>
      <c r="V136" t="str">
        <f t="shared" si="59"/>
        <v>S</v>
      </c>
      <c r="W136" t="str">
        <f t="shared" si="60"/>
        <v>S</v>
      </c>
      <c r="X136" t="str">
        <f t="shared" si="61"/>
        <v>S</v>
      </c>
      <c r="Y136" t="str">
        <f t="shared" si="62"/>
        <v>NW</v>
      </c>
      <c r="Z136" t="str">
        <f t="shared" si="63"/>
        <v>NW</v>
      </c>
      <c r="AA136" t="str">
        <f t="shared" si="64"/>
        <v>NW</v>
      </c>
      <c r="AB136" t="str">
        <f t="shared" si="66"/>
        <v>NW</v>
      </c>
      <c r="AC136" t="str">
        <f t="shared" si="65"/>
        <v>NW</v>
      </c>
    </row>
    <row r="137" spans="1:29">
      <c r="A137" s="3" t="s">
        <v>151</v>
      </c>
      <c r="B137" s="3" t="s">
        <v>156</v>
      </c>
      <c r="C137" s="15" t="str">
        <f t="shared" si="80"/>
        <v>SW</v>
      </c>
      <c r="D137" s="15" t="str">
        <f t="shared" si="81"/>
        <v>W</v>
      </c>
      <c r="E137" s="15" t="str">
        <f t="shared" si="82"/>
        <v>W</v>
      </c>
      <c r="F137" s="15" t="str">
        <f t="shared" si="83"/>
        <v>W</v>
      </c>
      <c r="G137" s="15" t="str">
        <f t="shared" si="84"/>
        <v>W</v>
      </c>
      <c r="H137" s="15" t="str">
        <f t="shared" si="85"/>
        <v>W</v>
      </c>
      <c r="I137" s="15" t="str">
        <f t="shared" si="86"/>
        <v>W</v>
      </c>
      <c r="J137" s="15" t="str">
        <f t="shared" si="87"/>
        <v>W</v>
      </c>
      <c r="K137" s="15" t="str">
        <f t="shared" si="88"/>
        <v>S</v>
      </c>
      <c r="L137" s="15" t="str">
        <f t="shared" si="89"/>
        <v>SW</v>
      </c>
      <c r="M137" s="15" t="str">
        <f t="shared" si="90"/>
        <v>SW</v>
      </c>
      <c r="N137" s="15" t="str">
        <f t="shared" si="91"/>
        <v>SW</v>
      </c>
      <c r="O137" s="15" t="str">
        <f t="shared" si="92"/>
        <v>W</v>
      </c>
      <c r="Q137" t="str">
        <f t="shared" si="54"/>
        <v>NW</v>
      </c>
      <c r="R137" t="str">
        <f t="shared" si="55"/>
        <v>NW</v>
      </c>
      <c r="S137" t="str">
        <f t="shared" si="56"/>
        <v>NW</v>
      </c>
      <c r="T137" t="str">
        <f t="shared" si="57"/>
        <v>S</v>
      </c>
      <c r="U137" t="str">
        <f t="shared" si="58"/>
        <v>S</v>
      </c>
      <c r="V137" t="str">
        <f t="shared" si="59"/>
        <v>S</v>
      </c>
      <c r="W137" t="str">
        <f t="shared" si="60"/>
        <v>S</v>
      </c>
      <c r="X137" t="str">
        <f t="shared" si="61"/>
        <v>S</v>
      </c>
      <c r="Y137" t="str">
        <f t="shared" si="62"/>
        <v>S</v>
      </c>
      <c r="Z137" t="str">
        <f t="shared" si="63"/>
        <v>S</v>
      </c>
      <c r="AA137" t="str">
        <f t="shared" si="64"/>
        <v>S</v>
      </c>
      <c r="AB137" t="str">
        <f t="shared" si="66"/>
        <v>NW</v>
      </c>
      <c r="AC137" t="str">
        <f t="shared" si="65"/>
        <v>S</v>
      </c>
    </row>
    <row r="138" spans="1:29">
      <c r="A138" s="3" t="s">
        <v>151</v>
      </c>
      <c r="B138" s="1" t="s">
        <v>157</v>
      </c>
      <c r="C138" s="15" t="str">
        <f t="shared" si="80"/>
        <v>WNW</v>
      </c>
      <c r="D138" s="15" t="str">
        <f t="shared" si="81"/>
        <v>WNW</v>
      </c>
      <c r="E138" s="15" t="str">
        <f t="shared" si="82"/>
        <v>E</v>
      </c>
      <c r="F138" s="15" t="str">
        <f t="shared" si="83"/>
        <v>E</v>
      </c>
      <c r="G138" s="15" t="str">
        <f t="shared" si="84"/>
        <v>SW</v>
      </c>
      <c r="H138" s="15" t="str">
        <f t="shared" si="85"/>
        <v>SW</v>
      </c>
      <c r="I138" s="15" t="str">
        <f t="shared" si="86"/>
        <v>SW</v>
      </c>
      <c r="J138" s="15" t="str">
        <f t="shared" si="87"/>
        <v>SSW</v>
      </c>
      <c r="K138" s="15" t="str">
        <f t="shared" si="88"/>
        <v>ESE</v>
      </c>
      <c r="L138" s="15" t="str">
        <f t="shared" si="89"/>
        <v>ESE</v>
      </c>
      <c r="M138" s="15" t="str">
        <f t="shared" si="90"/>
        <v>SE</v>
      </c>
      <c r="N138" s="15" t="str">
        <f t="shared" si="91"/>
        <v>WNW</v>
      </c>
      <c r="O138" s="15" t="str">
        <f t="shared" si="92"/>
        <v>WNW</v>
      </c>
      <c r="Q138" t="str">
        <f t="shared" si="54"/>
        <v>N</v>
      </c>
      <c r="R138" t="str">
        <f t="shared" si="55"/>
        <v>N</v>
      </c>
      <c r="S138" t="str">
        <f t="shared" si="56"/>
        <v>SE</v>
      </c>
      <c r="T138" t="str">
        <f t="shared" si="57"/>
        <v>SE</v>
      </c>
      <c r="U138" t="str">
        <f t="shared" si="58"/>
        <v>SE</v>
      </c>
      <c r="V138" t="str">
        <f t="shared" si="59"/>
        <v>SW</v>
      </c>
      <c r="W138" t="str">
        <f t="shared" si="60"/>
        <v>W</v>
      </c>
      <c r="X138" t="str">
        <f t="shared" si="61"/>
        <v>SW</v>
      </c>
      <c r="Y138" t="str">
        <f t="shared" si="62"/>
        <v>NE</v>
      </c>
      <c r="Z138" t="str">
        <f t="shared" si="63"/>
        <v>NE</v>
      </c>
      <c r="AA138" t="str">
        <f t="shared" si="64"/>
        <v>N</v>
      </c>
      <c r="AB138" t="str">
        <f t="shared" si="66"/>
        <v>N</v>
      </c>
      <c r="AC138" t="str">
        <f t="shared" si="65"/>
        <v>N</v>
      </c>
    </row>
    <row r="139" spans="1:29">
      <c r="A139" s="3" t="s">
        <v>151</v>
      </c>
      <c r="B139" s="1" t="s">
        <v>158</v>
      </c>
      <c r="C139" s="15" t="str">
        <f t="shared" si="80"/>
        <v>SSW</v>
      </c>
      <c r="D139" s="15" t="str">
        <f t="shared" si="81"/>
        <v>SSW</v>
      </c>
      <c r="E139" s="15" t="str">
        <f t="shared" si="82"/>
        <v>WNW</v>
      </c>
      <c r="F139" s="15" t="str">
        <f t="shared" si="83"/>
        <v>WNW</v>
      </c>
      <c r="G139" s="15" t="str">
        <f t="shared" si="84"/>
        <v>ENE</v>
      </c>
      <c r="H139" s="15" t="str">
        <f t="shared" si="85"/>
        <v>SSW</v>
      </c>
      <c r="I139" s="15" t="str">
        <f t="shared" si="86"/>
        <v>SSW</v>
      </c>
      <c r="J139" s="15" t="str">
        <f t="shared" si="87"/>
        <v>SSW</v>
      </c>
      <c r="K139" s="15" t="str">
        <f t="shared" si="88"/>
        <v>SSW</v>
      </c>
      <c r="L139" s="15" t="str">
        <f t="shared" si="89"/>
        <v>SSW</v>
      </c>
      <c r="M139" s="15" t="str">
        <f t="shared" si="90"/>
        <v>SSW</v>
      </c>
      <c r="N139" s="15" t="str">
        <f t="shared" si="91"/>
        <v>SSW</v>
      </c>
      <c r="O139" s="15" t="str">
        <f t="shared" si="92"/>
        <v>SSW</v>
      </c>
      <c r="Q139" t="str">
        <f t="shared" si="54"/>
        <v>N</v>
      </c>
      <c r="R139" t="str">
        <f t="shared" si="55"/>
        <v>N</v>
      </c>
      <c r="S139" t="str">
        <f t="shared" si="56"/>
        <v>SE</v>
      </c>
      <c r="T139" t="str">
        <f t="shared" si="57"/>
        <v>SE</v>
      </c>
      <c r="U139" t="str">
        <f t="shared" si="58"/>
        <v>SE</v>
      </c>
      <c r="V139" t="str">
        <f t="shared" si="59"/>
        <v>E</v>
      </c>
      <c r="W139" t="str">
        <f t="shared" si="60"/>
        <v>SE</v>
      </c>
      <c r="X139" t="str">
        <f t="shared" si="61"/>
        <v>SE</v>
      </c>
      <c r="Y139" t="str">
        <f t="shared" si="62"/>
        <v>NE</v>
      </c>
      <c r="Z139" t="str">
        <f t="shared" si="63"/>
        <v>NE</v>
      </c>
      <c r="AA139" t="str">
        <f t="shared" si="64"/>
        <v>NW</v>
      </c>
      <c r="AB139" t="str">
        <f t="shared" si="66"/>
        <v>NW</v>
      </c>
      <c r="AC139" t="str">
        <f t="shared" si="65"/>
        <v>SE</v>
      </c>
    </row>
    <row r="140" spans="1:29">
      <c r="A140" s="3" t="s">
        <v>151</v>
      </c>
      <c r="B140" s="1" t="s">
        <v>159</v>
      </c>
      <c r="C140" s="15" t="str">
        <f t="shared" si="80"/>
        <v>SSW</v>
      </c>
      <c r="D140" s="15" t="str">
        <f t="shared" si="81"/>
        <v>N</v>
      </c>
      <c r="E140" s="15" t="str">
        <f t="shared" si="82"/>
        <v>N</v>
      </c>
      <c r="F140" s="15" t="str">
        <f t="shared" si="83"/>
        <v>N</v>
      </c>
      <c r="G140" s="15" t="str">
        <f t="shared" si="84"/>
        <v>N</v>
      </c>
      <c r="H140" s="15" t="str">
        <f t="shared" si="85"/>
        <v>S</v>
      </c>
      <c r="I140" s="15" t="str">
        <f t="shared" si="86"/>
        <v>SSW</v>
      </c>
      <c r="J140" s="15" t="str">
        <f t="shared" si="87"/>
        <v>SSW</v>
      </c>
      <c r="K140" s="15" t="str">
        <f t="shared" si="88"/>
        <v>S</v>
      </c>
      <c r="L140" s="15" t="str">
        <f t="shared" si="89"/>
        <v>S</v>
      </c>
      <c r="M140" s="15" t="str">
        <f t="shared" si="90"/>
        <v>SSW</v>
      </c>
      <c r="N140" s="15" t="str">
        <f t="shared" si="91"/>
        <v>SSW</v>
      </c>
      <c r="O140" s="15" t="str">
        <f t="shared" si="92"/>
        <v>S</v>
      </c>
      <c r="Q140" t="str">
        <f t="shared" si="54"/>
        <v>NW</v>
      </c>
      <c r="R140" t="str">
        <f t="shared" si="55"/>
        <v>N</v>
      </c>
      <c r="S140" t="str">
        <f t="shared" si="56"/>
        <v>SE</v>
      </c>
      <c r="T140" t="str">
        <f t="shared" si="57"/>
        <v>E</v>
      </c>
      <c r="U140" t="str">
        <f t="shared" si="58"/>
        <v>E</v>
      </c>
      <c r="V140" t="str">
        <f t="shared" si="59"/>
        <v>E</v>
      </c>
      <c r="W140" t="str">
        <f t="shared" si="60"/>
        <v>E</v>
      </c>
      <c r="X140" t="str">
        <f t="shared" si="61"/>
        <v>E</v>
      </c>
      <c r="Y140" t="str">
        <f t="shared" si="62"/>
        <v>E</v>
      </c>
      <c r="Z140" t="str">
        <f t="shared" si="63"/>
        <v>E</v>
      </c>
      <c r="AA140" t="str">
        <f t="shared" si="64"/>
        <v>N</v>
      </c>
      <c r="AB140" t="str">
        <f t="shared" si="66"/>
        <v>NW</v>
      </c>
      <c r="AC140" t="str">
        <f t="shared" si="65"/>
        <v>E</v>
      </c>
    </row>
    <row r="141" spans="1:29">
      <c r="A141" s="3" t="s">
        <v>151</v>
      </c>
      <c r="B141" s="1" t="s">
        <v>160</v>
      </c>
      <c r="C141" s="15" t="str">
        <f t="shared" si="80"/>
        <v>ESE</v>
      </c>
      <c r="D141" s="15" t="str">
        <f t="shared" si="81"/>
        <v>NW</v>
      </c>
      <c r="E141" s="15" t="str">
        <f t="shared" si="82"/>
        <v>NW</v>
      </c>
      <c r="F141" s="15" t="str">
        <f t="shared" si="83"/>
        <v>NW</v>
      </c>
      <c r="G141" s="15" t="str">
        <f t="shared" si="84"/>
        <v>WNW</v>
      </c>
      <c r="H141" s="15" t="str">
        <f t="shared" si="85"/>
        <v>WNW</v>
      </c>
      <c r="I141" s="15" t="str">
        <f t="shared" si="86"/>
        <v>WNW</v>
      </c>
      <c r="J141" s="15" t="str">
        <f t="shared" si="87"/>
        <v>WNW</v>
      </c>
      <c r="K141" s="15" t="str">
        <f t="shared" si="88"/>
        <v>NW</v>
      </c>
      <c r="L141" s="15" t="str">
        <f t="shared" si="89"/>
        <v>ESE</v>
      </c>
      <c r="M141" s="15" t="str">
        <f t="shared" si="90"/>
        <v>ESE</v>
      </c>
      <c r="N141" s="15" t="str">
        <f t="shared" si="91"/>
        <v>ESE</v>
      </c>
      <c r="O141" s="15" t="str">
        <f t="shared" si="92"/>
        <v>WNW</v>
      </c>
      <c r="Q141" t="str">
        <f t="shared" si="54"/>
        <v>E</v>
      </c>
      <c r="R141" t="str">
        <f t="shared" si="55"/>
        <v>E</v>
      </c>
      <c r="S141" t="str">
        <f t="shared" si="56"/>
        <v>SW</v>
      </c>
      <c r="T141" t="str">
        <f t="shared" si="57"/>
        <v>E</v>
      </c>
      <c r="U141" t="str">
        <f t="shared" si="58"/>
        <v>E</v>
      </c>
      <c r="V141" t="str">
        <f t="shared" si="59"/>
        <v>E</v>
      </c>
      <c r="W141" t="str">
        <f t="shared" si="60"/>
        <v>SE</v>
      </c>
      <c r="X141" t="str">
        <f t="shared" si="61"/>
        <v>E</v>
      </c>
      <c r="Y141" t="str">
        <f t="shared" si="62"/>
        <v>E</v>
      </c>
      <c r="Z141" t="str">
        <f t="shared" si="63"/>
        <v>NE</v>
      </c>
      <c r="AA141" t="str">
        <f t="shared" si="64"/>
        <v>NE</v>
      </c>
      <c r="AB141" t="str">
        <f t="shared" si="66"/>
        <v>NE</v>
      </c>
      <c r="AC141" t="str">
        <f t="shared" si="65"/>
        <v>E</v>
      </c>
    </row>
    <row r="142" spans="1:29">
      <c r="A142" s="3" t="s">
        <v>161</v>
      </c>
      <c r="B142" s="1" t="s">
        <v>162</v>
      </c>
      <c r="C142" s="15" t="str">
        <f t="shared" si="80"/>
        <v>WNW</v>
      </c>
      <c r="D142" s="15" t="str">
        <f t="shared" si="81"/>
        <v>NW</v>
      </c>
      <c r="E142" s="15" t="str">
        <f t="shared" si="82"/>
        <v>E</v>
      </c>
      <c r="F142" s="15" t="str">
        <f t="shared" si="83"/>
        <v>E</v>
      </c>
      <c r="G142" s="15" t="str">
        <f t="shared" si="84"/>
        <v>E</v>
      </c>
      <c r="H142" s="15" t="str">
        <f t="shared" si="85"/>
        <v>ESE</v>
      </c>
      <c r="I142" s="15" t="str">
        <f t="shared" si="86"/>
        <v>WNW</v>
      </c>
      <c r="J142" s="15" t="str">
        <f t="shared" si="87"/>
        <v>ESE</v>
      </c>
      <c r="K142" s="15" t="str">
        <f t="shared" si="88"/>
        <v>WNW</v>
      </c>
      <c r="L142" s="15" t="str">
        <f t="shared" si="89"/>
        <v>WNW</v>
      </c>
      <c r="M142" s="15" t="str">
        <f t="shared" si="90"/>
        <v>WNW</v>
      </c>
      <c r="N142" s="15" t="str">
        <f t="shared" si="91"/>
        <v>NW</v>
      </c>
      <c r="O142" s="15" t="str">
        <f t="shared" si="92"/>
        <v>WNW</v>
      </c>
      <c r="Q142" t="str">
        <f t="shared" si="54"/>
        <v>NW</v>
      </c>
      <c r="R142" t="str">
        <f t="shared" si="55"/>
        <v>NW</v>
      </c>
      <c r="S142" t="str">
        <f t="shared" si="56"/>
        <v>W</v>
      </c>
      <c r="T142" t="str">
        <f t="shared" si="57"/>
        <v>W</v>
      </c>
      <c r="U142" t="str">
        <f t="shared" si="58"/>
        <v>W</v>
      </c>
      <c r="V142" t="str">
        <f t="shared" si="59"/>
        <v>W</v>
      </c>
      <c r="W142" t="str">
        <f t="shared" si="60"/>
        <v>W</v>
      </c>
      <c r="X142" t="str">
        <f t="shared" si="61"/>
        <v>W</v>
      </c>
      <c r="Y142" t="str">
        <f t="shared" si="62"/>
        <v>SE</v>
      </c>
      <c r="Z142" t="str">
        <f t="shared" si="63"/>
        <v>SE</v>
      </c>
      <c r="AA142" t="str">
        <f t="shared" si="64"/>
        <v>E</v>
      </c>
      <c r="AB142" t="str">
        <f t="shared" si="66"/>
        <v>E</v>
      </c>
      <c r="AC142" t="str">
        <f t="shared" si="65"/>
        <v>W</v>
      </c>
    </row>
    <row r="143" spans="1:29">
      <c r="A143" s="3" t="s">
        <v>161</v>
      </c>
      <c r="B143" s="1" t="s">
        <v>163</v>
      </c>
      <c r="C143" s="15" t="str">
        <f t="shared" si="80"/>
        <v>WNW</v>
      </c>
      <c r="D143" s="15" t="str">
        <f t="shared" si="81"/>
        <v>WNW</v>
      </c>
      <c r="E143" s="15" t="str">
        <f t="shared" si="82"/>
        <v>WNW</v>
      </c>
      <c r="F143" s="15" t="str">
        <f t="shared" si="83"/>
        <v>WNW</v>
      </c>
      <c r="G143" s="15" t="str">
        <f t="shared" si="84"/>
        <v>WNW</v>
      </c>
      <c r="H143" s="15" t="str">
        <f t="shared" si="85"/>
        <v>WNW</v>
      </c>
      <c r="I143" s="15" t="str">
        <f t="shared" si="86"/>
        <v>ENE</v>
      </c>
      <c r="J143" s="15" t="str">
        <f t="shared" si="87"/>
        <v>ENE</v>
      </c>
      <c r="K143" s="15" t="str">
        <f t="shared" si="88"/>
        <v>S</v>
      </c>
      <c r="L143" s="15" t="str">
        <f t="shared" si="89"/>
        <v>S</v>
      </c>
      <c r="M143" s="15" t="str">
        <f t="shared" si="90"/>
        <v>S</v>
      </c>
      <c r="N143" s="15" t="str">
        <f t="shared" si="91"/>
        <v>S</v>
      </c>
      <c r="O143" s="15" t="str">
        <f t="shared" si="92"/>
        <v>WNW</v>
      </c>
      <c r="Q143" t="str">
        <f t="shared" si="54"/>
        <v>NW</v>
      </c>
      <c r="R143" t="str">
        <f t="shared" si="55"/>
        <v>NW</v>
      </c>
      <c r="S143" t="str">
        <f t="shared" si="56"/>
        <v>SW</v>
      </c>
      <c r="T143" t="str">
        <f t="shared" si="57"/>
        <v>SE</v>
      </c>
      <c r="U143" t="str">
        <f t="shared" si="58"/>
        <v>SE</v>
      </c>
      <c r="V143" t="str">
        <f t="shared" si="59"/>
        <v>SW</v>
      </c>
      <c r="W143" t="str">
        <f t="shared" si="60"/>
        <v>SW</v>
      </c>
      <c r="X143" t="str">
        <f t="shared" si="61"/>
        <v>SW</v>
      </c>
      <c r="Y143" t="str">
        <f t="shared" si="62"/>
        <v>NE</v>
      </c>
      <c r="Z143" t="str">
        <f t="shared" si="63"/>
        <v>NE</v>
      </c>
      <c r="AA143" t="str">
        <f t="shared" si="64"/>
        <v>NE</v>
      </c>
      <c r="AB143" t="str">
        <f t="shared" si="66"/>
        <v>NW</v>
      </c>
      <c r="AC143" t="str">
        <f t="shared" si="65"/>
        <v>SW</v>
      </c>
    </row>
    <row r="144" spans="1:29">
      <c r="A144" s="3" t="s">
        <v>161</v>
      </c>
      <c r="B144" s="1" t="s">
        <v>164</v>
      </c>
      <c r="C144" s="15" t="str">
        <f t="shared" si="80"/>
        <v>NW</v>
      </c>
      <c r="D144" s="15" t="str">
        <f t="shared" si="81"/>
        <v>NW</v>
      </c>
      <c r="E144" s="15" t="str">
        <f t="shared" si="82"/>
        <v>NW</v>
      </c>
      <c r="F144" s="15" t="str">
        <f t="shared" si="83"/>
        <v>N</v>
      </c>
      <c r="G144" s="15" t="str">
        <f t="shared" si="84"/>
        <v>ESE</v>
      </c>
      <c r="H144" s="15" t="str">
        <f t="shared" si="85"/>
        <v>ESE</v>
      </c>
      <c r="I144" s="15" t="str">
        <f t="shared" si="86"/>
        <v>S</v>
      </c>
      <c r="J144" s="15" t="str">
        <f t="shared" si="87"/>
        <v>S</v>
      </c>
      <c r="K144" s="15" t="str">
        <f t="shared" si="88"/>
        <v>S</v>
      </c>
      <c r="L144" s="15" t="str">
        <f t="shared" si="89"/>
        <v>NW</v>
      </c>
      <c r="M144" s="15" t="str">
        <f t="shared" si="90"/>
        <v>NW</v>
      </c>
      <c r="N144" s="15" t="str">
        <f t="shared" si="91"/>
        <v>NW</v>
      </c>
      <c r="O144" s="15" t="str">
        <f t="shared" si="92"/>
        <v>NW</v>
      </c>
      <c r="Q144" t="str">
        <f t="shared" si="54"/>
        <v>NE</v>
      </c>
      <c r="R144" t="str">
        <f t="shared" si="55"/>
        <v>NE</v>
      </c>
      <c r="S144" t="str">
        <f t="shared" si="56"/>
        <v>NE</v>
      </c>
      <c r="T144" t="str">
        <f t="shared" si="57"/>
        <v>NE</v>
      </c>
      <c r="U144" t="str">
        <f t="shared" si="58"/>
        <v>SE</v>
      </c>
      <c r="V144" t="str">
        <f t="shared" si="59"/>
        <v>SE</v>
      </c>
      <c r="W144" t="str">
        <f t="shared" si="60"/>
        <v>SE</v>
      </c>
      <c r="X144" t="str">
        <f t="shared" si="61"/>
        <v>SE</v>
      </c>
      <c r="Y144" t="str">
        <f t="shared" si="62"/>
        <v>SE</v>
      </c>
      <c r="Z144" t="str">
        <f t="shared" si="63"/>
        <v>SE</v>
      </c>
      <c r="AA144" t="str">
        <f t="shared" si="64"/>
        <v>SE</v>
      </c>
      <c r="AB144" t="str">
        <f t="shared" si="66"/>
        <v>SE</v>
      </c>
      <c r="AC144" t="str">
        <f t="shared" si="65"/>
        <v>SE</v>
      </c>
    </row>
    <row r="145" spans="1:29">
      <c r="A145" s="3" t="s">
        <v>161</v>
      </c>
      <c r="B145" s="1" t="s">
        <v>165</v>
      </c>
      <c r="C145" s="15" t="str">
        <f t="shared" si="80"/>
        <v>NW</v>
      </c>
      <c r="D145" s="15" t="str">
        <f t="shared" si="81"/>
        <v>NW</v>
      </c>
      <c r="E145" s="15" t="str">
        <f t="shared" si="82"/>
        <v>NW</v>
      </c>
      <c r="F145" s="15" t="str">
        <f t="shared" si="83"/>
        <v>NW</v>
      </c>
      <c r="G145" s="15" t="str">
        <f t="shared" si="84"/>
        <v>NW</v>
      </c>
      <c r="H145" s="15" t="str">
        <f t="shared" si="85"/>
        <v>NW</v>
      </c>
      <c r="I145" s="15" t="str">
        <f t="shared" si="86"/>
        <v>NW</v>
      </c>
      <c r="J145" s="15" t="str">
        <f t="shared" si="87"/>
        <v>NW</v>
      </c>
      <c r="K145" s="15" t="str">
        <f t="shared" si="88"/>
        <v>NW</v>
      </c>
      <c r="L145" s="15" t="str">
        <f t="shared" si="89"/>
        <v>NW</v>
      </c>
      <c r="M145" s="15" t="str">
        <f t="shared" si="90"/>
        <v>NW</v>
      </c>
      <c r="N145" s="15" t="str">
        <f t="shared" si="91"/>
        <v>NW</v>
      </c>
      <c r="O145" s="15" t="str">
        <f t="shared" si="92"/>
        <v>NW</v>
      </c>
      <c r="Q145" t="str">
        <f t="shared" si="54"/>
        <v>NW</v>
      </c>
      <c r="R145" t="str">
        <f t="shared" si="55"/>
        <v>NW</v>
      </c>
      <c r="S145" t="str">
        <f t="shared" si="56"/>
        <v>SE</v>
      </c>
      <c r="T145" t="str">
        <f t="shared" si="57"/>
        <v>SE</v>
      </c>
      <c r="U145" t="str">
        <f t="shared" si="58"/>
        <v>SE</v>
      </c>
      <c r="V145" t="str">
        <f t="shared" si="59"/>
        <v>SE</v>
      </c>
      <c r="W145" t="str">
        <f t="shared" si="60"/>
        <v>SE</v>
      </c>
      <c r="X145" t="str">
        <f t="shared" si="61"/>
        <v>SE</v>
      </c>
      <c r="Y145" t="str">
        <f t="shared" si="62"/>
        <v>E</v>
      </c>
      <c r="Z145" t="str">
        <f t="shared" si="63"/>
        <v>NE</v>
      </c>
      <c r="AA145" t="str">
        <f t="shared" si="64"/>
        <v>E</v>
      </c>
      <c r="AB145" t="str">
        <f t="shared" si="66"/>
        <v>NW</v>
      </c>
      <c r="AC145" t="str">
        <f t="shared" si="65"/>
        <v>SE</v>
      </c>
    </row>
    <row r="146" spans="1:29">
      <c r="A146" s="3" t="s">
        <v>161</v>
      </c>
      <c r="B146" s="1" t="s">
        <v>166</v>
      </c>
      <c r="C146" s="15" t="str">
        <f t="shared" si="80"/>
        <v>NW</v>
      </c>
      <c r="D146" s="15" t="str">
        <f t="shared" si="81"/>
        <v>NW</v>
      </c>
      <c r="E146" s="15" t="str">
        <f t="shared" si="82"/>
        <v>NW</v>
      </c>
      <c r="F146" s="15" t="str">
        <f t="shared" si="83"/>
        <v>NW</v>
      </c>
      <c r="G146" s="15" t="str">
        <f t="shared" si="84"/>
        <v>S</v>
      </c>
      <c r="H146" s="15" t="str">
        <f t="shared" si="85"/>
        <v>S</v>
      </c>
      <c r="I146" s="15" t="str">
        <f t="shared" si="86"/>
        <v>S</v>
      </c>
      <c r="J146" s="15" t="str">
        <f t="shared" si="87"/>
        <v>S</v>
      </c>
      <c r="K146" s="15" t="str">
        <f t="shared" si="88"/>
        <v>S</v>
      </c>
      <c r="L146" s="15" t="str">
        <f t="shared" si="89"/>
        <v>NW</v>
      </c>
      <c r="M146" s="15" t="str">
        <f t="shared" si="90"/>
        <v>NW</v>
      </c>
      <c r="N146" s="15" t="str">
        <f t="shared" si="91"/>
        <v>NW</v>
      </c>
      <c r="O146" s="15" t="str">
        <f t="shared" si="92"/>
        <v>NW</v>
      </c>
      <c r="Q146" t="str">
        <f t="shared" si="54"/>
        <v>N</v>
      </c>
      <c r="R146" t="str">
        <f t="shared" si="55"/>
        <v>N</v>
      </c>
      <c r="S146" t="str">
        <f t="shared" si="56"/>
        <v>N</v>
      </c>
      <c r="T146" t="str">
        <f t="shared" si="57"/>
        <v>N</v>
      </c>
      <c r="U146" t="str">
        <f t="shared" si="58"/>
        <v>N</v>
      </c>
      <c r="V146" t="str">
        <f t="shared" si="59"/>
        <v>N</v>
      </c>
      <c r="W146" t="str">
        <f t="shared" si="60"/>
        <v>N</v>
      </c>
      <c r="X146" t="str">
        <f t="shared" si="61"/>
        <v>N</v>
      </c>
      <c r="Y146" t="str">
        <f t="shared" si="62"/>
        <v>S</v>
      </c>
      <c r="Z146" t="str">
        <f t="shared" si="63"/>
        <v>S</v>
      </c>
      <c r="AA146" t="str">
        <f t="shared" si="64"/>
        <v>S</v>
      </c>
      <c r="AB146" t="str">
        <f t="shared" si="66"/>
        <v>S</v>
      </c>
      <c r="AC146" t="str">
        <f t="shared" si="65"/>
        <v>N</v>
      </c>
    </row>
    <row r="147" spans="1:29">
      <c r="A147" s="1" t="s">
        <v>167</v>
      </c>
      <c r="B147" s="1" t="s">
        <v>168</v>
      </c>
      <c r="C147" s="15" t="str">
        <f t="shared" si="80"/>
        <v>N</v>
      </c>
      <c r="D147" s="15" t="str">
        <f t="shared" si="81"/>
        <v>N</v>
      </c>
      <c r="E147" s="15" t="str">
        <f t="shared" si="82"/>
        <v>SSE</v>
      </c>
      <c r="F147" s="15" t="str">
        <f t="shared" si="83"/>
        <v>SSE</v>
      </c>
      <c r="G147" s="15" t="str">
        <f t="shared" si="84"/>
        <v>SSE</v>
      </c>
      <c r="H147" s="15" t="str">
        <f t="shared" si="85"/>
        <v>SSW</v>
      </c>
      <c r="I147" s="15" t="str">
        <f t="shared" si="86"/>
        <v>SSW</v>
      </c>
      <c r="J147" s="15" t="str">
        <f t="shared" si="87"/>
        <v>N</v>
      </c>
      <c r="K147" s="15" t="str">
        <f t="shared" si="88"/>
        <v>NNE</v>
      </c>
      <c r="L147" s="15" t="str">
        <f t="shared" si="89"/>
        <v>NNE</v>
      </c>
      <c r="M147" s="15" t="str">
        <f t="shared" si="90"/>
        <v>N</v>
      </c>
      <c r="N147" s="15" t="str">
        <f t="shared" si="91"/>
        <v>N</v>
      </c>
      <c r="O147" s="15" t="str">
        <f t="shared" si="92"/>
        <v>N</v>
      </c>
      <c r="Q147" t="str">
        <f t="shared" si="54"/>
        <v>N</v>
      </c>
      <c r="R147" t="str">
        <f t="shared" si="55"/>
        <v>N</v>
      </c>
      <c r="S147" t="str">
        <f t="shared" si="56"/>
        <v>SE</v>
      </c>
      <c r="T147" t="str">
        <f t="shared" si="57"/>
        <v>S</v>
      </c>
      <c r="U147" t="str">
        <f t="shared" si="58"/>
        <v>S</v>
      </c>
      <c r="V147" t="str">
        <f t="shared" si="59"/>
        <v>SW</v>
      </c>
      <c r="W147" t="str">
        <f t="shared" si="60"/>
        <v>SW</v>
      </c>
      <c r="X147" t="str">
        <f t="shared" si="61"/>
        <v>E</v>
      </c>
      <c r="Y147" t="str">
        <f t="shared" si="62"/>
        <v>NE</v>
      </c>
      <c r="Z147" t="str">
        <f t="shared" si="63"/>
        <v>N</v>
      </c>
      <c r="AA147" t="str">
        <f t="shared" si="64"/>
        <v>N</v>
      </c>
      <c r="AB147" t="str">
        <f t="shared" si="66"/>
        <v>N</v>
      </c>
      <c r="AC147" t="str">
        <f t="shared" si="65"/>
        <v>N</v>
      </c>
    </row>
    <row r="148" spans="1:29">
      <c r="A148" s="1" t="s">
        <v>167</v>
      </c>
      <c r="B148" s="1" t="s">
        <v>128</v>
      </c>
      <c r="C148" s="15" t="str">
        <f t="shared" si="80"/>
        <v>SW</v>
      </c>
      <c r="D148" s="15" t="str">
        <f t="shared" si="81"/>
        <v>SW</v>
      </c>
      <c r="E148" s="15" t="str">
        <f t="shared" si="82"/>
        <v>S</v>
      </c>
      <c r="F148" s="15" t="str">
        <f t="shared" si="83"/>
        <v>S</v>
      </c>
      <c r="G148" s="15" t="str">
        <f t="shared" si="84"/>
        <v>S</v>
      </c>
      <c r="H148" s="15" t="str">
        <f t="shared" si="85"/>
        <v>S</v>
      </c>
      <c r="I148" s="15" t="str">
        <f t="shared" si="86"/>
        <v>S</v>
      </c>
      <c r="J148" s="15" t="str">
        <f t="shared" si="87"/>
        <v>S</v>
      </c>
      <c r="K148" s="15" t="str">
        <f t="shared" si="88"/>
        <v>S</v>
      </c>
      <c r="L148" s="15" t="str">
        <f t="shared" si="89"/>
        <v>S</v>
      </c>
      <c r="M148" s="15" t="str">
        <f t="shared" si="90"/>
        <v>S</v>
      </c>
      <c r="N148" s="15" t="str">
        <f t="shared" si="91"/>
        <v>S</v>
      </c>
      <c r="O148" s="15" t="str">
        <f t="shared" si="92"/>
        <v>S</v>
      </c>
      <c r="Q148" t="str">
        <f t="shared" si="54"/>
        <v>N</v>
      </c>
      <c r="R148" t="str">
        <f t="shared" si="55"/>
        <v>N</v>
      </c>
      <c r="S148" t="str">
        <f t="shared" si="56"/>
        <v>N</v>
      </c>
      <c r="T148" t="str">
        <f t="shared" si="57"/>
        <v>N</v>
      </c>
      <c r="U148" t="str">
        <f t="shared" si="58"/>
        <v>N</v>
      </c>
      <c r="V148" t="str">
        <f t="shared" si="59"/>
        <v>N</v>
      </c>
      <c r="W148" t="str">
        <f t="shared" si="60"/>
        <v>SE</v>
      </c>
      <c r="X148" t="str">
        <f t="shared" si="61"/>
        <v>SE</v>
      </c>
      <c r="Y148" t="str">
        <f t="shared" si="62"/>
        <v>SE</v>
      </c>
      <c r="Z148" t="str">
        <f t="shared" si="63"/>
        <v>SE</v>
      </c>
      <c r="AA148" t="str">
        <f t="shared" si="64"/>
        <v>SE</v>
      </c>
      <c r="AB148" t="str">
        <f t="shared" si="66"/>
        <v>SE</v>
      </c>
      <c r="AC148" t="str">
        <f t="shared" si="65"/>
        <v>N</v>
      </c>
    </row>
    <row r="149" spans="1:29">
      <c r="A149" s="1" t="s">
        <v>167</v>
      </c>
      <c r="B149" s="1" t="s">
        <v>169</v>
      </c>
      <c r="C149" s="15" t="str">
        <f t="shared" si="80"/>
        <v>S</v>
      </c>
      <c r="D149" s="15" t="str">
        <f t="shared" si="81"/>
        <v>S</v>
      </c>
      <c r="E149" s="15" t="str">
        <f t="shared" si="82"/>
        <v>S</v>
      </c>
      <c r="F149" s="15" t="str">
        <f t="shared" si="83"/>
        <v>S</v>
      </c>
      <c r="G149" s="15" t="str">
        <f t="shared" si="84"/>
        <v>S</v>
      </c>
      <c r="H149" s="15" t="str">
        <f t="shared" si="85"/>
        <v>S</v>
      </c>
      <c r="I149" s="15" t="str">
        <f t="shared" si="86"/>
        <v>S</v>
      </c>
      <c r="J149" s="15" t="str">
        <f t="shared" si="87"/>
        <v>S</v>
      </c>
      <c r="K149" s="15" t="str">
        <f t="shared" si="88"/>
        <v>N</v>
      </c>
      <c r="L149" s="15" t="str">
        <f t="shared" si="89"/>
        <v>N</v>
      </c>
      <c r="M149" s="15" t="str">
        <f t="shared" si="90"/>
        <v>S</v>
      </c>
      <c r="N149" s="15" t="str">
        <f t="shared" si="91"/>
        <v>S</v>
      </c>
      <c r="O149" s="15" t="str">
        <f t="shared" si="92"/>
        <v>S</v>
      </c>
      <c r="Q149" t="str">
        <f t="shared" si="54"/>
        <v>N</v>
      </c>
      <c r="R149" t="str">
        <f t="shared" si="55"/>
        <v>N</v>
      </c>
      <c r="S149" t="str">
        <f t="shared" si="56"/>
        <v>S</v>
      </c>
      <c r="T149" t="str">
        <f t="shared" si="57"/>
        <v>S</v>
      </c>
      <c r="U149" t="str">
        <f t="shared" si="58"/>
        <v>S</v>
      </c>
      <c r="V149" t="str">
        <f t="shared" si="59"/>
        <v>N</v>
      </c>
      <c r="W149" t="str">
        <f t="shared" si="60"/>
        <v>S</v>
      </c>
      <c r="X149" t="str">
        <f t="shared" si="61"/>
        <v>N</v>
      </c>
      <c r="Y149" t="str">
        <f t="shared" si="62"/>
        <v>NE</v>
      </c>
      <c r="Z149" t="str">
        <f t="shared" si="63"/>
        <v>N</v>
      </c>
      <c r="AA149" t="str">
        <f t="shared" si="64"/>
        <v>N</v>
      </c>
      <c r="AB149" t="str">
        <f t="shared" si="66"/>
        <v>N</v>
      </c>
      <c r="AC149" t="str">
        <f t="shared" si="65"/>
        <v>N</v>
      </c>
    </row>
    <row r="150" spans="1:29">
      <c r="A150" s="1" t="s">
        <v>167</v>
      </c>
      <c r="B150" s="1" t="s">
        <v>170</v>
      </c>
      <c r="C150" s="15" t="str">
        <f t="shared" si="80"/>
        <v>N</v>
      </c>
      <c r="D150" s="15" t="str">
        <f t="shared" si="81"/>
        <v>N</v>
      </c>
      <c r="E150" s="15" t="str">
        <f t="shared" si="82"/>
        <v>N</v>
      </c>
      <c r="F150" s="15" t="str">
        <f t="shared" si="83"/>
        <v>N</v>
      </c>
      <c r="G150" s="15" t="str">
        <f t="shared" si="84"/>
        <v>S</v>
      </c>
      <c r="H150" s="15" t="str">
        <f t="shared" si="85"/>
        <v>S</v>
      </c>
      <c r="I150" s="15" t="str">
        <f t="shared" si="86"/>
        <v>S</v>
      </c>
      <c r="J150" s="15" t="str">
        <f t="shared" si="87"/>
        <v>S</v>
      </c>
      <c r="K150" s="15" t="str">
        <f t="shared" si="88"/>
        <v>S</v>
      </c>
      <c r="L150" s="15" t="str">
        <f t="shared" si="89"/>
        <v>S</v>
      </c>
      <c r="M150" s="15" t="str">
        <f t="shared" si="90"/>
        <v>S</v>
      </c>
      <c r="N150" s="15" t="str">
        <f t="shared" si="91"/>
        <v>S</v>
      </c>
      <c r="O150" s="15" t="str">
        <f t="shared" si="92"/>
        <v>S</v>
      </c>
      <c r="Q150" t="str">
        <f t="shared" si="54"/>
        <v>NE</v>
      </c>
      <c r="R150" t="str">
        <f t="shared" si="55"/>
        <v>NE</v>
      </c>
      <c r="S150" t="str">
        <f t="shared" si="56"/>
        <v>NE</v>
      </c>
      <c r="T150" t="str">
        <f t="shared" si="57"/>
        <v>NE</v>
      </c>
      <c r="U150" t="str">
        <f t="shared" si="58"/>
        <v>E</v>
      </c>
      <c r="V150" t="str">
        <f t="shared" si="59"/>
        <v>E</v>
      </c>
      <c r="W150" t="str">
        <f t="shared" si="60"/>
        <v>E</v>
      </c>
      <c r="X150" t="str">
        <f t="shared" si="61"/>
        <v>E</v>
      </c>
      <c r="Y150" t="str">
        <f t="shared" si="62"/>
        <v>E</v>
      </c>
      <c r="Z150" t="str">
        <f t="shared" si="63"/>
        <v>E</v>
      </c>
      <c r="AA150" t="str">
        <f t="shared" si="64"/>
        <v>W</v>
      </c>
      <c r="AB150" t="str">
        <f t="shared" si="66"/>
        <v>W</v>
      </c>
      <c r="AC150" t="str">
        <f t="shared" si="65"/>
        <v>E</v>
      </c>
    </row>
    <row r="151" spans="1:29">
      <c r="A151" s="2" t="s">
        <v>171</v>
      </c>
      <c r="B151" s="2" t="s">
        <v>172</v>
      </c>
      <c r="C151" s="15" t="str">
        <f t="shared" si="80"/>
        <v>WNW</v>
      </c>
      <c r="D151" s="15" t="str">
        <f t="shared" si="81"/>
        <v>WNW</v>
      </c>
      <c r="E151" s="15" t="str">
        <f t="shared" si="82"/>
        <v>WNW</v>
      </c>
      <c r="F151" s="15" t="str">
        <f t="shared" si="83"/>
        <v>S</v>
      </c>
      <c r="G151" s="15" t="str">
        <f t="shared" si="84"/>
        <v>S</v>
      </c>
      <c r="H151" s="15" t="str">
        <f t="shared" si="85"/>
        <v>S</v>
      </c>
      <c r="I151" s="15" t="str">
        <f t="shared" si="86"/>
        <v>S</v>
      </c>
      <c r="J151" s="15" t="str">
        <f t="shared" si="87"/>
        <v>S</v>
      </c>
      <c r="K151" s="15" t="str">
        <f t="shared" si="88"/>
        <v>S</v>
      </c>
      <c r="L151" s="15" t="str">
        <f t="shared" si="89"/>
        <v>S</v>
      </c>
      <c r="M151" s="15" t="str">
        <f t="shared" si="90"/>
        <v>S</v>
      </c>
      <c r="N151" s="15" t="str">
        <f t="shared" si="91"/>
        <v>WNW</v>
      </c>
      <c r="O151" s="15" t="str">
        <f t="shared" si="92"/>
        <v>S</v>
      </c>
      <c r="Q151" t="str">
        <f t="shared" ref="Q151:Q214" si="93">IF(OR(C70="ESE",C70="SSE"),"SE",IF(OR(C70="WSW",C70="SSW"),"SW",IF(OR(C70="WNW",C70="NNW"),"NW",IF(OR(C70="ENE",C70="NNE"),"NE",IF(OR(C70="N",C70="NE",C70="E",C70="SE",C70="S",C70="SW",C70="W",C70="NW"),C70)))))</f>
        <v>N</v>
      </c>
      <c r="R151" t="str">
        <f t="shared" ref="R151:R214" si="94">IF(OR(D70="ESE",D70="SSE"),"SE",IF(OR(D70="WSW",D70="SSW"),"SW",IF(OR(D70="WNW",D70="NNW"),"NW",IF(OR(D70="ENE",D70="NNE"),"NE",IF(OR(D70="N",D70="NE",D70="E",D70="SE",D70="S",D70="SW",D70="W",D70="NW"),D70)))))</f>
        <v>N</v>
      </c>
      <c r="S151" t="str">
        <f t="shared" ref="S151:S214" si="95">IF(OR(E70="ESE",E70="SSE"),"SE",IF(OR(E70="WSW",E70="SSW"),"SW",IF(OR(E70="WNW",E70="NNW"),"NW",IF(OR(E70="ENE",E70="NNE"),"NE",IF(OR(E70="N",E70="NE",E70="E",E70="SE",E70="S",E70="SW",E70="W",E70="NW"),E70)))))</f>
        <v>SE</v>
      </c>
      <c r="T151" t="str">
        <f t="shared" ref="T151:T214" si="96">IF(OR(F70="ESE",F70="SSE"),"SE",IF(OR(F70="WSW",F70="SSW"),"SW",IF(OR(F70="WNW",F70="NNW"),"NW",IF(OR(F70="ENE",F70="NNE"),"NE",IF(OR(F70="N",F70="NE",F70="E",F70="SE",F70="S",F70="SW",F70="W",F70="NW"),F70)))))</f>
        <v>SE</v>
      </c>
      <c r="U151" t="str">
        <f t="shared" ref="U151:U214" si="97">IF(OR(G70="ESE",G70="SSE"),"SE",IF(OR(G70="WSW",G70="SSW"),"SW",IF(OR(G70="WNW",G70="NNW"),"NW",IF(OR(G70="ENE",G70="NNE"),"NE",IF(OR(G70="N",G70="NE",G70="E",G70="SE",G70="S",G70="SW",G70="W",G70="NW"),G70)))))</f>
        <v>SE</v>
      </c>
      <c r="V151" t="str">
        <f t="shared" ref="V151:V214" si="98">IF(OR(H70="ESE",H70="SSE"),"SE",IF(OR(H70="WSW",H70="SSW"),"SW",IF(OR(H70="WNW",H70="NNW"),"NW",IF(OR(H70="ENE",H70="NNE"),"NE",IF(OR(H70="N",H70="NE",H70="E",H70="SE",H70="S",H70="SW",H70="W",H70="NW"),H70)))))</f>
        <v>SE</v>
      </c>
      <c r="W151" t="str">
        <f t="shared" ref="W151:W214" si="99">IF(OR(I70="ESE",I70="SSE"),"SE",IF(OR(I70="WSW",I70="SSW"),"SW",IF(OR(I70="WNW",I70="NNW"),"NW",IF(OR(I70="ENE",I70="NNE"),"NE",IF(OR(I70="N",I70="NE",I70="E",I70="SE",I70="S",I70="SW",I70="W",I70="NW"),I70)))))</f>
        <v>SE</v>
      </c>
      <c r="X151" t="str">
        <f t="shared" ref="X151:X214" si="100">IF(OR(J70="ESE",J70="SSE"),"SE",IF(OR(J70="WSW",J70="SSW"),"SW",IF(OR(J70="WNW",J70="NNW"),"NW",IF(OR(J70="ENE",J70="NNE"),"NE",IF(OR(J70="N",J70="NE",J70="E",J70="SE",J70="S",J70="SW",J70="W",J70="NW"),J70)))))</f>
        <v>SE</v>
      </c>
      <c r="Y151" t="str">
        <f t="shared" ref="Y151:Y214" si="101">IF(OR(K70="ESE",K70="SSE"),"SE",IF(OR(K70="WSW",K70="SSW"),"SW",IF(OR(K70="WNW",K70="NNW"),"NW",IF(OR(K70="ENE",K70="NNE"),"NE",IF(OR(K70="N",K70="NE",K70="E",K70="SE",K70="S",K70="SW",K70="W",K70="NW"),K70)))))</f>
        <v>NE</v>
      </c>
      <c r="Z151" t="str">
        <f t="shared" ref="Z151:Z214" si="102">IF(OR(L70="ESE",L70="SSE"),"SE",IF(OR(L70="WSW",L70="SSW"),"SW",IF(OR(L70="WNW",L70="NNW"),"NW",IF(OR(L70="ENE",L70="NNE"),"NE",IF(OR(L70="N",L70="NE",L70="E",L70="SE",L70="S",L70="SW",L70="W",L70="NW"),L70)))))</f>
        <v>NE</v>
      </c>
      <c r="AA151" t="str">
        <f t="shared" ref="AA151:AA214" si="103">IF(OR(M70="ESE",M70="SSE"),"SE",IF(OR(M70="WSW",M70="SSW"),"SW",IF(OR(M70="WNW",M70="NNW"),"NW",IF(OR(M70="ENE",M70="NNE"),"NE",IF(OR(M70="N",M70="NE",M70="E",M70="SE",M70="S",M70="SW",M70="W",M70="NW"),M70)))))</f>
        <v>SE</v>
      </c>
      <c r="AB151" t="str">
        <f t="shared" si="66"/>
        <v>NW</v>
      </c>
      <c r="AC151" t="str">
        <f t="shared" ref="AC151:AC214" si="104">IF(OR(O70="ESE",O70="SSE"),"SE",IF(OR(O70="WSW",O70="SSW"),"SW",IF(OR(O70="WNW",O70="NNW"),"NW",IF(OR(O70="ENE",O70="NNE"),"NE",IF(OR(O70="N",O70="NE",O70="E",O70="SE",O70="S",O70="SW",O70="W",O70="NW"),O70)))))</f>
        <v>SE</v>
      </c>
    </row>
    <row r="152" spans="1:29" ht="22.8">
      <c r="A152" s="2" t="s">
        <v>171</v>
      </c>
      <c r="B152" s="2" t="s">
        <v>173</v>
      </c>
      <c r="C152" s="15" t="str">
        <f t="shared" si="80"/>
        <v>SSW</v>
      </c>
      <c r="D152" s="15" t="str">
        <f t="shared" si="81"/>
        <v>SSW</v>
      </c>
      <c r="E152" s="15" t="str">
        <f t="shared" si="82"/>
        <v>S</v>
      </c>
      <c r="F152" s="15" t="str">
        <f t="shared" si="83"/>
        <v>S</v>
      </c>
      <c r="G152" s="15" t="str">
        <f t="shared" si="84"/>
        <v>S</v>
      </c>
      <c r="H152" s="15" t="str">
        <f t="shared" si="85"/>
        <v>S</v>
      </c>
      <c r="I152" s="15" t="str">
        <f t="shared" si="86"/>
        <v>S</v>
      </c>
      <c r="J152" s="15" t="str">
        <f t="shared" si="87"/>
        <v>S</v>
      </c>
      <c r="K152" s="15" t="str">
        <f t="shared" si="88"/>
        <v>S</v>
      </c>
      <c r="L152" s="15" t="str">
        <f t="shared" si="89"/>
        <v>S</v>
      </c>
      <c r="M152" s="15" t="str">
        <f t="shared" si="90"/>
        <v>S</v>
      </c>
      <c r="N152" s="15" t="str">
        <f t="shared" si="91"/>
        <v>S</v>
      </c>
      <c r="O152" s="15" t="str">
        <f t="shared" si="92"/>
        <v>S</v>
      </c>
      <c r="Q152" t="str">
        <f t="shared" si="93"/>
        <v>NW</v>
      </c>
      <c r="R152" t="str">
        <f t="shared" si="94"/>
        <v>NW</v>
      </c>
      <c r="S152" t="str">
        <f t="shared" si="95"/>
        <v>NW</v>
      </c>
      <c r="T152" t="str">
        <f t="shared" si="96"/>
        <v>NW</v>
      </c>
      <c r="U152" t="str">
        <f t="shared" si="97"/>
        <v>SE</v>
      </c>
      <c r="V152" t="str">
        <f t="shared" si="98"/>
        <v>SE</v>
      </c>
      <c r="W152" t="str">
        <f t="shared" si="99"/>
        <v>SE</v>
      </c>
      <c r="X152" t="str">
        <f t="shared" si="100"/>
        <v>SE</v>
      </c>
      <c r="Y152" t="str">
        <f t="shared" si="101"/>
        <v>SE</v>
      </c>
      <c r="Z152" t="str">
        <f t="shared" si="102"/>
        <v>SE</v>
      </c>
      <c r="AA152" t="str">
        <f t="shared" si="103"/>
        <v>SE</v>
      </c>
      <c r="AB152" t="str">
        <f t="shared" ref="AB152:AB215" si="105">IF(OR(N71="ESE",N71="SSE"),"SE",IF(OR(N71="WSW",N71="SSW"),"SW",IF(OR(N71="WNW",N71="NNW"),"NW",IF(OR(N71="ENE",N71="NNE"),"NE",IF(OR(N71="N",N71="NE",N71="E",N71="SE",N71="S",N71="SW",N71="W",N71="NW"),N71)))))</f>
        <v>SE</v>
      </c>
      <c r="AC152" t="str">
        <f t="shared" si="104"/>
        <v>SE</v>
      </c>
    </row>
    <row r="153" spans="1:29">
      <c r="A153" s="2" t="s">
        <v>171</v>
      </c>
      <c r="B153" s="2" t="s">
        <v>174</v>
      </c>
      <c r="C153" s="15" t="str">
        <f t="shared" si="80"/>
        <v>WNW</v>
      </c>
      <c r="D153" s="15" t="str">
        <f t="shared" si="81"/>
        <v>WNW</v>
      </c>
      <c r="E153" s="15" t="str">
        <f t="shared" si="82"/>
        <v>WNW</v>
      </c>
      <c r="F153" s="15" t="str">
        <f t="shared" si="83"/>
        <v>WNW</v>
      </c>
      <c r="G153" s="15" t="str">
        <f t="shared" si="84"/>
        <v>S</v>
      </c>
      <c r="H153" s="15" t="str">
        <f t="shared" si="85"/>
        <v>S</v>
      </c>
      <c r="I153" s="15" t="str">
        <f t="shared" si="86"/>
        <v>S</v>
      </c>
      <c r="J153" s="15" t="str">
        <f t="shared" si="87"/>
        <v>S</v>
      </c>
      <c r="K153" s="15" t="str">
        <f t="shared" si="88"/>
        <v>S</v>
      </c>
      <c r="L153" s="15" t="str">
        <f t="shared" si="89"/>
        <v>SSE</v>
      </c>
      <c r="M153" s="15" t="str">
        <f t="shared" si="90"/>
        <v>WNW</v>
      </c>
      <c r="N153" s="15" t="str">
        <f t="shared" si="91"/>
        <v>WNW</v>
      </c>
      <c r="O153" s="15" t="str">
        <f t="shared" si="92"/>
        <v>WNW</v>
      </c>
      <c r="Q153" t="str">
        <f t="shared" si="93"/>
        <v>NW</v>
      </c>
      <c r="R153" t="str">
        <f t="shared" si="94"/>
        <v>NW</v>
      </c>
      <c r="S153" t="str">
        <f t="shared" si="95"/>
        <v>NW</v>
      </c>
      <c r="T153" t="str">
        <f t="shared" si="96"/>
        <v>NW</v>
      </c>
      <c r="U153" t="str">
        <f t="shared" si="97"/>
        <v>S</v>
      </c>
      <c r="V153" t="str">
        <f t="shared" si="98"/>
        <v>S</v>
      </c>
      <c r="W153" t="str">
        <f t="shared" si="99"/>
        <v>S</v>
      </c>
      <c r="X153" t="str">
        <f t="shared" si="100"/>
        <v>S</v>
      </c>
      <c r="Y153" t="str">
        <f t="shared" si="101"/>
        <v>S</v>
      </c>
      <c r="Z153" t="str">
        <f t="shared" si="102"/>
        <v>S</v>
      </c>
      <c r="AA153" t="str">
        <f t="shared" si="103"/>
        <v>S</v>
      </c>
      <c r="AB153" t="str">
        <f t="shared" si="105"/>
        <v>NW</v>
      </c>
      <c r="AC153" t="str">
        <f t="shared" si="104"/>
        <v>S</v>
      </c>
    </row>
    <row r="154" spans="1:29">
      <c r="A154" s="2" t="s">
        <v>171</v>
      </c>
      <c r="B154" s="2" t="s">
        <v>109</v>
      </c>
      <c r="C154" s="15" t="str">
        <f t="shared" ref="C154:C185" si="106">INDEX(tablewind,MATCH($B154,citywind,0),2)</f>
        <v>SSE</v>
      </c>
      <c r="D154" s="15" t="str">
        <f t="shared" ref="D154:D185" si="107">INDEX(tablewind,MATCH($B154,citywind,0),3)</f>
        <v>SSE</v>
      </c>
      <c r="E154" s="15" t="str">
        <f t="shared" ref="E154:E185" si="108">INDEX(tablewind,MATCH($B154,citywind,0),4)</f>
        <v>SSE</v>
      </c>
      <c r="F154" s="15" t="str">
        <f t="shared" ref="F154:F185" si="109">INDEX(tablewind,MATCH($B154,citywind,0),5)</f>
        <v>SSE</v>
      </c>
      <c r="G154" s="15" t="str">
        <f t="shared" ref="G154:G185" si="110">INDEX(tablewind,MATCH($B154,citywind,0),6)</f>
        <v>SSE</v>
      </c>
      <c r="H154" s="15" t="str">
        <f t="shared" ref="H154:H185" si="111">INDEX(tablewind,MATCH($B154,citywind,0),7)</f>
        <v>S</v>
      </c>
      <c r="I154" s="15" t="str">
        <f t="shared" ref="I154:I185" si="112">INDEX(tablewind,MATCH($B154,citywind,0),8)</f>
        <v>S</v>
      </c>
      <c r="J154" s="15" t="str">
        <f t="shared" ref="J154:J185" si="113">INDEX(tablewind,MATCH($B154,citywind,0),9)</f>
        <v>SSE</v>
      </c>
      <c r="K154" s="15" t="str">
        <f t="shared" ref="K154:K185" si="114">INDEX(tablewind,MATCH($B154,citywind,0),10)</f>
        <v>SSE</v>
      </c>
      <c r="L154" s="15" t="str">
        <f t="shared" ref="L154:L185" si="115">INDEX(tablewind,MATCH($B154,citywind,0),11)</f>
        <v>SSE</v>
      </c>
      <c r="M154" s="15" t="str">
        <f t="shared" ref="M154:M185" si="116">INDEX(tablewind,MATCH($B154,citywind,0),12)</f>
        <v>SSE</v>
      </c>
      <c r="N154" s="15" t="str">
        <f t="shared" ref="N154:N185" si="117">INDEX(tablewind,MATCH($B154,citywind,0),13)</f>
        <v>SSE</v>
      </c>
      <c r="O154" s="15" t="str">
        <f t="shared" ref="O154:O185" si="118">INDEX(tablewind,MATCH($B154,citywind,0),14)</f>
        <v>SSE</v>
      </c>
      <c r="Q154" t="str">
        <f t="shared" si="93"/>
        <v>NW</v>
      </c>
      <c r="R154" t="str">
        <f t="shared" si="94"/>
        <v>NW</v>
      </c>
      <c r="S154" t="str">
        <f t="shared" si="95"/>
        <v>NW</v>
      </c>
      <c r="T154" t="str">
        <f t="shared" si="96"/>
        <v>NW</v>
      </c>
      <c r="U154" t="str">
        <f t="shared" si="97"/>
        <v>NW</v>
      </c>
      <c r="V154" t="str">
        <f t="shared" si="98"/>
        <v>NW</v>
      </c>
      <c r="W154" t="str">
        <f t="shared" si="99"/>
        <v>NW</v>
      </c>
      <c r="X154" t="str">
        <f t="shared" si="100"/>
        <v>NW</v>
      </c>
      <c r="Y154" t="str">
        <f t="shared" si="101"/>
        <v>SW</v>
      </c>
      <c r="Z154" t="str">
        <f t="shared" si="102"/>
        <v>SW</v>
      </c>
      <c r="AA154" t="str">
        <f t="shared" si="103"/>
        <v>SW</v>
      </c>
      <c r="AB154" t="str">
        <f t="shared" si="105"/>
        <v>SW</v>
      </c>
      <c r="AC154" t="str">
        <f t="shared" si="104"/>
        <v>NW</v>
      </c>
    </row>
    <row r="155" spans="1:29">
      <c r="A155" s="2" t="s">
        <v>175</v>
      </c>
      <c r="B155" s="2" t="s">
        <v>176</v>
      </c>
      <c r="C155" s="15" t="str">
        <f t="shared" si="106"/>
        <v>SW</v>
      </c>
      <c r="D155" s="15" t="str">
        <f t="shared" si="107"/>
        <v>SW</v>
      </c>
      <c r="E155" s="15" t="str">
        <f t="shared" si="108"/>
        <v>SW</v>
      </c>
      <c r="F155" s="15" t="str">
        <f t="shared" si="109"/>
        <v>SW</v>
      </c>
      <c r="G155" s="15" t="str">
        <f t="shared" si="110"/>
        <v>SW</v>
      </c>
      <c r="H155" s="15" t="str">
        <f t="shared" si="111"/>
        <v>SW</v>
      </c>
      <c r="I155" s="15" t="str">
        <f t="shared" si="112"/>
        <v>SW</v>
      </c>
      <c r="J155" s="15" t="str">
        <f t="shared" si="113"/>
        <v>SW</v>
      </c>
      <c r="K155" s="15" t="str">
        <f t="shared" si="114"/>
        <v>SW</v>
      </c>
      <c r="L155" s="15" t="str">
        <f t="shared" si="115"/>
        <v>SW</v>
      </c>
      <c r="M155" s="15" t="str">
        <f t="shared" si="116"/>
        <v>SW</v>
      </c>
      <c r="N155" s="15" t="str">
        <f t="shared" si="117"/>
        <v>SW</v>
      </c>
      <c r="O155" s="15" t="str">
        <f t="shared" si="118"/>
        <v>SW</v>
      </c>
      <c r="Q155" t="str">
        <f t="shared" si="93"/>
        <v>NW</v>
      </c>
      <c r="R155" t="str">
        <f t="shared" si="94"/>
        <v>NW</v>
      </c>
      <c r="S155" t="str">
        <f t="shared" si="95"/>
        <v>NW</v>
      </c>
      <c r="T155" t="str">
        <f t="shared" si="96"/>
        <v>NW</v>
      </c>
      <c r="U155" t="str">
        <f t="shared" si="97"/>
        <v>NW</v>
      </c>
      <c r="V155" t="str">
        <f t="shared" si="98"/>
        <v>W</v>
      </c>
      <c r="W155" t="str">
        <f t="shared" si="99"/>
        <v>W</v>
      </c>
      <c r="X155" t="str">
        <f t="shared" si="100"/>
        <v>E</v>
      </c>
      <c r="Y155" t="str">
        <f t="shared" si="101"/>
        <v>E</v>
      </c>
      <c r="Z155" t="str">
        <f t="shared" si="102"/>
        <v>E</v>
      </c>
      <c r="AA155" t="str">
        <f t="shared" si="103"/>
        <v>NW</v>
      </c>
      <c r="AB155" t="str">
        <f t="shared" si="105"/>
        <v>NW</v>
      </c>
      <c r="AC155" t="str">
        <f t="shared" si="104"/>
        <v>NW</v>
      </c>
    </row>
    <row r="156" spans="1:29">
      <c r="A156" s="2" t="s">
        <v>175</v>
      </c>
      <c r="B156" s="2" t="s">
        <v>177</v>
      </c>
      <c r="C156" s="15" t="str">
        <f t="shared" si="106"/>
        <v>ESE</v>
      </c>
      <c r="D156" s="15" t="str">
        <f t="shared" si="107"/>
        <v>ESE</v>
      </c>
      <c r="E156" s="15" t="str">
        <f t="shared" si="108"/>
        <v>ESE</v>
      </c>
      <c r="F156" s="15" t="str">
        <f t="shared" si="109"/>
        <v>ESE</v>
      </c>
      <c r="G156" s="15" t="str">
        <f t="shared" si="110"/>
        <v>ESE</v>
      </c>
      <c r="H156" s="15" t="str">
        <f t="shared" si="111"/>
        <v>ESE</v>
      </c>
      <c r="I156" s="15" t="str">
        <f t="shared" si="112"/>
        <v>ESE</v>
      </c>
      <c r="J156" s="15" t="str">
        <f t="shared" si="113"/>
        <v>ESE</v>
      </c>
      <c r="K156" s="15" t="str">
        <f t="shared" si="114"/>
        <v>ESE</v>
      </c>
      <c r="L156" s="15" t="str">
        <f t="shared" si="115"/>
        <v>ESE</v>
      </c>
      <c r="M156" s="15" t="str">
        <f t="shared" si="116"/>
        <v>ESE</v>
      </c>
      <c r="N156" s="15" t="str">
        <f t="shared" si="117"/>
        <v>ESE</v>
      </c>
      <c r="O156" s="15" t="str">
        <f t="shared" si="118"/>
        <v>ESE</v>
      </c>
      <c r="Q156" t="str">
        <f t="shared" si="93"/>
        <v>W</v>
      </c>
      <c r="R156" t="str">
        <f t="shared" si="94"/>
        <v>NW</v>
      </c>
      <c r="S156" t="str">
        <f t="shared" si="95"/>
        <v>NW</v>
      </c>
      <c r="T156" t="str">
        <f t="shared" si="96"/>
        <v>S</v>
      </c>
      <c r="U156" t="str">
        <f t="shared" si="97"/>
        <v>SE</v>
      </c>
      <c r="V156" t="str">
        <f t="shared" si="98"/>
        <v>SE</v>
      </c>
      <c r="W156" t="str">
        <f t="shared" si="99"/>
        <v>SW</v>
      </c>
      <c r="X156" t="str">
        <f t="shared" si="100"/>
        <v>SE</v>
      </c>
      <c r="Y156" t="str">
        <f t="shared" si="101"/>
        <v>NE</v>
      </c>
      <c r="Z156" t="str">
        <f t="shared" si="102"/>
        <v>NW</v>
      </c>
      <c r="AA156" t="str">
        <f t="shared" si="103"/>
        <v>NW</v>
      </c>
      <c r="AB156" t="str">
        <f t="shared" si="105"/>
        <v>NW</v>
      </c>
      <c r="AC156" t="str">
        <f t="shared" si="104"/>
        <v>SW</v>
      </c>
    </row>
    <row r="157" spans="1:29">
      <c r="A157" s="2" t="s">
        <v>175</v>
      </c>
      <c r="B157" s="2" t="s">
        <v>178</v>
      </c>
      <c r="C157" s="15" t="str">
        <f t="shared" si="106"/>
        <v>SW</v>
      </c>
      <c r="D157" s="15" t="str">
        <f t="shared" si="107"/>
        <v>SW</v>
      </c>
      <c r="E157" s="15" t="str">
        <f t="shared" si="108"/>
        <v>SW</v>
      </c>
      <c r="F157" s="15" t="str">
        <f t="shared" si="109"/>
        <v>SW</v>
      </c>
      <c r="G157" s="15" t="str">
        <f t="shared" si="110"/>
        <v>SW</v>
      </c>
      <c r="H157" s="15" t="str">
        <f t="shared" si="111"/>
        <v>SW</v>
      </c>
      <c r="I157" s="15" t="str">
        <f t="shared" si="112"/>
        <v>SW</v>
      </c>
      <c r="J157" s="15" t="str">
        <f t="shared" si="113"/>
        <v>SW</v>
      </c>
      <c r="K157" s="15" t="str">
        <f t="shared" si="114"/>
        <v>WSW</v>
      </c>
      <c r="L157" s="15" t="str">
        <f t="shared" si="115"/>
        <v>WSW</v>
      </c>
      <c r="M157" s="15" t="str">
        <f t="shared" si="116"/>
        <v>SW</v>
      </c>
      <c r="N157" s="15" t="str">
        <f t="shared" si="117"/>
        <v>SW</v>
      </c>
      <c r="O157" s="15" t="str">
        <f t="shared" si="118"/>
        <v>SW</v>
      </c>
      <c r="Q157" t="str">
        <f t="shared" si="93"/>
        <v>NW</v>
      </c>
      <c r="R157" t="str">
        <f t="shared" si="94"/>
        <v>W</v>
      </c>
      <c r="S157" t="str">
        <f t="shared" si="95"/>
        <v>W</v>
      </c>
      <c r="T157" t="str">
        <f t="shared" si="96"/>
        <v>SE</v>
      </c>
      <c r="U157" t="str">
        <f t="shared" si="97"/>
        <v>SE</v>
      </c>
      <c r="V157" t="str">
        <f t="shared" si="98"/>
        <v>SE</v>
      </c>
      <c r="W157" t="str">
        <f t="shared" si="99"/>
        <v>SW</v>
      </c>
      <c r="X157" t="str">
        <f t="shared" si="100"/>
        <v>SE</v>
      </c>
      <c r="Y157" t="str">
        <f t="shared" si="101"/>
        <v>NE</v>
      </c>
      <c r="Z157" t="str">
        <f t="shared" si="102"/>
        <v>NE</v>
      </c>
      <c r="AA157" t="str">
        <f t="shared" si="103"/>
        <v>NE</v>
      </c>
      <c r="AB157" t="str">
        <f t="shared" si="105"/>
        <v>NE</v>
      </c>
      <c r="AC157" t="str">
        <f t="shared" si="104"/>
        <v>SW</v>
      </c>
    </row>
    <row r="158" spans="1:29">
      <c r="A158" s="2" t="s">
        <v>175</v>
      </c>
      <c r="B158" s="2" t="s">
        <v>179</v>
      </c>
      <c r="C158" s="15" t="str">
        <f t="shared" si="106"/>
        <v>SW</v>
      </c>
      <c r="D158" s="15" t="str">
        <f t="shared" si="107"/>
        <v>SW</v>
      </c>
      <c r="E158" s="15" t="str">
        <f t="shared" si="108"/>
        <v>SW</v>
      </c>
      <c r="F158" s="15" t="str">
        <f t="shared" si="109"/>
        <v>SW</v>
      </c>
      <c r="G158" s="15" t="str">
        <f t="shared" si="110"/>
        <v>E</v>
      </c>
      <c r="H158" s="15" t="str">
        <f t="shared" si="111"/>
        <v>SW</v>
      </c>
      <c r="I158" s="15" t="str">
        <f t="shared" si="112"/>
        <v>SW</v>
      </c>
      <c r="J158" s="15" t="str">
        <f t="shared" si="113"/>
        <v>W</v>
      </c>
      <c r="K158" s="15" t="str">
        <f t="shared" si="114"/>
        <v>E</v>
      </c>
      <c r="L158" s="15" t="str">
        <f t="shared" si="115"/>
        <v>SW</v>
      </c>
      <c r="M158" s="15" t="str">
        <f t="shared" si="116"/>
        <v>SW</v>
      </c>
      <c r="N158" s="15" t="str">
        <f t="shared" si="117"/>
        <v>SW</v>
      </c>
      <c r="O158" s="15" t="str">
        <f t="shared" si="118"/>
        <v>SW</v>
      </c>
      <c r="Q158" t="str">
        <f t="shared" si="93"/>
        <v>NE</v>
      </c>
      <c r="R158" t="str">
        <f t="shared" si="94"/>
        <v>NE</v>
      </c>
      <c r="S158" t="str">
        <f t="shared" si="95"/>
        <v>NW</v>
      </c>
      <c r="T158" t="str">
        <f t="shared" si="96"/>
        <v>NW</v>
      </c>
      <c r="U158" t="str">
        <f t="shared" si="97"/>
        <v>NW</v>
      </c>
      <c r="V158" t="str">
        <f t="shared" si="98"/>
        <v>NW</v>
      </c>
      <c r="W158" t="str">
        <f t="shared" si="99"/>
        <v>S</v>
      </c>
      <c r="X158" t="str">
        <f t="shared" si="100"/>
        <v>S</v>
      </c>
      <c r="Y158" t="str">
        <f t="shared" si="101"/>
        <v>E</v>
      </c>
      <c r="Z158" t="str">
        <f t="shared" si="102"/>
        <v>E</v>
      </c>
      <c r="AA158" t="str">
        <f t="shared" si="103"/>
        <v>NE</v>
      </c>
      <c r="AB158" t="str">
        <f t="shared" si="105"/>
        <v>NE</v>
      </c>
      <c r="AC158" t="str">
        <f t="shared" si="104"/>
        <v>NE</v>
      </c>
    </row>
    <row r="159" spans="1:29">
      <c r="A159" s="2" t="s">
        <v>175</v>
      </c>
      <c r="B159" s="2" t="s">
        <v>180</v>
      </c>
      <c r="C159" s="15" t="str">
        <f t="shared" si="106"/>
        <v>W</v>
      </c>
      <c r="D159" s="15" t="str">
        <f t="shared" si="107"/>
        <v>ENE</v>
      </c>
      <c r="E159" s="15" t="str">
        <f t="shared" si="108"/>
        <v>W</v>
      </c>
      <c r="F159" s="15" t="str">
        <f t="shared" si="109"/>
        <v>W</v>
      </c>
      <c r="G159" s="15" t="str">
        <f t="shared" si="110"/>
        <v>W</v>
      </c>
      <c r="H159" s="15" t="str">
        <f t="shared" si="111"/>
        <v>ENE</v>
      </c>
      <c r="I159" s="15" t="str">
        <f t="shared" si="112"/>
        <v>W</v>
      </c>
      <c r="J159" s="15" t="str">
        <f t="shared" si="113"/>
        <v>ENE</v>
      </c>
      <c r="K159" s="15" t="str">
        <f t="shared" si="114"/>
        <v>W</v>
      </c>
      <c r="L159" s="15" t="str">
        <f t="shared" si="115"/>
        <v>ENE</v>
      </c>
      <c r="M159" s="15" t="str">
        <f t="shared" si="116"/>
        <v>W</v>
      </c>
      <c r="N159" s="15" t="str">
        <f t="shared" si="117"/>
        <v>W</v>
      </c>
      <c r="O159" s="15" t="str">
        <f t="shared" si="118"/>
        <v>ENE</v>
      </c>
      <c r="Q159" t="str">
        <f t="shared" si="93"/>
        <v>NW</v>
      </c>
      <c r="R159" t="str">
        <f t="shared" si="94"/>
        <v>NW</v>
      </c>
      <c r="S159" t="str">
        <f t="shared" si="95"/>
        <v>NW</v>
      </c>
      <c r="T159" t="str">
        <f t="shared" si="96"/>
        <v>NW</v>
      </c>
      <c r="U159" t="str">
        <f t="shared" si="97"/>
        <v>NW</v>
      </c>
      <c r="V159" t="str">
        <f t="shared" si="98"/>
        <v>NW</v>
      </c>
      <c r="W159" t="str">
        <f t="shared" si="99"/>
        <v>SW</v>
      </c>
      <c r="X159" t="str">
        <f t="shared" si="100"/>
        <v>NE</v>
      </c>
      <c r="Y159" t="str">
        <f t="shared" si="101"/>
        <v>NE</v>
      </c>
      <c r="Z159" t="str">
        <f t="shared" si="102"/>
        <v>NE</v>
      </c>
      <c r="AA159" t="str">
        <f t="shared" si="103"/>
        <v>NW</v>
      </c>
      <c r="AB159" t="str">
        <f t="shared" si="105"/>
        <v>NW</v>
      </c>
      <c r="AC159" t="str">
        <f t="shared" si="104"/>
        <v>NW</v>
      </c>
    </row>
    <row r="160" spans="1:29">
      <c r="A160" s="2" t="s">
        <v>175</v>
      </c>
      <c r="B160" s="2" t="s">
        <v>181</v>
      </c>
      <c r="C160" s="15" t="str">
        <f t="shared" si="106"/>
        <v>S</v>
      </c>
      <c r="D160" s="15" t="str">
        <f t="shared" si="107"/>
        <v>S</v>
      </c>
      <c r="E160" s="15" t="str">
        <f t="shared" si="108"/>
        <v>S</v>
      </c>
      <c r="F160" s="15" t="str">
        <f t="shared" si="109"/>
        <v>S</v>
      </c>
      <c r="G160" s="15" t="str">
        <f t="shared" si="110"/>
        <v>S</v>
      </c>
      <c r="H160" s="15" t="str">
        <f t="shared" si="111"/>
        <v>S</v>
      </c>
      <c r="I160" s="15" t="str">
        <f t="shared" si="112"/>
        <v>S</v>
      </c>
      <c r="J160" s="15" t="str">
        <f t="shared" si="113"/>
        <v>S</v>
      </c>
      <c r="K160" s="15" t="str">
        <f t="shared" si="114"/>
        <v>S</v>
      </c>
      <c r="L160" s="15" t="str">
        <f t="shared" si="115"/>
        <v>S</v>
      </c>
      <c r="M160" s="15" t="str">
        <f t="shared" si="116"/>
        <v>S</v>
      </c>
      <c r="N160" s="15" t="str">
        <f t="shared" si="117"/>
        <v>S</v>
      </c>
      <c r="O160" s="15" t="str">
        <f t="shared" si="118"/>
        <v>S</v>
      </c>
      <c r="Q160" t="str">
        <f t="shared" si="93"/>
        <v>W</v>
      </c>
      <c r="R160" t="str">
        <f t="shared" si="94"/>
        <v>W</v>
      </c>
      <c r="S160" t="str">
        <f t="shared" si="95"/>
        <v>NW</v>
      </c>
      <c r="T160" t="str">
        <f t="shared" si="96"/>
        <v>NW</v>
      </c>
      <c r="U160" t="str">
        <f t="shared" si="97"/>
        <v>S</v>
      </c>
      <c r="V160" t="str">
        <f t="shared" si="98"/>
        <v>S</v>
      </c>
      <c r="W160" t="str">
        <f t="shared" si="99"/>
        <v>S</v>
      </c>
      <c r="X160" t="str">
        <f t="shared" si="100"/>
        <v>S</v>
      </c>
      <c r="Y160" t="str">
        <f t="shared" si="101"/>
        <v>S</v>
      </c>
      <c r="Z160" t="str">
        <f t="shared" si="102"/>
        <v>S</v>
      </c>
      <c r="AA160" t="str">
        <f t="shared" si="103"/>
        <v>SW</v>
      </c>
      <c r="AB160" t="str">
        <f t="shared" si="105"/>
        <v>SW</v>
      </c>
      <c r="AC160" t="str">
        <f t="shared" si="104"/>
        <v>W</v>
      </c>
    </row>
    <row r="161" spans="1:29">
      <c r="A161" s="2" t="s">
        <v>175</v>
      </c>
      <c r="B161" s="6" t="s">
        <v>182</v>
      </c>
      <c r="C161" s="15" t="str">
        <f t="shared" si="106"/>
        <v>ESE</v>
      </c>
      <c r="D161" s="15" t="str">
        <f t="shared" si="107"/>
        <v>WNW</v>
      </c>
      <c r="E161" s="15" t="str">
        <f t="shared" si="108"/>
        <v>WNW</v>
      </c>
      <c r="F161" s="15" t="str">
        <f t="shared" si="109"/>
        <v>NW</v>
      </c>
      <c r="G161" s="15" t="str">
        <f t="shared" si="110"/>
        <v>WNW</v>
      </c>
      <c r="H161" s="15" t="str">
        <f t="shared" si="111"/>
        <v>WNW</v>
      </c>
      <c r="I161" s="15" t="str">
        <f t="shared" si="112"/>
        <v>NW</v>
      </c>
      <c r="J161" s="15" t="str">
        <f t="shared" si="113"/>
        <v>WNW</v>
      </c>
      <c r="K161" s="15" t="str">
        <f t="shared" si="114"/>
        <v>WNW</v>
      </c>
      <c r="L161" s="15" t="str">
        <f t="shared" si="115"/>
        <v>NW</v>
      </c>
      <c r="M161" s="15" t="str">
        <f t="shared" si="116"/>
        <v>WNW</v>
      </c>
      <c r="N161" s="15" t="str">
        <f t="shared" si="117"/>
        <v>ESE</v>
      </c>
      <c r="O161" s="15" t="str">
        <f t="shared" si="118"/>
        <v>WNW</v>
      </c>
      <c r="Q161" t="str">
        <f t="shared" si="93"/>
        <v>NW</v>
      </c>
      <c r="R161" t="str">
        <f t="shared" si="94"/>
        <v>NW</v>
      </c>
      <c r="S161" t="str">
        <f t="shared" si="95"/>
        <v>SW</v>
      </c>
      <c r="T161" t="str">
        <f t="shared" si="96"/>
        <v>SW</v>
      </c>
      <c r="U161" t="str">
        <f t="shared" si="97"/>
        <v>E</v>
      </c>
      <c r="V161" t="str">
        <f t="shared" si="98"/>
        <v>SW</v>
      </c>
      <c r="W161" t="str">
        <f t="shared" si="99"/>
        <v>SW</v>
      </c>
      <c r="X161" t="str">
        <f t="shared" si="100"/>
        <v>SW</v>
      </c>
      <c r="Y161" t="str">
        <f t="shared" si="101"/>
        <v>NE</v>
      </c>
      <c r="Z161" t="str">
        <f t="shared" si="102"/>
        <v>NE</v>
      </c>
      <c r="AA161" t="str">
        <f t="shared" si="103"/>
        <v>NE</v>
      </c>
      <c r="AB161" t="str">
        <f t="shared" si="105"/>
        <v>NE</v>
      </c>
      <c r="AC161" t="str">
        <f t="shared" si="104"/>
        <v>NE</v>
      </c>
    </row>
    <row r="162" spans="1:29">
      <c r="A162" s="3" t="s">
        <v>183</v>
      </c>
      <c r="B162" s="3" t="s">
        <v>184</v>
      </c>
      <c r="C162" s="15" t="str">
        <f t="shared" si="106"/>
        <v>N</v>
      </c>
      <c r="D162" s="15" t="str">
        <f t="shared" si="107"/>
        <v>N</v>
      </c>
      <c r="E162" s="15" t="str">
        <f t="shared" si="108"/>
        <v>N</v>
      </c>
      <c r="F162" s="15" t="str">
        <f t="shared" si="109"/>
        <v>N</v>
      </c>
      <c r="G162" s="15" t="str">
        <f t="shared" si="110"/>
        <v>N</v>
      </c>
      <c r="H162" s="15" t="str">
        <f t="shared" si="111"/>
        <v>N</v>
      </c>
      <c r="I162" s="15" t="str">
        <f t="shared" si="112"/>
        <v>N</v>
      </c>
      <c r="J162" s="15" t="str">
        <f t="shared" si="113"/>
        <v>N</v>
      </c>
      <c r="K162" s="15" t="str">
        <f t="shared" si="114"/>
        <v>S</v>
      </c>
      <c r="L162" s="15" t="str">
        <f t="shared" si="115"/>
        <v>S</v>
      </c>
      <c r="M162" s="15" t="str">
        <f t="shared" si="116"/>
        <v>S</v>
      </c>
      <c r="N162" s="15" t="str">
        <f t="shared" si="117"/>
        <v>S</v>
      </c>
      <c r="O162" s="15" t="str">
        <f t="shared" si="118"/>
        <v>S</v>
      </c>
      <c r="Q162" t="str">
        <f t="shared" si="93"/>
        <v>E</v>
      </c>
      <c r="R162" t="str">
        <f t="shared" si="94"/>
        <v>E</v>
      </c>
      <c r="S162" t="str">
        <f t="shared" si="95"/>
        <v>E</v>
      </c>
      <c r="T162" t="str">
        <f t="shared" si="96"/>
        <v>E</v>
      </c>
      <c r="U162" t="str">
        <f t="shared" si="97"/>
        <v>E</v>
      </c>
      <c r="V162" t="str">
        <f t="shared" si="98"/>
        <v>E</v>
      </c>
      <c r="W162" t="str">
        <f t="shared" si="99"/>
        <v>NE</v>
      </c>
      <c r="X162" t="str">
        <f t="shared" si="100"/>
        <v>NE</v>
      </c>
      <c r="Y162" t="str">
        <f t="shared" si="101"/>
        <v>E</v>
      </c>
      <c r="Z162" t="str">
        <f t="shared" si="102"/>
        <v>E</v>
      </c>
      <c r="AA162" t="str">
        <f t="shared" si="103"/>
        <v>E</v>
      </c>
      <c r="AB162" t="str">
        <f t="shared" si="105"/>
        <v>E</v>
      </c>
      <c r="AC162" t="str">
        <f t="shared" si="104"/>
        <v>E</v>
      </c>
    </row>
    <row r="163" spans="1:29">
      <c r="A163" s="3" t="s">
        <v>183</v>
      </c>
      <c r="B163" s="2" t="s">
        <v>185</v>
      </c>
      <c r="C163" s="15" t="str">
        <f t="shared" si="106"/>
        <v>N</v>
      </c>
      <c r="D163" s="15" t="str">
        <f t="shared" si="107"/>
        <v>N</v>
      </c>
      <c r="E163" s="15" t="str">
        <f t="shared" si="108"/>
        <v>N</v>
      </c>
      <c r="F163" s="15" t="str">
        <f t="shared" si="109"/>
        <v>N</v>
      </c>
      <c r="G163" s="15" t="str">
        <f t="shared" si="110"/>
        <v>N</v>
      </c>
      <c r="H163" s="15" t="str">
        <f t="shared" si="111"/>
        <v>N</v>
      </c>
      <c r="I163" s="15" t="str">
        <f t="shared" si="112"/>
        <v>N</v>
      </c>
      <c r="J163" s="15" t="str">
        <f t="shared" si="113"/>
        <v>N</v>
      </c>
      <c r="K163" s="15" t="str">
        <f t="shared" si="114"/>
        <v>N</v>
      </c>
      <c r="L163" s="15" t="str">
        <f t="shared" si="115"/>
        <v>N</v>
      </c>
      <c r="M163" s="15" t="str">
        <f t="shared" si="116"/>
        <v>N</v>
      </c>
      <c r="N163" s="15" t="str">
        <f t="shared" si="117"/>
        <v>N</v>
      </c>
      <c r="O163" s="15" t="str">
        <f t="shared" si="118"/>
        <v>N</v>
      </c>
      <c r="Q163" t="str">
        <f t="shared" si="93"/>
        <v>SW</v>
      </c>
      <c r="R163" t="str">
        <f t="shared" si="94"/>
        <v>SW</v>
      </c>
      <c r="S163" t="str">
        <f t="shared" si="95"/>
        <v>SW</v>
      </c>
      <c r="T163" t="str">
        <f t="shared" si="96"/>
        <v>SW</v>
      </c>
      <c r="U163" t="str">
        <f t="shared" si="97"/>
        <v>SW</v>
      </c>
      <c r="V163" t="str">
        <f t="shared" si="98"/>
        <v>SW</v>
      </c>
      <c r="W163" t="str">
        <f t="shared" si="99"/>
        <v>SW</v>
      </c>
      <c r="X163" t="str">
        <f t="shared" si="100"/>
        <v>SW</v>
      </c>
      <c r="Y163" t="str">
        <f t="shared" si="101"/>
        <v>SW</v>
      </c>
      <c r="Z163" t="str">
        <f t="shared" si="102"/>
        <v>SW</v>
      </c>
      <c r="AA163" t="str">
        <f t="shared" si="103"/>
        <v>SW</v>
      </c>
      <c r="AB163" t="str">
        <f t="shared" si="105"/>
        <v>SW</v>
      </c>
      <c r="AC163" t="str">
        <f t="shared" si="104"/>
        <v>SW</v>
      </c>
    </row>
    <row r="164" spans="1:29">
      <c r="A164" s="3" t="s">
        <v>183</v>
      </c>
      <c r="B164" s="2" t="s">
        <v>186</v>
      </c>
      <c r="C164" s="15" t="str">
        <f t="shared" si="106"/>
        <v>N</v>
      </c>
      <c r="D164" s="15" t="str">
        <f t="shared" si="107"/>
        <v>N</v>
      </c>
      <c r="E164" s="15" t="str">
        <f t="shared" si="108"/>
        <v>NE</v>
      </c>
      <c r="F164" s="15" t="str">
        <f t="shared" si="109"/>
        <v>S</v>
      </c>
      <c r="G164" s="15" t="str">
        <f t="shared" si="110"/>
        <v>S</v>
      </c>
      <c r="H164" s="15" t="str">
        <f t="shared" si="111"/>
        <v>SSW</v>
      </c>
      <c r="I164" s="15" t="str">
        <f t="shared" si="112"/>
        <v>SW</v>
      </c>
      <c r="J164" s="15" t="str">
        <f t="shared" si="113"/>
        <v>SW</v>
      </c>
      <c r="K164" s="15" t="str">
        <f t="shared" si="114"/>
        <v>NE</v>
      </c>
      <c r="L164" s="15" t="str">
        <f t="shared" si="115"/>
        <v>NE</v>
      </c>
      <c r="M164" s="15" t="str">
        <f t="shared" si="116"/>
        <v>SW</v>
      </c>
      <c r="N164" s="15" t="str">
        <f t="shared" si="117"/>
        <v>N</v>
      </c>
      <c r="O164" s="15" t="str">
        <f t="shared" si="118"/>
        <v>SW</v>
      </c>
      <c r="Q164" t="str">
        <f t="shared" si="93"/>
        <v>NE</v>
      </c>
      <c r="R164" t="str">
        <f t="shared" si="94"/>
        <v>NE</v>
      </c>
      <c r="S164" t="str">
        <f t="shared" si="95"/>
        <v>NE</v>
      </c>
      <c r="T164" t="str">
        <f t="shared" si="96"/>
        <v>NE</v>
      </c>
      <c r="U164" t="str">
        <f t="shared" si="97"/>
        <v>NE</v>
      </c>
      <c r="V164" t="str">
        <f t="shared" si="98"/>
        <v>NE</v>
      </c>
      <c r="W164" t="str">
        <f t="shared" si="99"/>
        <v>NE</v>
      </c>
      <c r="X164" t="str">
        <f t="shared" si="100"/>
        <v>NE</v>
      </c>
      <c r="Y164" t="str">
        <f t="shared" si="101"/>
        <v>NE</v>
      </c>
      <c r="Z164" t="str">
        <f t="shared" si="102"/>
        <v>NE</v>
      </c>
      <c r="AA164" t="str">
        <f t="shared" si="103"/>
        <v>NE</v>
      </c>
      <c r="AB164" t="str">
        <f t="shared" si="105"/>
        <v>NE</v>
      </c>
      <c r="AC164" t="str">
        <f t="shared" si="104"/>
        <v>NE</v>
      </c>
    </row>
    <row r="165" spans="1:29" ht="22.8">
      <c r="A165" s="3" t="s">
        <v>183</v>
      </c>
      <c r="B165" s="2" t="s">
        <v>187</v>
      </c>
      <c r="C165" s="15" t="str">
        <f t="shared" si="106"/>
        <v>WNW</v>
      </c>
      <c r="D165" s="15" t="str">
        <f t="shared" si="107"/>
        <v>WNW</v>
      </c>
      <c r="E165" s="15" t="str">
        <f t="shared" si="108"/>
        <v>NW</v>
      </c>
      <c r="F165" s="15" t="str">
        <f t="shared" si="109"/>
        <v>NW</v>
      </c>
      <c r="G165" s="15" t="str">
        <f t="shared" si="110"/>
        <v>N</v>
      </c>
      <c r="H165" s="15" t="str">
        <f t="shared" si="111"/>
        <v>N</v>
      </c>
      <c r="I165" s="15" t="str">
        <f t="shared" si="112"/>
        <v>N</v>
      </c>
      <c r="J165" s="15" t="str">
        <f t="shared" si="113"/>
        <v>N</v>
      </c>
      <c r="K165" s="15" t="str">
        <f t="shared" si="114"/>
        <v>SSE</v>
      </c>
      <c r="L165" s="15" t="str">
        <f t="shared" si="115"/>
        <v>SSE</v>
      </c>
      <c r="M165" s="15" t="str">
        <f t="shared" si="116"/>
        <v>S</v>
      </c>
      <c r="N165" s="15" t="str">
        <f t="shared" si="117"/>
        <v>S</v>
      </c>
      <c r="O165" s="15" t="str">
        <f t="shared" si="118"/>
        <v>NW</v>
      </c>
      <c r="Q165" t="str">
        <f t="shared" si="93"/>
        <v>NE</v>
      </c>
      <c r="R165" t="str">
        <f t="shared" si="94"/>
        <v>NE</v>
      </c>
      <c r="S165" t="str">
        <f t="shared" si="95"/>
        <v>NE</v>
      </c>
      <c r="T165" t="str">
        <f t="shared" si="96"/>
        <v>NE</v>
      </c>
      <c r="U165" t="str">
        <f t="shared" si="97"/>
        <v>NE</v>
      </c>
      <c r="V165" t="str">
        <f t="shared" si="98"/>
        <v>NE</v>
      </c>
      <c r="W165" t="str">
        <f t="shared" si="99"/>
        <v>NE</v>
      </c>
      <c r="X165" t="str">
        <f t="shared" si="100"/>
        <v>NE</v>
      </c>
      <c r="Y165" t="str">
        <f t="shared" si="101"/>
        <v>NE</v>
      </c>
      <c r="Z165" t="str">
        <f t="shared" si="102"/>
        <v>NE</v>
      </c>
      <c r="AA165" t="str">
        <f t="shared" si="103"/>
        <v>NE</v>
      </c>
      <c r="AB165" t="str">
        <f t="shared" si="105"/>
        <v>NE</v>
      </c>
      <c r="AC165" t="str">
        <f t="shared" si="104"/>
        <v>NE</v>
      </c>
    </row>
    <row r="166" spans="1:29">
      <c r="A166" s="3" t="s">
        <v>183</v>
      </c>
      <c r="B166" s="2" t="s">
        <v>188</v>
      </c>
      <c r="C166" s="15" t="str">
        <f t="shared" si="106"/>
        <v>NNW</v>
      </c>
      <c r="D166" s="15" t="str">
        <f t="shared" si="107"/>
        <v>NNW</v>
      </c>
      <c r="E166" s="15" t="str">
        <f t="shared" si="108"/>
        <v>N</v>
      </c>
      <c r="F166" s="15" t="str">
        <f t="shared" si="109"/>
        <v>N</v>
      </c>
      <c r="G166" s="15" t="str">
        <f t="shared" si="110"/>
        <v>NNW</v>
      </c>
      <c r="H166" s="15" t="str">
        <f t="shared" si="111"/>
        <v>NNW</v>
      </c>
      <c r="I166" s="15" t="str">
        <f t="shared" si="112"/>
        <v>SSE</v>
      </c>
      <c r="J166" s="15" t="str">
        <f t="shared" si="113"/>
        <v>SSE</v>
      </c>
      <c r="K166" s="15" t="str">
        <f t="shared" si="114"/>
        <v>S</v>
      </c>
      <c r="L166" s="15" t="str">
        <f t="shared" si="115"/>
        <v>S</v>
      </c>
      <c r="M166" s="15" t="str">
        <f t="shared" si="116"/>
        <v>S</v>
      </c>
      <c r="N166" s="15" t="str">
        <f t="shared" si="117"/>
        <v>S</v>
      </c>
      <c r="O166" s="15" t="str">
        <f t="shared" si="118"/>
        <v>SSE</v>
      </c>
      <c r="Q166" t="str">
        <f t="shared" si="93"/>
        <v>NE</v>
      </c>
      <c r="R166" t="str">
        <f t="shared" si="94"/>
        <v>NE</v>
      </c>
      <c r="S166" t="str">
        <f t="shared" si="95"/>
        <v>NE</v>
      </c>
      <c r="T166" t="str">
        <f t="shared" si="96"/>
        <v>NE</v>
      </c>
      <c r="U166" t="str">
        <f t="shared" si="97"/>
        <v>NE</v>
      </c>
      <c r="V166" t="str">
        <f t="shared" si="98"/>
        <v>NE</v>
      </c>
      <c r="W166" t="str">
        <f t="shared" si="99"/>
        <v>NE</v>
      </c>
      <c r="X166" t="str">
        <f t="shared" si="100"/>
        <v>NE</v>
      </c>
      <c r="Y166" t="str">
        <f t="shared" si="101"/>
        <v>NE</v>
      </c>
      <c r="Z166" t="str">
        <f t="shared" si="102"/>
        <v>NE</v>
      </c>
      <c r="AA166" t="str">
        <f t="shared" si="103"/>
        <v>NE</v>
      </c>
      <c r="AB166" t="str">
        <f t="shared" si="105"/>
        <v>NE</v>
      </c>
      <c r="AC166" t="str">
        <f t="shared" si="104"/>
        <v>NE</v>
      </c>
    </row>
    <row r="167" spans="1:29">
      <c r="A167" s="3" t="s">
        <v>183</v>
      </c>
      <c r="B167" s="2" t="s">
        <v>189</v>
      </c>
      <c r="C167" s="15" t="str">
        <f t="shared" si="106"/>
        <v>WNW</v>
      </c>
      <c r="D167" s="15" t="str">
        <f t="shared" si="107"/>
        <v>WNW</v>
      </c>
      <c r="E167" s="15" t="str">
        <f t="shared" si="108"/>
        <v>WNW</v>
      </c>
      <c r="F167" s="15" t="str">
        <f t="shared" si="109"/>
        <v>WNW</v>
      </c>
      <c r="G167" s="15" t="str">
        <f t="shared" si="110"/>
        <v>WNW</v>
      </c>
      <c r="H167" s="15" t="str">
        <f t="shared" si="111"/>
        <v>WNW</v>
      </c>
      <c r="I167" s="15" t="str">
        <f t="shared" si="112"/>
        <v>WNW</v>
      </c>
      <c r="J167" s="15" t="str">
        <f t="shared" si="113"/>
        <v>WNW</v>
      </c>
      <c r="K167" s="15" t="str">
        <f t="shared" si="114"/>
        <v>WNW</v>
      </c>
      <c r="L167" s="15" t="str">
        <f t="shared" si="115"/>
        <v>WNW</v>
      </c>
      <c r="M167" s="15" t="str">
        <f t="shared" si="116"/>
        <v>ESE</v>
      </c>
      <c r="N167" s="15" t="str">
        <f t="shared" si="117"/>
        <v>ESE</v>
      </c>
      <c r="O167" s="15" t="str">
        <f t="shared" si="118"/>
        <v>WNW</v>
      </c>
      <c r="Q167" t="str">
        <f t="shared" si="93"/>
        <v>NE</v>
      </c>
      <c r="R167" t="str">
        <f t="shared" si="94"/>
        <v>NE</v>
      </c>
      <c r="S167" t="str">
        <f t="shared" si="95"/>
        <v>NE</v>
      </c>
      <c r="T167" t="str">
        <f t="shared" si="96"/>
        <v>NE</v>
      </c>
      <c r="U167" t="str">
        <f t="shared" si="97"/>
        <v>NE</v>
      </c>
      <c r="V167" t="str">
        <f t="shared" si="98"/>
        <v>NE</v>
      </c>
      <c r="W167" t="str">
        <f t="shared" si="99"/>
        <v>NE</v>
      </c>
      <c r="X167" t="str">
        <f t="shared" si="100"/>
        <v>NE</v>
      </c>
      <c r="Y167" t="str">
        <f t="shared" si="101"/>
        <v>NE</v>
      </c>
      <c r="Z167" t="str">
        <f t="shared" si="102"/>
        <v>NE</v>
      </c>
      <c r="AA167" t="str">
        <f t="shared" si="103"/>
        <v>NE</v>
      </c>
      <c r="AB167" t="str">
        <f t="shared" si="105"/>
        <v>NE</v>
      </c>
      <c r="AC167" t="str">
        <f t="shared" si="104"/>
        <v>NE</v>
      </c>
    </row>
    <row r="168" spans="1:29">
      <c r="A168" s="3" t="s">
        <v>183</v>
      </c>
      <c r="B168" s="2" t="s">
        <v>190</v>
      </c>
      <c r="C168" s="15" t="str">
        <f t="shared" si="106"/>
        <v>NW</v>
      </c>
      <c r="D168" s="15" t="str">
        <f t="shared" si="107"/>
        <v>NNW</v>
      </c>
      <c r="E168" s="15" t="str">
        <f t="shared" si="108"/>
        <v>NNW</v>
      </c>
      <c r="F168" s="15" t="str">
        <f t="shared" si="109"/>
        <v>NNW</v>
      </c>
      <c r="G168" s="15" t="str">
        <f t="shared" si="110"/>
        <v>S</v>
      </c>
      <c r="H168" s="15" t="str">
        <f t="shared" si="111"/>
        <v>SSE</v>
      </c>
      <c r="I168" s="15" t="str">
        <f t="shared" si="112"/>
        <v>SSE</v>
      </c>
      <c r="J168" s="15" t="str">
        <f t="shared" si="113"/>
        <v>S</v>
      </c>
      <c r="K168" s="15" t="str">
        <f t="shared" si="114"/>
        <v>S</v>
      </c>
      <c r="L168" s="15" t="str">
        <f t="shared" si="115"/>
        <v>WNW</v>
      </c>
      <c r="M168" s="15" t="str">
        <f t="shared" si="116"/>
        <v>WNW</v>
      </c>
      <c r="N168" s="15" t="str">
        <f t="shared" si="117"/>
        <v>WNW</v>
      </c>
      <c r="O168" s="15" t="str">
        <f t="shared" si="118"/>
        <v>NW</v>
      </c>
      <c r="Q168" t="str">
        <f t="shared" si="93"/>
        <v>NW</v>
      </c>
      <c r="R168" t="str">
        <f t="shared" si="94"/>
        <v>NE</v>
      </c>
      <c r="S168" t="str">
        <f t="shared" si="95"/>
        <v>NE</v>
      </c>
      <c r="T168" t="str">
        <f t="shared" si="96"/>
        <v>NE</v>
      </c>
      <c r="U168" t="str">
        <f t="shared" si="97"/>
        <v>NE</v>
      </c>
      <c r="V168" t="str">
        <f t="shared" si="98"/>
        <v>NE</v>
      </c>
      <c r="W168" t="str">
        <f t="shared" si="99"/>
        <v>NE</v>
      </c>
      <c r="X168" t="str">
        <f t="shared" si="100"/>
        <v>NE</v>
      </c>
      <c r="Y168" t="str">
        <f t="shared" si="101"/>
        <v>NE</v>
      </c>
      <c r="Z168" t="str">
        <f t="shared" si="102"/>
        <v>NE</v>
      </c>
      <c r="AA168" t="str">
        <f t="shared" si="103"/>
        <v>NE</v>
      </c>
      <c r="AB168" t="str">
        <f t="shared" si="105"/>
        <v>NE</v>
      </c>
      <c r="AC168" t="str">
        <f t="shared" si="104"/>
        <v>NE</v>
      </c>
    </row>
    <row r="169" spans="1:29">
      <c r="A169" s="2" t="s">
        <v>191</v>
      </c>
      <c r="B169" s="2" t="s">
        <v>192</v>
      </c>
      <c r="C169" s="15" t="str">
        <f t="shared" si="106"/>
        <v>SW</v>
      </c>
      <c r="D169" s="15" t="str">
        <f t="shared" si="107"/>
        <v>SW</v>
      </c>
      <c r="E169" s="15" t="str">
        <f t="shared" si="108"/>
        <v>SW</v>
      </c>
      <c r="F169" s="15" t="str">
        <f t="shared" si="109"/>
        <v>SW</v>
      </c>
      <c r="G169" s="15" t="str">
        <f t="shared" si="110"/>
        <v>SW</v>
      </c>
      <c r="H169" s="15" t="str">
        <f t="shared" si="111"/>
        <v>SW</v>
      </c>
      <c r="I169" s="15" t="str">
        <f t="shared" si="112"/>
        <v>SW</v>
      </c>
      <c r="J169" s="15" t="str">
        <f t="shared" si="113"/>
        <v>SW</v>
      </c>
      <c r="K169" s="15" t="str">
        <f t="shared" si="114"/>
        <v>SW</v>
      </c>
      <c r="L169" s="15" t="str">
        <f t="shared" si="115"/>
        <v>SW</v>
      </c>
      <c r="M169" s="15" t="str">
        <f t="shared" si="116"/>
        <v>SW</v>
      </c>
      <c r="N169" s="15" t="str">
        <f t="shared" si="117"/>
        <v>SW</v>
      </c>
      <c r="O169" s="15" t="str">
        <f t="shared" si="118"/>
        <v>SW</v>
      </c>
      <c r="Q169" t="str">
        <f t="shared" si="93"/>
        <v>SE</v>
      </c>
      <c r="R169" t="str">
        <f t="shared" si="94"/>
        <v>SE</v>
      </c>
      <c r="S169" t="str">
        <f t="shared" si="95"/>
        <v>SE</v>
      </c>
      <c r="T169" t="str">
        <f t="shared" si="96"/>
        <v>SE</v>
      </c>
      <c r="U169" t="str">
        <f t="shared" si="97"/>
        <v>SE</v>
      </c>
      <c r="V169" t="str">
        <f t="shared" si="98"/>
        <v>SE</v>
      </c>
      <c r="W169" t="str">
        <f t="shared" si="99"/>
        <v>NW</v>
      </c>
      <c r="X169" t="str">
        <f t="shared" si="100"/>
        <v>NW</v>
      </c>
      <c r="Y169" t="str">
        <f t="shared" si="101"/>
        <v>NW</v>
      </c>
      <c r="Z169" t="str">
        <f t="shared" si="102"/>
        <v>NW</v>
      </c>
      <c r="AA169" t="str">
        <f t="shared" si="103"/>
        <v>NW</v>
      </c>
      <c r="AB169" t="str">
        <f t="shared" si="105"/>
        <v>NW</v>
      </c>
      <c r="AC169" t="str">
        <f t="shared" si="104"/>
        <v>SE</v>
      </c>
    </row>
    <row r="170" spans="1:29">
      <c r="A170" s="2" t="s">
        <v>191</v>
      </c>
      <c r="B170" s="2" t="s">
        <v>193</v>
      </c>
      <c r="C170" s="15" t="str">
        <f t="shared" si="106"/>
        <v>S</v>
      </c>
      <c r="D170" s="15" t="str">
        <f t="shared" si="107"/>
        <v>S</v>
      </c>
      <c r="E170" s="15" t="str">
        <f t="shared" si="108"/>
        <v>S</v>
      </c>
      <c r="F170" s="15" t="str">
        <f t="shared" si="109"/>
        <v>S</v>
      </c>
      <c r="G170" s="15" t="str">
        <f t="shared" si="110"/>
        <v>S</v>
      </c>
      <c r="H170" s="15" t="str">
        <f t="shared" si="111"/>
        <v>S</v>
      </c>
      <c r="I170" s="15" t="str">
        <f t="shared" si="112"/>
        <v>S</v>
      </c>
      <c r="J170" s="15" t="str">
        <f t="shared" si="113"/>
        <v>S</v>
      </c>
      <c r="K170" s="15" t="str">
        <f t="shared" si="114"/>
        <v>S</v>
      </c>
      <c r="L170" s="15" t="str">
        <f t="shared" si="115"/>
        <v>S</v>
      </c>
      <c r="M170" s="15" t="str">
        <f t="shared" si="116"/>
        <v>S</v>
      </c>
      <c r="N170" s="15" t="str">
        <f t="shared" si="117"/>
        <v>S</v>
      </c>
      <c r="O170" s="15" t="str">
        <f t="shared" si="118"/>
        <v>S</v>
      </c>
      <c r="Q170" t="str">
        <f t="shared" si="93"/>
        <v>S</v>
      </c>
      <c r="R170" t="str">
        <f t="shared" si="94"/>
        <v>E</v>
      </c>
      <c r="S170" t="str">
        <f t="shared" si="95"/>
        <v>E</v>
      </c>
      <c r="T170" t="str">
        <f t="shared" si="96"/>
        <v>NW</v>
      </c>
      <c r="U170" t="str">
        <f t="shared" si="97"/>
        <v>NW</v>
      </c>
      <c r="V170" t="str">
        <f t="shared" si="98"/>
        <v>NW</v>
      </c>
      <c r="W170" t="str">
        <f t="shared" si="99"/>
        <v>NW</v>
      </c>
      <c r="X170" t="str">
        <f t="shared" si="100"/>
        <v>NW</v>
      </c>
      <c r="Y170" t="str">
        <f t="shared" si="101"/>
        <v>NW</v>
      </c>
      <c r="Z170" t="str">
        <f t="shared" si="102"/>
        <v>E</v>
      </c>
      <c r="AA170" t="str">
        <f t="shared" si="103"/>
        <v>E</v>
      </c>
      <c r="AB170" t="str">
        <f t="shared" si="105"/>
        <v>S</v>
      </c>
      <c r="AC170" t="str">
        <f t="shared" si="104"/>
        <v>NW</v>
      </c>
    </row>
    <row r="171" spans="1:29">
      <c r="A171" s="2" t="s">
        <v>191</v>
      </c>
      <c r="B171" s="2" t="s">
        <v>194</v>
      </c>
      <c r="C171" s="15" t="str">
        <f t="shared" si="106"/>
        <v>WSW</v>
      </c>
      <c r="D171" s="15" t="str">
        <f t="shared" si="107"/>
        <v>WSW</v>
      </c>
      <c r="E171" s="15" t="str">
        <f t="shared" si="108"/>
        <v>WSW</v>
      </c>
      <c r="F171" s="15" t="str">
        <f t="shared" si="109"/>
        <v>SW</v>
      </c>
      <c r="G171" s="15" t="str">
        <f t="shared" si="110"/>
        <v>SW</v>
      </c>
      <c r="H171" s="15" t="str">
        <f t="shared" si="111"/>
        <v>S</v>
      </c>
      <c r="I171" s="15" t="str">
        <f t="shared" si="112"/>
        <v>S</v>
      </c>
      <c r="J171" s="15" t="str">
        <f t="shared" si="113"/>
        <v>S</v>
      </c>
      <c r="K171" s="15" t="str">
        <f t="shared" si="114"/>
        <v>WSW</v>
      </c>
      <c r="L171" s="15" t="str">
        <f t="shared" si="115"/>
        <v>WSW</v>
      </c>
      <c r="M171" s="15" t="str">
        <f t="shared" si="116"/>
        <v>WSW</v>
      </c>
      <c r="N171" s="15" t="str">
        <f t="shared" si="117"/>
        <v>WSW</v>
      </c>
      <c r="O171" s="15" t="str">
        <f t="shared" si="118"/>
        <v>WSW</v>
      </c>
      <c r="Q171" t="str">
        <f t="shared" si="93"/>
        <v>SW</v>
      </c>
      <c r="R171" t="str">
        <f t="shared" si="94"/>
        <v>SW</v>
      </c>
      <c r="S171" t="str">
        <f t="shared" si="95"/>
        <v>SW</v>
      </c>
      <c r="T171" t="str">
        <f t="shared" si="96"/>
        <v>SW</v>
      </c>
      <c r="U171" t="str">
        <f t="shared" si="97"/>
        <v>SW</v>
      </c>
      <c r="V171" t="str">
        <f t="shared" si="98"/>
        <v>SW</v>
      </c>
      <c r="W171" t="str">
        <f t="shared" si="99"/>
        <v>SW</v>
      </c>
      <c r="X171" t="str">
        <f t="shared" si="100"/>
        <v>SW</v>
      </c>
      <c r="Y171" t="str">
        <f t="shared" si="101"/>
        <v>SW</v>
      </c>
      <c r="Z171" t="str">
        <f t="shared" si="102"/>
        <v>SW</v>
      </c>
      <c r="AA171" t="str">
        <f t="shared" si="103"/>
        <v>SW</v>
      </c>
      <c r="AB171" t="str">
        <f t="shared" si="105"/>
        <v>SW</v>
      </c>
      <c r="AC171" t="str">
        <f t="shared" si="104"/>
        <v>SW</v>
      </c>
    </row>
    <row r="172" spans="1:29">
      <c r="A172" s="2" t="s">
        <v>191</v>
      </c>
      <c r="B172" s="2" t="s">
        <v>195</v>
      </c>
      <c r="C172" s="15" t="str">
        <f t="shared" si="106"/>
        <v>S</v>
      </c>
      <c r="D172" s="15" t="str">
        <f t="shared" si="107"/>
        <v>S</v>
      </c>
      <c r="E172" s="15" t="str">
        <f t="shared" si="108"/>
        <v>S</v>
      </c>
      <c r="F172" s="15" t="str">
        <f t="shared" si="109"/>
        <v>S</v>
      </c>
      <c r="G172" s="15" t="str">
        <f t="shared" si="110"/>
        <v>WNW</v>
      </c>
      <c r="H172" s="15" t="str">
        <f t="shared" si="111"/>
        <v>WNW</v>
      </c>
      <c r="I172" s="15" t="str">
        <f t="shared" si="112"/>
        <v>WNW</v>
      </c>
      <c r="J172" s="15" t="str">
        <f t="shared" si="113"/>
        <v>WNW</v>
      </c>
      <c r="K172" s="15" t="str">
        <f t="shared" si="114"/>
        <v>WNW</v>
      </c>
      <c r="L172" s="15" t="str">
        <f t="shared" si="115"/>
        <v>WNW</v>
      </c>
      <c r="M172" s="15" t="str">
        <f t="shared" si="116"/>
        <v>WNW</v>
      </c>
      <c r="N172" s="15" t="str">
        <f t="shared" si="117"/>
        <v>WNW</v>
      </c>
      <c r="O172" s="15" t="str">
        <f t="shared" si="118"/>
        <v>WNW</v>
      </c>
      <c r="Q172" t="str">
        <f t="shared" si="93"/>
        <v>W</v>
      </c>
      <c r="R172" t="str">
        <f t="shared" si="94"/>
        <v>W</v>
      </c>
      <c r="S172" t="str">
        <f t="shared" si="95"/>
        <v>W</v>
      </c>
      <c r="T172" t="str">
        <f t="shared" si="96"/>
        <v>NE</v>
      </c>
      <c r="U172" t="str">
        <f t="shared" si="97"/>
        <v>NE</v>
      </c>
      <c r="V172" t="str">
        <f t="shared" si="98"/>
        <v>NE</v>
      </c>
      <c r="W172" t="str">
        <f t="shared" si="99"/>
        <v>SW</v>
      </c>
      <c r="X172" t="str">
        <f t="shared" si="100"/>
        <v>SW</v>
      </c>
      <c r="Y172" t="str">
        <f t="shared" si="101"/>
        <v>S</v>
      </c>
      <c r="Z172" t="str">
        <f t="shared" si="102"/>
        <v>S</v>
      </c>
      <c r="AA172" t="str">
        <f t="shared" si="103"/>
        <v>S</v>
      </c>
      <c r="AB172" t="str">
        <f t="shared" si="105"/>
        <v>W</v>
      </c>
      <c r="AC172" t="str">
        <f t="shared" si="104"/>
        <v>S</v>
      </c>
    </row>
    <row r="173" spans="1:29" ht="22.8">
      <c r="A173" s="2" t="s">
        <v>191</v>
      </c>
      <c r="B173" s="2" t="s">
        <v>196</v>
      </c>
      <c r="C173" s="15" t="str">
        <f t="shared" si="106"/>
        <v>S</v>
      </c>
      <c r="D173" s="15" t="str">
        <f t="shared" si="107"/>
        <v>S</v>
      </c>
      <c r="E173" s="15" t="str">
        <f t="shared" si="108"/>
        <v>S</v>
      </c>
      <c r="F173" s="15" t="str">
        <f t="shared" si="109"/>
        <v>S</v>
      </c>
      <c r="G173" s="15" t="str">
        <f t="shared" si="110"/>
        <v>S</v>
      </c>
      <c r="H173" s="15" t="str">
        <f t="shared" si="111"/>
        <v>S</v>
      </c>
      <c r="I173" s="15" t="str">
        <f t="shared" si="112"/>
        <v>S</v>
      </c>
      <c r="J173" s="15" t="str">
        <f t="shared" si="113"/>
        <v>S</v>
      </c>
      <c r="K173" s="15" t="str">
        <f t="shared" si="114"/>
        <v>W</v>
      </c>
      <c r="L173" s="15" t="str">
        <f t="shared" si="115"/>
        <v>W</v>
      </c>
      <c r="M173" s="15" t="str">
        <f t="shared" si="116"/>
        <v>W</v>
      </c>
      <c r="N173" s="15" t="str">
        <f t="shared" si="117"/>
        <v>W</v>
      </c>
      <c r="O173" s="15" t="str">
        <f t="shared" si="118"/>
        <v>S</v>
      </c>
      <c r="Q173" t="str">
        <f t="shared" si="93"/>
        <v>W</v>
      </c>
      <c r="R173" t="str">
        <f t="shared" si="94"/>
        <v>W</v>
      </c>
      <c r="S173" t="str">
        <f t="shared" si="95"/>
        <v>W</v>
      </c>
      <c r="T173" t="str">
        <f t="shared" si="96"/>
        <v>W</v>
      </c>
      <c r="U173" t="str">
        <f t="shared" si="97"/>
        <v>SW</v>
      </c>
      <c r="V173" t="str">
        <f t="shared" si="98"/>
        <v>SW</v>
      </c>
      <c r="W173" t="str">
        <f t="shared" si="99"/>
        <v>SW</v>
      </c>
      <c r="X173" t="str">
        <f t="shared" si="100"/>
        <v>SW</v>
      </c>
      <c r="Y173" t="str">
        <f t="shared" si="101"/>
        <v>S</v>
      </c>
      <c r="Z173" t="str">
        <f t="shared" si="102"/>
        <v>S</v>
      </c>
      <c r="AA173" t="str">
        <f t="shared" si="103"/>
        <v>SW</v>
      </c>
      <c r="AB173" t="str">
        <f t="shared" si="105"/>
        <v>W</v>
      </c>
      <c r="AC173" t="str">
        <f t="shared" si="104"/>
        <v>W</v>
      </c>
    </row>
    <row r="174" spans="1:29">
      <c r="A174" s="2" t="s">
        <v>191</v>
      </c>
      <c r="B174" s="2" t="s">
        <v>197</v>
      </c>
      <c r="C174" s="15" t="str">
        <f t="shared" si="106"/>
        <v>WNW</v>
      </c>
      <c r="D174" s="15" t="str">
        <f t="shared" si="107"/>
        <v>WNW</v>
      </c>
      <c r="E174" s="15" t="str">
        <f t="shared" si="108"/>
        <v>WNW</v>
      </c>
      <c r="F174" s="15" t="str">
        <f t="shared" si="109"/>
        <v>WNW</v>
      </c>
      <c r="G174" s="15" t="str">
        <f t="shared" si="110"/>
        <v>WNW</v>
      </c>
      <c r="H174" s="15" t="str">
        <f t="shared" si="111"/>
        <v>S</v>
      </c>
      <c r="I174" s="15" t="str">
        <f t="shared" si="112"/>
        <v>S</v>
      </c>
      <c r="J174" s="15" t="str">
        <f t="shared" si="113"/>
        <v>S</v>
      </c>
      <c r="K174" s="15" t="str">
        <f t="shared" si="114"/>
        <v>S</v>
      </c>
      <c r="L174" s="15" t="str">
        <f t="shared" si="115"/>
        <v>WNW</v>
      </c>
      <c r="M174" s="15" t="str">
        <f t="shared" si="116"/>
        <v>WNW</v>
      </c>
      <c r="N174" s="15" t="str">
        <f t="shared" si="117"/>
        <v>WNW</v>
      </c>
      <c r="O174" s="15" t="str">
        <f t="shared" si="118"/>
        <v>WNW</v>
      </c>
      <c r="Q174" t="str">
        <f t="shared" si="93"/>
        <v>NW</v>
      </c>
      <c r="R174" t="str">
        <f t="shared" si="94"/>
        <v>NW</v>
      </c>
      <c r="S174" t="str">
        <f t="shared" si="95"/>
        <v>NW</v>
      </c>
      <c r="T174" t="str">
        <f t="shared" si="96"/>
        <v>NW</v>
      </c>
      <c r="U174" t="str">
        <f t="shared" si="97"/>
        <v>S</v>
      </c>
      <c r="V174" t="str">
        <f t="shared" si="98"/>
        <v>S</v>
      </c>
      <c r="W174" t="str">
        <f t="shared" si="99"/>
        <v>S</v>
      </c>
      <c r="X174" t="str">
        <f t="shared" si="100"/>
        <v>S</v>
      </c>
      <c r="Y174" t="str">
        <f t="shared" si="101"/>
        <v>S</v>
      </c>
      <c r="Z174" t="str">
        <f t="shared" si="102"/>
        <v>S</v>
      </c>
      <c r="AA174" t="str">
        <f t="shared" si="103"/>
        <v>NW</v>
      </c>
      <c r="AB174" t="str">
        <f t="shared" si="105"/>
        <v>NW</v>
      </c>
      <c r="AC174" t="str">
        <f t="shared" si="104"/>
        <v>NW</v>
      </c>
    </row>
    <row r="175" spans="1:29">
      <c r="A175" s="1" t="s">
        <v>198</v>
      </c>
      <c r="B175" s="4" t="s">
        <v>199</v>
      </c>
      <c r="C175" s="15" t="str">
        <f t="shared" si="106"/>
        <v>NW</v>
      </c>
      <c r="D175" s="15" t="str">
        <f t="shared" si="107"/>
        <v>NW</v>
      </c>
      <c r="E175" s="15" t="str">
        <f t="shared" si="108"/>
        <v>NW</v>
      </c>
      <c r="F175" s="15" t="str">
        <f t="shared" si="109"/>
        <v>NW</v>
      </c>
      <c r="G175" s="15" t="str">
        <f t="shared" si="110"/>
        <v>NW</v>
      </c>
      <c r="H175" s="15" t="str">
        <f t="shared" si="111"/>
        <v>NW</v>
      </c>
      <c r="I175" s="15" t="str">
        <f t="shared" si="112"/>
        <v>NW</v>
      </c>
      <c r="J175" s="15" t="str">
        <f t="shared" si="113"/>
        <v>NW</v>
      </c>
      <c r="K175" s="15" t="str">
        <f t="shared" si="114"/>
        <v>NW</v>
      </c>
      <c r="L175" s="15" t="str">
        <f t="shared" si="115"/>
        <v>NW</v>
      </c>
      <c r="M175" s="15" t="str">
        <f t="shared" si="116"/>
        <v>NW</v>
      </c>
      <c r="N175" s="15" t="str">
        <f t="shared" si="117"/>
        <v>NW</v>
      </c>
      <c r="O175" s="15" t="str">
        <f t="shared" si="118"/>
        <v>NW</v>
      </c>
      <c r="Q175" t="str">
        <f t="shared" si="93"/>
        <v>S</v>
      </c>
      <c r="R175" t="str">
        <f t="shared" si="94"/>
        <v>S</v>
      </c>
      <c r="S175" t="str">
        <f t="shared" si="95"/>
        <v>S</v>
      </c>
      <c r="T175" t="str">
        <f t="shared" si="96"/>
        <v>S</v>
      </c>
      <c r="U175" t="str">
        <f t="shared" si="97"/>
        <v>S</v>
      </c>
      <c r="V175" t="str">
        <f t="shared" si="98"/>
        <v>S</v>
      </c>
      <c r="W175" t="str">
        <f t="shared" si="99"/>
        <v>S</v>
      </c>
      <c r="X175" t="str">
        <f t="shared" si="100"/>
        <v>S</v>
      </c>
      <c r="Y175" t="str">
        <f t="shared" si="101"/>
        <v>S</v>
      </c>
      <c r="Z175" t="str">
        <f t="shared" si="102"/>
        <v>S</v>
      </c>
      <c r="AA175" t="str">
        <f t="shared" si="103"/>
        <v>S</v>
      </c>
      <c r="AB175" t="str">
        <f t="shared" si="105"/>
        <v>S</v>
      </c>
      <c r="AC175" t="str">
        <f t="shared" si="104"/>
        <v>S</v>
      </c>
    </row>
    <row r="176" spans="1:29" ht="34.200000000000003">
      <c r="A176" s="1" t="s">
        <v>198</v>
      </c>
      <c r="B176" s="2" t="s">
        <v>200</v>
      </c>
      <c r="C176" s="15" t="str">
        <f t="shared" si="106"/>
        <v>W</v>
      </c>
      <c r="D176" s="15" t="str">
        <f t="shared" si="107"/>
        <v>W</v>
      </c>
      <c r="E176" s="15" t="str">
        <f t="shared" si="108"/>
        <v>W</v>
      </c>
      <c r="F176" s="15" t="str">
        <f t="shared" si="109"/>
        <v>W</v>
      </c>
      <c r="G176" s="15" t="str">
        <f t="shared" si="110"/>
        <v>W</v>
      </c>
      <c r="H176" s="15" t="str">
        <f t="shared" si="111"/>
        <v>W</v>
      </c>
      <c r="I176" s="15" t="str">
        <f t="shared" si="112"/>
        <v>W</v>
      </c>
      <c r="J176" s="15" t="str">
        <f t="shared" si="113"/>
        <v>W</v>
      </c>
      <c r="K176" s="15" t="str">
        <f t="shared" si="114"/>
        <v>W</v>
      </c>
      <c r="L176" s="15" t="str">
        <f t="shared" si="115"/>
        <v>W</v>
      </c>
      <c r="M176" s="15" t="str">
        <f t="shared" si="116"/>
        <v>W</v>
      </c>
      <c r="N176" s="15" t="str">
        <f t="shared" si="117"/>
        <v>W</v>
      </c>
      <c r="O176" s="15" t="str">
        <f t="shared" si="118"/>
        <v>W</v>
      </c>
      <c r="Q176" t="str">
        <f t="shared" si="93"/>
        <v>W</v>
      </c>
      <c r="R176" t="str">
        <f t="shared" si="94"/>
        <v>NW</v>
      </c>
      <c r="S176" t="str">
        <f t="shared" si="95"/>
        <v>W</v>
      </c>
      <c r="T176" t="str">
        <f t="shared" si="96"/>
        <v>S</v>
      </c>
      <c r="U176" t="str">
        <f t="shared" si="97"/>
        <v>S</v>
      </c>
      <c r="V176" t="str">
        <f t="shared" si="98"/>
        <v>S</v>
      </c>
      <c r="W176" t="b">
        <f t="shared" si="99"/>
        <v>0</v>
      </c>
      <c r="X176" t="str">
        <f t="shared" si="100"/>
        <v>S</v>
      </c>
      <c r="Y176" t="str">
        <f t="shared" si="101"/>
        <v>S</v>
      </c>
      <c r="Z176" t="str">
        <f t="shared" si="102"/>
        <v>S</v>
      </c>
      <c r="AA176" t="str">
        <f t="shared" si="103"/>
        <v>S</v>
      </c>
      <c r="AB176" t="str">
        <f t="shared" si="105"/>
        <v>S</v>
      </c>
      <c r="AC176" t="str">
        <f t="shared" si="104"/>
        <v>S</v>
      </c>
    </row>
    <row r="177" spans="1:29" ht="22.8">
      <c r="A177" s="1" t="s">
        <v>198</v>
      </c>
      <c r="B177" s="2" t="s">
        <v>201</v>
      </c>
      <c r="C177" s="15" t="str">
        <f t="shared" si="106"/>
        <v>W</v>
      </c>
      <c r="D177" s="15" t="str">
        <f t="shared" si="107"/>
        <v>W</v>
      </c>
      <c r="E177" s="15" t="str">
        <f t="shared" si="108"/>
        <v>W</v>
      </c>
      <c r="F177" s="15" t="str">
        <f t="shared" si="109"/>
        <v>W</v>
      </c>
      <c r="G177" s="15" t="str">
        <f t="shared" si="110"/>
        <v>W</v>
      </c>
      <c r="H177" s="15" t="str">
        <f t="shared" si="111"/>
        <v>W</v>
      </c>
      <c r="I177" s="15" t="str">
        <f t="shared" si="112"/>
        <v>W</v>
      </c>
      <c r="J177" s="15" t="str">
        <f t="shared" si="113"/>
        <v>W</v>
      </c>
      <c r="K177" s="15" t="str">
        <f t="shared" si="114"/>
        <v>W</v>
      </c>
      <c r="L177" s="15" t="str">
        <f t="shared" si="115"/>
        <v>W</v>
      </c>
      <c r="M177" s="15" t="str">
        <f t="shared" si="116"/>
        <v>W</v>
      </c>
      <c r="N177" s="15" t="str">
        <f t="shared" si="117"/>
        <v>W</v>
      </c>
      <c r="O177" s="15" t="str">
        <f t="shared" si="118"/>
        <v>W</v>
      </c>
      <c r="Q177" t="str">
        <f t="shared" si="93"/>
        <v>NW</v>
      </c>
      <c r="R177" t="str">
        <f t="shared" si="94"/>
        <v>NW</v>
      </c>
      <c r="S177" t="str">
        <f t="shared" si="95"/>
        <v>NW</v>
      </c>
      <c r="T177" t="str">
        <f t="shared" si="96"/>
        <v>NW</v>
      </c>
      <c r="U177" t="str">
        <f t="shared" si="97"/>
        <v>NW</v>
      </c>
      <c r="V177" t="str">
        <f t="shared" si="98"/>
        <v>S</v>
      </c>
      <c r="W177" t="str">
        <f t="shared" si="99"/>
        <v>S</v>
      </c>
      <c r="X177" t="str">
        <f t="shared" si="100"/>
        <v>S</v>
      </c>
      <c r="Y177" t="str">
        <f t="shared" si="101"/>
        <v>S</v>
      </c>
      <c r="Z177" t="str">
        <f t="shared" si="102"/>
        <v>S</v>
      </c>
      <c r="AA177" t="str">
        <f t="shared" si="103"/>
        <v>S</v>
      </c>
      <c r="AB177" t="str">
        <f t="shared" si="105"/>
        <v>S</v>
      </c>
      <c r="AC177" t="str">
        <f t="shared" si="104"/>
        <v>S</v>
      </c>
    </row>
    <row r="178" spans="1:29" ht="22.8">
      <c r="A178" s="2" t="s">
        <v>202</v>
      </c>
      <c r="B178" s="2" t="s">
        <v>203</v>
      </c>
      <c r="C178" s="15" t="str">
        <f t="shared" si="106"/>
        <v>WNW</v>
      </c>
      <c r="D178" s="15" t="str">
        <f t="shared" si="107"/>
        <v>WNW</v>
      </c>
      <c r="E178" s="15" t="str">
        <f t="shared" si="108"/>
        <v>WNW</v>
      </c>
      <c r="F178" s="15" t="str">
        <f t="shared" si="109"/>
        <v>S</v>
      </c>
      <c r="G178" s="15" t="str">
        <f t="shared" si="110"/>
        <v>S</v>
      </c>
      <c r="H178" s="15" t="str">
        <f t="shared" si="111"/>
        <v>S</v>
      </c>
      <c r="I178" s="15" t="str">
        <f t="shared" si="112"/>
        <v>S</v>
      </c>
      <c r="J178" s="15" t="str">
        <f t="shared" si="113"/>
        <v>S</v>
      </c>
      <c r="K178" s="15" t="str">
        <f t="shared" si="114"/>
        <v>S</v>
      </c>
      <c r="L178" s="15" t="str">
        <f t="shared" si="115"/>
        <v>NW</v>
      </c>
      <c r="M178" s="15" t="str">
        <f t="shared" si="116"/>
        <v>WNW</v>
      </c>
      <c r="N178" s="15" t="str">
        <f t="shared" si="117"/>
        <v>WNW</v>
      </c>
      <c r="O178" s="15" t="str">
        <f t="shared" si="118"/>
        <v>WNW</v>
      </c>
      <c r="Q178" t="str">
        <f t="shared" si="93"/>
        <v>SE</v>
      </c>
      <c r="R178" t="str">
        <f t="shared" si="94"/>
        <v>SE</v>
      </c>
      <c r="S178" t="str">
        <f t="shared" si="95"/>
        <v>SE</v>
      </c>
      <c r="T178" t="str">
        <f t="shared" si="96"/>
        <v>SE</v>
      </c>
      <c r="U178" t="str">
        <f t="shared" si="97"/>
        <v>SE</v>
      </c>
      <c r="V178" t="str">
        <f t="shared" si="98"/>
        <v>S</v>
      </c>
      <c r="W178" t="str">
        <f t="shared" si="99"/>
        <v>S</v>
      </c>
      <c r="X178" t="str">
        <f t="shared" si="100"/>
        <v>SE</v>
      </c>
      <c r="Y178" t="str">
        <f t="shared" si="101"/>
        <v>SE</v>
      </c>
      <c r="Z178" t="str">
        <f t="shared" si="102"/>
        <v>SE</v>
      </c>
      <c r="AA178" t="str">
        <f t="shared" si="103"/>
        <v>SE</v>
      </c>
      <c r="AB178" t="str">
        <f t="shared" si="105"/>
        <v>SE</v>
      </c>
      <c r="AC178" t="str">
        <f t="shared" si="104"/>
        <v>SE</v>
      </c>
    </row>
    <row r="179" spans="1:29" ht="22.8">
      <c r="A179" s="2" t="s">
        <v>202</v>
      </c>
      <c r="B179" s="2" t="s">
        <v>204</v>
      </c>
      <c r="C179" s="15" t="str">
        <f t="shared" si="106"/>
        <v>NW</v>
      </c>
      <c r="D179" s="15" t="str">
        <f t="shared" si="107"/>
        <v>NW</v>
      </c>
      <c r="E179" s="15" t="str">
        <f t="shared" si="108"/>
        <v>NW</v>
      </c>
      <c r="F179" s="15" t="str">
        <f t="shared" si="109"/>
        <v>S</v>
      </c>
      <c r="G179" s="15" t="str">
        <f t="shared" si="110"/>
        <v>S</v>
      </c>
      <c r="H179" s="15" t="str">
        <f t="shared" si="111"/>
        <v>S</v>
      </c>
      <c r="I179" s="15" t="str">
        <f t="shared" si="112"/>
        <v>S</v>
      </c>
      <c r="J179" s="15" t="str">
        <f t="shared" si="113"/>
        <v>S</v>
      </c>
      <c r="K179" s="15" t="str">
        <f t="shared" si="114"/>
        <v>S</v>
      </c>
      <c r="L179" s="15" t="str">
        <f t="shared" si="115"/>
        <v>N</v>
      </c>
      <c r="M179" s="15" t="str">
        <f t="shared" si="116"/>
        <v>NW</v>
      </c>
      <c r="N179" s="15" t="str">
        <f t="shared" si="117"/>
        <v>NW</v>
      </c>
      <c r="O179" s="15" t="str">
        <f t="shared" si="118"/>
        <v>S</v>
      </c>
      <c r="Q179" t="str">
        <f t="shared" si="93"/>
        <v>NE</v>
      </c>
      <c r="R179" t="str">
        <f t="shared" si="94"/>
        <v>NE</v>
      </c>
      <c r="S179" t="str">
        <f t="shared" si="95"/>
        <v>NW</v>
      </c>
      <c r="T179" t="str">
        <f t="shared" si="96"/>
        <v>NW</v>
      </c>
      <c r="U179" t="str">
        <f t="shared" si="97"/>
        <v>NW</v>
      </c>
      <c r="V179" t="str">
        <f t="shared" si="98"/>
        <v>NW</v>
      </c>
      <c r="W179" t="str">
        <f t="shared" si="99"/>
        <v>S</v>
      </c>
      <c r="X179" t="str">
        <f t="shared" si="100"/>
        <v>S</v>
      </c>
      <c r="Y179" t="str">
        <f t="shared" si="101"/>
        <v>E</v>
      </c>
      <c r="Z179" t="str">
        <f t="shared" si="102"/>
        <v>E</v>
      </c>
      <c r="AA179" t="str">
        <f t="shared" si="103"/>
        <v>NE</v>
      </c>
      <c r="AB179" t="str">
        <f t="shared" si="105"/>
        <v>NE</v>
      </c>
      <c r="AC179" t="str">
        <f t="shared" si="104"/>
        <v>NE</v>
      </c>
    </row>
    <row r="180" spans="1:29" ht="22.8">
      <c r="A180" s="2" t="s">
        <v>202</v>
      </c>
      <c r="B180" s="2" t="s">
        <v>205</v>
      </c>
      <c r="C180" s="15" t="str">
        <f t="shared" si="106"/>
        <v>WNW</v>
      </c>
      <c r="D180" s="15" t="str">
        <f t="shared" si="107"/>
        <v>WNW</v>
      </c>
      <c r="E180" s="15" t="str">
        <f t="shared" si="108"/>
        <v>WNW</v>
      </c>
      <c r="F180" s="15" t="str">
        <f t="shared" si="109"/>
        <v>NW</v>
      </c>
      <c r="G180" s="15" t="str">
        <f t="shared" si="110"/>
        <v>NW</v>
      </c>
      <c r="H180" s="15" t="str">
        <f t="shared" si="111"/>
        <v>NW</v>
      </c>
      <c r="I180" s="15" t="str">
        <f t="shared" si="112"/>
        <v>NW</v>
      </c>
      <c r="J180" s="15" t="str">
        <f t="shared" si="113"/>
        <v>NW</v>
      </c>
      <c r="K180" s="15" t="str">
        <f t="shared" si="114"/>
        <v>NW</v>
      </c>
      <c r="L180" s="15" t="str">
        <f t="shared" si="115"/>
        <v>NW</v>
      </c>
      <c r="M180" s="15" t="str">
        <f t="shared" si="116"/>
        <v>NW</v>
      </c>
      <c r="N180" s="15" t="str">
        <f t="shared" si="117"/>
        <v>NW</v>
      </c>
      <c r="O180" s="15" t="str">
        <f t="shared" si="118"/>
        <v>NW</v>
      </c>
      <c r="Q180" t="str">
        <f t="shared" si="93"/>
        <v>NW</v>
      </c>
      <c r="R180" t="str">
        <f t="shared" si="94"/>
        <v>NW</v>
      </c>
      <c r="S180" t="str">
        <f t="shared" si="95"/>
        <v>NW</v>
      </c>
      <c r="T180" t="str">
        <f t="shared" si="96"/>
        <v>S</v>
      </c>
      <c r="U180" t="str">
        <f t="shared" si="97"/>
        <v>SW</v>
      </c>
      <c r="V180" t="str">
        <f t="shared" si="98"/>
        <v>SW</v>
      </c>
      <c r="W180" t="str">
        <f t="shared" si="99"/>
        <v>SW</v>
      </c>
      <c r="X180" t="str">
        <f t="shared" si="100"/>
        <v>SW</v>
      </c>
      <c r="Y180" t="str">
        <f t="shared" si="101"/>
        <v>S</v>
      </c>
      <c r="Z180" t="str">
        <f t="shared" si="102"/>
        <v>S</v>
      </c>
      <c r="AA180" t="str">
        <f t="shared" si="103"/>
        <v>S</v>
      </c>
      <c r="AB180" t="str">
        <f t="shared" si="105"/>
        <v>NW</v>
      </c>
      <c r="AC180" t="str">
        <f t="shared" si="104"/>
        <v>S</v>
      </c>
    </row>
    <row r="181" spans="1:29" ht="22.8">
      <c r="A181" s="2" t="s">
        <v>206</v>
      </c>
      <c r="B181" s="2" t="s">
        <v>207</v>
      </c>
      <c r="C181" s="15" t="str">
        <f t="shared" si="106"/>
        <v>N</v>
      </c>
      <c r="D181" s="15" t="str">
        <f t="shared" si="107"/>
        <v>SSE</v>
      </c>
      <c r="E181" s="15" t="str">
        <f t="shared" si="108"/>
        <v>SSE</v>
      </c>
      <c r="F181" s="15" t="str">
        <f t="shared" si="109"/>
        <v>WSW</v>
      </c>
      <c r="G181" s="15" t="str">
        <f t="shared" si="110"/>
        <v>S</v>
      </c>
      <c r="H181" s="15" t="str">
        <f t="shared" si="111"/>
        <v>S</v>
      </c>
      <c r="I181" s="15" t="str">
        <f t="shared" si="112"/>
        <v>SSE</v>
      </c>
      <c r="J181" s="15" t="str">
        <f t="shared" si="113"/>
        <v>S</v>
      </c>
      <c r="K181" s="15" t="str">
        <f t="shared" si="114"/>
        <v>S</v>
      </c>
      <c r="L181" s="15" t="str">
        <f t="shared" si="115"/>
        <v>S</v>
      </c>
      <c r="M181" s="15" t="str">
        <f t="shared" si="116"/>
        <v>SSE</v>
      </c>
      <c r="N181" s="15" t="str">
        <f t="shared" si="117"/>
        <v>SSE</v>
      </c>
      <c r="O181" s="15" t="str">
        <f t="shared" si="118"/>
        <v>SSE</v>
      </c>
      <c r="Q181" t="str">
        <f t="shared" si="93"/>
        <v>W</v>
      </c>
      <c r="R181" t="str">
        <f t="shared" si="94"/>
        <v>W</v>
      </c>
      <c r="S181" t="str">
        <f t="shared" si="95"/>
        <v>W</v>
      </c>
      <c r="T181" t="str">
        <f t="shared" si="96"/>
        <v>W</v>
      </c>
      <c r="U181" t="str">
        <f t="shared" si="97"/>
        <v>SW</v>
      </c>
      <c r="V181" t="str">
        <f t="shared" si="98"/>
        <v>SW</v>
      </c>
      <c r="W181" t="str">
        <f t="shared" si="99"/>
        <v>SW</v>
      </c>
      <c r="X181" t="str">
        <f t="shared" si="100"/>
        <v>SW</v>
      </c>
      <c r="Y181" t="str">
        <f t="shared" si="101"/>
        <v>SW</v>
      </c>
      <c r="Z181" t="str">
        <f t="shared" si="102"/>
        <v>SW</v>
      </c>
      <c r="AA181" t="str">
        <f t="shared" si="103"/>
        <v>W</v>
      </c>
      <c r="AB181" t="str">
        <f t="shared" si="105"/>
        <v>W</v>
      </c>
      <c r="AC181" t="str">
        <f t="shared" si="104"/>
        <v>SW</v>
      </c>
    </row>
    <row r="182" spans="1:29" ht="22.8">
      <c r="A182" s="2" t="s">
        <v>206</v>
      </c>
      <c r="B182" s="2" t="s">
        <v>208</v>
      </c>
      <c r="C182" s="15" t="str">
        <f t="shared" si="106"/>
        <v>N</v>
      </c>
      <c r="D182" s="15" t="str">
        <f t="shared" si="107"/>
        <v>N</v>
      </c>
      <c r="E182" s="15" t="str">
        <f t="shared" si="108"/>
        <v>N</v>
      </c>
      <c r="F182" s="15" t="str">
        <f t="shared" si="109"/>
        <v>SW</v>
      </c>
      <c r="G182" s="15" t="str">
        <f t="shared" si="110"/>
        <v>S</v>
      </c>
      <c r="H182" s="15" t="str">
        <f t="shared" si="111"/>
        <v>E</v>
      </c>
      <c r="I182" s="15" t="str">
        <f t="shared" si="112"/>
        <v>E</v>
      </c>
      <c r="J182" s="15" t="str">
        <f t="shared" si="113"/>
        <v>E</v>
      </c>
      <c r="K182" s="15" t="str">
        <f t="shared" si="114"/>
        <v>ESE</v>
      </c>
      <c r="L182" s="15" t="str">
        <f t="shared" si="115"/>
        <v>N</v>
      </c>
      <c r="M182" s="15" t="str">
        <f t="shared" si="116"/>
        <v>N</v>
      </c>
      <c r="N182" s="15" t="str">
        <f t="shared" si="117"/>
        <v>N</v>
      </c>
      <c r="O182" s="15" t="str">
        <f t="shared" si="118"/>
        <v>N</v>
      </c>
      <c r="Q182" t="str">
        <f t="shared" si="93"/>
        <v>SW</v>
      </c>
      <c r="R182" t="str">
        <f t="shared" si="94"/>
        <v>SW</v>
      </c>
      <c r="S182" t="str">
        <f t="shared" si="95"/>
        <v>SW</v>
      </c>
      <c r="T182" t="str">
        <f t="shared" si="96"/>
        <v>SW</v>
      </c>
      <c r="U182" t="str">
        <f t="shared" si="97"/>
        <v>SW</v>
      </c>
      <c r="V182" t="str">
        <f t="shared" si="98"/>
        <v>SW</v>
      </c>
      <c r="W182" t="str">
        <f t="shared" si="99"/>
        <v>SW</v>
      </c>
      <c r="X182" t="str">
        <f t="shared" si="100"/>
        <v>SW</v>
      </c>
      <c r="Y182" t="str">
        <f t="shared" si="101"/>
        <v>SW</v>
      </c>
      <c r="Z182" t="str">
        <f t="shared" si="102"/>
        <v>SW</v>
      </c>
      <c r="AA182" t="str">
        <f t="shared" si="103"/>
        <v>SW</v>
      </c>
      <c r="AB182" t="str">
        <f t="shared" si="105"/>
        <v>SW</v>
      </c>
      <c r="AC182" t="str">
        <f t="shared" si="104"/>
        <v>SW</v>
      </c>
    </row>
    <row r="183" spans="1:29" ht="22.8">
      <c r="A183" s="2" t="s">
        <v>206</v>
      </c>
      <c r="B183" s="2" t="s">
        <v>209</v>
      </c>
      <c r="C183" s="15" t="str">
        <f t="shared" si="106"/>
        <v>W</v>
      </c>
      <c r="D183" s="15" t="str">
        <f t="shared" si="107"/>
        <v>W</v>
      </c>
      <c r="E183" s="15" t="str">
        <f t="shared" si="108"/>
        <v>W</v>
      </c>
      <c r="F183" s="15" t="str">
        <f t="shared" si="109"/>
        <v>SW</v>
      </c>
      <c r="G183" s="15" t="str">
        <f t="shared" si="110"/>
        <v>SW</v>
      </c>
      <c r="H183" s="15" t="str">
        <f t="shared" si="111"/>
        <v>SW</v>
      </c>
      <c r="I183" s="15" t="str">
        <f t="shared" si="112"/>
        <v>SW</v>
      </c>
      <c r="J183" s="15" t="str">
        <f t="shared" si="113"/>
        <v>SW</v>
      </c>
      <c r="K183" s="15" t="str">
        <f t="shared" si="114"/>
        <v>SSW</v>
      </c>
      <c r="L183" s="15" t="str">
        <f t="shared" si="115"/>
        <v>SW</v>
      </c>
      <c r="M183" s="15" t="str">
        <f t="shared" si="116"/>
        <v>W</v>
      </c>
      <c r="N183" s="15" t="str">
        <f t="shared" si="117"/>
        <v>SW</v>
      </c>
      <c r="O183" s="15" t="str">
        <f t="shared" si="118"/>
        <v>SW</v>
      </c>
      <c r="Q183" t="str">
        <f t="shared" si="93"/>
        <v>W</v>
      </c>
      <c r="R183" t="str">
        <f t="shared" si="94"/>
        <v>W</v>
      </c>
      <c r="S183" t="str">
        <f t="shared" si="95"/>
        <v>W</v>
      </c>
      <c r="T183" t="str">
        <f t="shared" si="96"/>
        <v>W</v>
      </c>
      <c r="U183" t="str">
        <f t="shared" si="97"/>
        <v>N</v>
      </c>
      <c r="V183" t="str">
        <f t="shared" si="98"/>
        <v>S</v>
      </c>
      <c r="W183" t="str">
        <f t="shared" si="99"/>
        <v>W</v>
      </c>
      <c r="X183" t="str">
        <f t="shared" si="100"/>
        <v>S</v>
      </c>
      <c r="Y183" t="str">
        <f t="shared" si="101"/>
        <v>S</v>
      </c>
      <c r="Z183" t="str">
        <f t="shared" si="102"/>
        <v>S</v>
      </c>
      <c r="AA183" t="str">
        <f t="shared" si="103"/>
        <v>W</v>
      </c>
      <c r="AB183" t="str">
        <f t="shared" si="105"/>
        <v>W</v>
      </c>
      <c r="AC183" t="str">
        <f t="shared" si="104"/>
        <v>W</v>
      </c>
    </row>
    <row r="184" spans="1:29" ht="22.8">
      <c r="A184" s="2" t="s">
        <v>206</v>
      </c>
      <c r="B184" s="2" t="s">
        <v>210</v>
      </c>
      <c r="C184" s="15" t="str">
        <f t="shared" si="106"/>
        <v>W</v>
      </c>
      <c r="D184" s="15" t="str">
        <f t="shared" si="107"/>
        <v>W</v>
      </c>
      <c r="E184" s="15" t="str">
        <f t="shared" si="108"/>
        <v>W</v>
      </c>
      <c r="F184" s="15" t="str">
        <f t="shared" si="109"/>
        <v>W</v>
      </c>
      <c r="G184" s="15" t="str">
        <f t="shared" si="110"/>
        <v>W</v>
      </c>
      <c r="H184" s="15" t="str">
        <f t="shared" si="111"/>
        <v>S</v>
      </c>
      <c r="I184" s="15" t="str">
        <f t="shared" si="112"/>
        <v>S</v>
      </c>
      <c r="J184" s="15" t="str">
        <f t="shared" si="113"/>
        <v>SSE</v>
      </c>
      <c r="K184" s="15" t="str">
        <f t="shared" si="114"/>
        <v>SSW</v>
      </c>
      <c r="L184" s="15" t="str">
        <f t="shared" si="115"/>
        <v>WSW</v>
      </c>
      <c r="M184" s="15" t="str">
        <f t="shared" si="116"/>
        <v>W</v>
      </c>
      <c r="N184" s="15" t="str">
        <f t="shared" si="117"/>
        <v>W</v>
      </c>
      <c r="O184" s="15" t="str">
        <f t="shared" si="118"/>
        <v>W</v>
      </c>
      <c r="Q184" t="str">
        <f t="shared" si="93"/>
        <v>SW</v>
      </c>
      <c r="R184" t="str">
        <f t="shared" si="94"/>
        <v>SW</v>
      </c>
      <c r="S184" t="str">
        <f t="shared" si="95"/>
        <v>SW</v>
      </c>
      <c r="T184" t="str">
        <f t="shared" si="96"/>
        <v>SW</v>
      </c>
      <c r="U184" t="str">
        <f t="shared" si="97"/>
        <v>SW</v>
      </c>
      <c r="V184" t="str">
        <f t="shared" si="98"/>
        <v>SW</v>
      </c>
      <c r="W184" t="str">
        <f t="shared" si="99"/>
        <v>SW</v>
      </c>
      <c r="X184" t="str">
        <f t="shared" si="100"/>
        <v>SW</v>
      </c>
      <c r="Y184" t="str">
        <f t="shared" si="101"/>
        <v>SW</v>
      </c>
      <c r="Z184" t="str">
        <f t="shared" si="102"/>
        <v>SW</v>
      </c>
      <c r="AA184" t="str">
        <f t="shared" si="103"/>
        <v>SW</v>
      </c>
      <c r="AB184" t="str">
        <f t="shared" si="105"/>
        <v>SW</v>
      </c>
      <c r="AC184" t="str">
        <f t="shared" si="104"/>
        <v>SW</v>
      </c>
    </row>
    <row r="185" spans="1:29" ht="22.8">
      <c r="A185" s="2" t="s">
        <v>206</v>
      </c>
      <c r="B185" s="2" t="s">
        <v>211</v>
      </c>
      <c r="C185" s="15" t="str">
        <f t="shared" si="106"/>
        <v>S</v>
      </c>
      <c r="D185" s="15" t="str">
        <f t="shared" si="107"/>
        <v>S</v>
      </c>
      <c r="E185" s="15" t="str">
        <f t="shared" si="108"/>
        <v>S</v>
      </c>
      <c r="F185" s="15" t="str">
        <f t="shared" si="109"/>
        <v>S</v>
      </c>
      <c r="G185" s="15" t="str">
        <f t="shared" si="110"/>
        <v>S</v>
      </c>
      <c r="H185" s="15" t="str">
        <f t="shared" si="111"/>
        <v>SSE</v>
      </c>
      <c r="I185" s="15" t="str">
        <f t="shared" si="112"/>
        <v>SE</v>
      </c>
      <c r="J185" s="15" t="str">
        <f t="shared" si="113"/>
        <v>SE</v>
      </c>
      <c r="K185" s="15" t="str">
        <f t="shared" si="114"/>
        <v>S</v>
      </c>
      <c r="L185" s="15" t="str">
        <f t="shared" si="115"/>
        <v>SSE</v>
      </c>
      <c r="M185" s="15" t="str">
        <f t="shared" si="116"/>
        <v>S</v>
      </c>
      <c r="N185" s="15" t="str">
        <f t="shared" si="117"/>
        <v>S</v>
      </c>
      <c r="O185" s="15" t="str">
        <f t="shared" si="118"/>
        <v>S</v>
      </c>
      <c r="Q185" t="str">
        <f t="shared" si="93"/>
        <v>NW</v>
      </c>
      <c r="R185" t="str">
        <f t="shared" si="94"/>
        <v>NW</v>
      </c>
      <c r="S185" t="str">
        <f t="shared" si="95"/>
        <v>NW</v>
      </c>
      <c r="T185" t="str">
        <f t="shared" si="96"/>
        <v>NW</v>
      </c>
      <c r="U185" t="str">
        <f t="shared" si="97"/>
        <v>S</v>
      </c>
      <c r="V185" t="str">
        <f t="shared" si="98"/>
        <v>S</v>
      </c>
      <c r="W185" t="str">
        <f t="shared" si="99"/>
        <v>S</v>
      </c>
      <c r="X185" t="str">
        <f t="shared" si="100"/>
        <v>S</v>
      </c>
      <c r="Y185" t="str">
        <f t="shared" si="101"/>
        <v>S</v>
      </c>
      <c r="Z185" t="str">
        <f t="shared" si="102"/>
        <v>S</v>
      </c>
      <c r="AA185" t="str">
        <f t="shared" si="103"/>
        <v>NW</v>
      </c>
      <c r="AB185" t="str">
        <f t="shared" si="105"/>
        <v>NW</v>
      </c>
      <c r="AC185" t="str">
        <f t="shared" si="104"/>
        <v>S</v>
      </c>
    </row>
    <row r="186" spans="1:29" ht="22.8">
      <c r="A186" s="2" t="s">
        <v>212</v>
      </c>
      <c r="B186" s="2" t="s">
        <v>81</v>
      </c>
      <c r="C186" s="15" t="str">
        <f t="shared" ref="C186:C217" si="119">INDEX(tablewind,MATCH($B186,citywind,0),2)</f>
        <v>WNW</v>
      </c>
      <c r="D186" s="15" t="str">
        <f t="shared" ref="D186:D217" si="120">INDEX(tablewind,MATCH($B186,citywind,0),3)</f>
        <v>WNW</v>
      </c>
      <c r="E186" s="15" t="str">
        <f t="shared" ref="E186:E217" si="121">INDEX(tablewind,MATCH($B186,citywind,0),4)</f>
        <v>WNW</v>
      </c>
      <c r="F186" s="15" t="str">
        <f t="shared" ref="F186:F217" si="122">INDEX(tablewind,MATCH($B186,citywind,0),5)</f>
        <v>WNW</v>
      </c>
      <c r="G186" s="15" t="str">
        <f t="shared" ref="G186:G217" si="123">INDEX(tablewind,MATCH($B186,citywind,0),6)</f>
        <v>S</v>
      </c>
      <c r="H186" s="15" t="str">
        <f t="shared" ref="H186:H217" si="124">INDEX(tablewind,MATCH($B186,citywind,0),7)</f>
        <v>S</v>
      </c>
      <c r="I186" s="15" t="str">
        <f t="shared" ref="I186:I217" si="125">INDEX(tablewind,MATCH($B186,citywind,0),8)</f>
        <v>S</v>
      </c>
      <c r="J186" s="15" t="str">
        <f t="shared" ref="J186:J217" si="126">INDEX(tablewind,MATCH($B186,citywind,0),9)</f>
        <v>S</v>
      </c>
      <c r="K186" s="15" t="str">
        <f t="shared" ref="K186:K217" si="127">INDEX(tablewind,MATCH($B186,citywind,0),10)</f>
        <v>S</v>
      </c>
      <c r="L186" s="15" t="str">
        <f t="shared" ref="L186:L217" si="128">INDEX(tablewind,MATCH($B186,citywind,0),11)</f>
        <v>S</v>
      </c>
      <c r="M186" s="15" t="str">
        <f t="shared" ref="M186:M217" si="129">INDEX(tablewind,MATCH($B186,citywind,0),12)</f>
        <v>S</v>
      </c>
      <c r="N186" s="15" t="str">
        <f t="shared" ref="N186:N217" si="130">INDEX(tablewind,MATCH($B186,citywind,0),13)</f>
        <v>WNW</v>
      </c>
      <c r="O186" s="15" t="str">
        <f t="shared" ref="O186:O217" si="131">INDEX(tablewind,MATCH($B186,citywind,0),14)</f>
        <v>S</v>
      </c>
      <c r="Q186" t="str">
        <f t="shared" si="93"/>
        <v>S</v>
      </c>
      <c r="R186" t="str">
        <f t="shared" si="94"/>
        <v>S</v>
      </c>
      <c r="S186" t="str">
        <f t="shared" si="95"/>
        <v>NW</v>
      </c>
      <c r="T186" t="str">
        <f t="shared" si="96"/>
        <v>S</v>
      </c>
      <c r="U186" t="str">
        <f t="shared" si="97"/>
        <v>S</v>
      </c>
      <c r="V186" t="str">
        <f t="shared" si="98"/>
        <v>S</v>
      </c>
      <c r="W186" t="str">
        <f t="shared" si="99"/>
        <v>S</v>
      </c>
      <c r="X186" t="str">
        <f t="shared" si="100"/>
        <v>S</v>
      </c>
      <c r="Y186" t="str">
        <f t="shared" si="101"/>
        <v>S</v>
      </c>
      <c r="Z186" t="str">
        <f t="shared" si="102"/>
        <v>S</v>
      </c>
      <c r="AA186" t="str">
        <f t="shared" si="103"/>
        <v>S</v>
      </c>
      <c r="AB186" t="str">
        <f t="shared" si="105"/>
        <v>S</v>
      </c>
      <c r="AC186" t="str">
        <f t="shared" si="104"/>
        <v>S</v>
      </c>
    </row>
    <row r="187" spans="1:29" ht="22.8">
      <c r="A187" s="2" t="s">
        <v>212</v>
      </c>
      <c r="B187" s="4" t="s">
        <v>213</v>
      </c>
      <c r="C187" s="15" t="str">
        <f t="shared" si="119"/>
        <v>WNW</v>
      </c>
      <c r="D187" s="15" t="str">
        <f t="shared" si="120"/>
        <v>WNW</v>
      </c>
      <c r="E187" s="15" t="str">
        <f t="shared" si="121"/>
        <v>WNW</v>
      </c>
      <c r="F187" s="15" t="str">
        <f t="shared" si="122"/>
        <v>WNW</v>
      </c>
      <c r="G187" s="15" t="str">
        <f t="shared" si="123"/>
        <v>NW</v>
      </c>
      <c r="H187" s="15" t="str">
        <f t="shared" si="124"/>
        <v>SW</v>
      </c>
      <c r="I187" s="15" t="str">
        <f t="shared" si="125"/>
        <v>SW</v>
      </c>
      <c r="J187" s="15" t="str">
        <f t="shared" si="126"/>
        <v>SW</v>
      </c>
      <c r="K187" s="15" t="str">
        <f t="shared" si="127"/>
        <v>S</v>
      </c>
      <c r="L187" s="15" t="str">
        <f t="shared" si="128"/>
        <v>S</v>
      </c>
      <c r="M187" s="15" t="str">
        <f t="shared" si="129"/>
        <v>NW</v>
      </c>
      <c r="N187" s="15" t="str">
        <f t="shared" si="130"/>
        <v>WNW</v>
      </c>
      <c r="O187" s="15" t="str">
        <f t="shared" si="131"/>
        <v>WNW</v>
      </c>
      <c r="Q187" t="str">
        <f t="shared" si="93"/>
        <v>NW</v>
      </c>
      <c r="R187" t="str">
        <f t="shared" si="94"/>
        <v>NW</v>
      </c>
      <c r="S187" t="str">
        <f t="shared" si="95"/>
        <v>NW</v>
      </c>
      <c r="T187" t="str">
        <f t="shared" si="96"/>
        <v>NW</v>
      </c>
      <c r="U187" t="str">
        <f t="shared" si="97"/>
        <v>NW</v>
      </c>
      <c r="V187" t="str">
        <f t="shared" si="98"/>
        <v>SE</v>
      </c>
      <c r="W187" t="str">
        <f t="shared" si="99"/>
        <v>SE</v>
      </c>
      <c r="X187" t="str">
        <f t="shared" si="100"/>
        <v>SE</v>
      </c>
      <c r="Y187" t="str">
        <f t="shared" si="101"/>
        <v>SE</v>
      </c>
      <c r="Z187" t="str">
        <f t="shared" si="102"/>
        <v>NW</v>
      </c>
      <c r="AA187" t="str">
        <f t="shared" si="103"/>
        <v>NW</v>
      </c>
      <c r="AB187" t="str">
        <f t="shared" si="105"/>
        <v>NW</v>
      </c>
      <c r="AC187" t="str">
        <f t="shared" si="104"/>
        <v>NW</v>
      </c>
    </row>
    <row r="188" spans="1:29" ht="22.8">
      <c r="A188" s="2" t="s">
        <v>212</v>
      </c>
      <c r="B188" s="2" t="s">
        <v>214</v>
      </c>
      <c r="C188" s="15" t="str">
        <f t="shared" si="119"/>
        <v>W</v>
      </c>
      <c r="D188" s="15" t="str">
        <f t="shared" si="120"/>
        <v>WSW</v>
      </c>
      <c r="E188" s="15" t="str">
        <f t="shared" si="121"/>
        <v>WSW</v>
      </c>
      <c r="F188" s="15" t="str">
        <f t="shared" si="122"/>
        <v>SW</v>
      </c>
      <c r="G188" s="15" t="str">
        <f t="shared" si="123"/>
        <v>SW</v>
      </c>
      <c r="H188" s="15" t="str">
        <f t="shared" si="124"/>
        <v>SW</v>
      </c>
      <c r="I188" s="15" t="str">
        <f t="shared" si="125"/>
        <v>SW</v>
      </c>
      <c r="J188" s="15" t="str">
        <f t="shared" si="126"/>
        <v>SW</v>
      </c>
      <c r="K188" s="15" t="str">
        <f t="shared" si="127"/>
        <v>SW</v>
      </c>
      <c r="L188" s="15" t="str">
        <f t="shared" si="128"/>
        <v>SW</v>
      </c>
      <c r="M188" s="15" t="str">
        <f t="shared" si="129"/>
        <v>W</v>
      </c>
      <c r="N188" s="15" t="str">
        <f t="shared" si="130"/>
        <v>W</v>
      </c>
      <c r="O188" s="15" t="str">
        <f t="shared" si="131"/>
        <v>WSW</v>
      </c>
      <c r="Q188" t="str">
        <f t="shared" si="93"/>
        <v>NW</v>
      </c>
      <c r="R188" t="str">
        <f t="shared" si="94"/>
        <v>NW</v>
      </c>
      <c r="S188" t="str">
        <f t="shared" si="95"/>
        <v>NW</v>
      </c>
      <c r="T188" t="str">
        <f t="shared" si="96"/>
        <v>NW</v>
      </c>
      <c r="U188" t="str">
        <f t="shared" si="97"/>
        <v>NW</v>
      </c>
      <c r="V188" t="str">
        <f t="shared" si="98"/>
        <v>NW</v>
      </c>
      <c r="W188" t="str">
        <f t="shared" si="99"/>
        <v>NW</v>
      </c>
      <c r="X188" t="str">
        <f t="shared" si="100"/>
        <v>NW</v>
      </c>
      <c r="Y188" t="str">
        <f t="shared" si="101"/>
        <v>NW</v>
      </c>
      <c r="Z188" t="str">
        <f t="shared" si="102"/>
        <v>NW</v>
      </c>
      <c r="AA188" t="str">
        <f t="shared" si="103"/>
        <v>NW</v>
      </c>
      <c r="AB188" t="str">
        <f t="shared" si="105"/>
        <v>NW</v>
      </c>
      <c r="AC188" t="str">
        <f t="shared" si="104"/>
        <v>NW</v>
      </c>
    </row>
    <row r="189" spans="1:29" ht="22.8">
      <c r="A189" s="2" t="s">
        <v>212</v>
      </c>
      <c r="B189" s="2" t="s">
        <v>215</v>
      </c>
      <c r="C189" s="15" t="str">
        <f t="shared" si="119"/>
        <v>WNW</v>
      </c>
      <c r="D189" s="15" t="str">
        <f t="shared" si="120"/>
        <v>WNW</v>
      </c>
      <c r="E189" s="15" t="str">
        <f t="shared" si="121"/>
        <v>WNW</v>
      </c>
      <c r="F189" s="15" t="str">
        <f t="shared" si="122"/>
        <v>WNW</v>
      </c>
      <c r="G189" s="15" t="str">
        <f t="shared" si="123"/>
        <v>WNW</v>
      </c>
      <c r="H189" s="15" t="str">
        <f t="shared" si="124"/>
        <v>WNW</v>
      </c>
      <c r="I189" s="15" t="str">
        <f t="shared" si="125"/>
        <v>NW</v>
      </c>
      <c r="J189" s="15" t="str">
        <f t="shared" si="126"/>
        <v>NW</v>
      </c>
      <c r="K189" s="15" t="str">
        <f t="shared" si="127"/>
        <v>NW</v>
      </c>
      <c r="L189" s="15" t="str">
        <f t="shared" si="128"/>
        <v>SW</v>
      </c>
      <c r="M189" s="15" t="str">
        <f t="shared" si="129"/>
        <v>SW</v>
      </c>
      <c r="N189" s="15" t="str">
        <f t="shared" si="130"/>
        <v>SW</v>
      </c>
      <c r="O189" s="15" t="str">
        <f t="shared" si="131"/>
        <v>WNW</v>
      </c>
      <c r="Q189" t="str">
        <f t="shared" si="93"/>
        <v>N</v>
      </c>
      <c r="R189" t="str">
        <f t="shared" si="94"/>
        <v>N</v>
      </c>
      <c r="S189" t="str">
        <f t="shared" si="95"/>
        <v>N</v>
      </c>
      <c r="T189" t="str">
        <f t="shared" si="96"/>
        <v>N</v>
      </c>
      <c r="U189" t="str">
        <f t="shared" si="97"/>
        <v>N</v>
      </c>
      <c r="V189" t="str">
        <f t="shared" si="98"/>
        <v>N</v>
      </c>
      <c r="W189" t="str">
        <f t="shared" si="99"/>
        <v>S</v>
      </c>
      <c r="X189" t="str">
        <f t="shared" si="100"/>
        <v>S</v>
      </c>
      <c r="Y189" t="str">
        <f t="shared" si="101"/>
        <v>S</v>
      </c>
      <c r="Z189" t="str">
        <f t="shared" si="102"/>
        <v>S</v>
      </c>
      <c r="AA189" t="str">
        <f t="shared" si="103"/>
        <v>S</v>
      </c>
      <c r="AB189" t="str">
        <f t="shared" si="105"/>
        <v>S</v>
      </c>
      <c r="AC189" t="str">
        <f t="shared" si="104"/>
        <v>S</v>
      </c>
    </row>
    <row r="190" spans="1:29" ht="22.8">
      <c r="A190" s="2" t="s">
        <v>212</v>
      </c>
      <c r="B190" s="2" t="s">
        <v>216</v>
      </c>
      <c r="C190" s="15" t="str">
        <f t="shared" si="119"/>
        <v>W</v>
      </c>
      <c r="D190" s="15" t="str">
        <f t="shared" si="120"/>
        <v>W</v>
      </c>
      <c r="E190" s="15" t="str">
        <f t="shared" si="121"/>
        <v>WNW</v>
      </c>
      <c r="F190" s="15" t="str">
        <f t="shared" si="122"/>
        <v>W</v>
      </c>
      <c r="G190" s="15" t="str">
        <f t="shared" si="123"/>
        <v>WSW</v>
      </c>
      <c r="H190" s="15" t="str">
        <f t="shared" si="124"/>
        <v>WSW</v>
      </c>
      <c r="I190" s="15" t="str">
        <f t="shared" si="125"/>
        <v>WSW</v>
      </c>
      <c r="J190" s="15" t="str">
        <f t="shared" si="126"/>
        <v>WSW</v>
      </c>
      <c r="K190" s="15" t="str">
        <f t="shared" si="127"/>
        <v>WSW</v>
      </c>
      <c r="L190" s="15" t="str">
        <f t="shared" si="128"/>
        <v>W</v>
      </c>
      <c r="M190" s="15" t="str">
        <f t="shared" si="129"/>
        <v>W</v>
      </c>
      <c r="N190" s="15" t="str">
        <f t="shared" si="130"/>
        <v>W</v>
      </c>
      <c r="O190" s="15" t="str">
        <f t="shared" si="131"/>
        <v>W</v>
      </c>
      <c r="Q190" t="str">
        <f t="shared" si="93"/>
        <v>NW</v>
      </c>
      <c r="R190" t="str">
        <f t="shared" si="94"/>
        <v>NW</v>
      </c>
      <c r="S190" t="str">
        <f t="shared" si="95"/>
        <v>NW</v>
      </c>
      <c r="T190" t="str">
        <f t="shared" si="96"/>
        <v>N</v>
      </c>
      <c r="U190" t="str">
        <f t="shared" si="97"/>
        <v>N</v>
      </c>
      <c r="V190" t="str">
        <f t="shared" si="98"/>
        <v>N</v>
      </c>
      <c r="W190" t="str">
        <f t="shared" si="99"/>
        <v>S</v>
      </c>
      <c r="X190" t="str">
        <f t="shared" si="100"/>
        <v>S</v>
      </c>
      <c r="Y190" t="str">
        <f t="shared" si="101"/>
        <v>S</v>
      </c>
      <c r="Z190" t="str">
        <f t="shared" si="102"/>
        <v>S</v>
      </c>
      <c r="AA190" t="str">
        <f t="shared" si="103"/>
        <v>S</v>
      </c>
      <c r="AB190" t="str">
        <f t="shared" si="105"/>
        <v>S</v>
      </c>
      <c r="AC190" t="str">
        <f t="shared" si="104"/>
        <v>S</v>
      </c>
    </row>
    <row r="191" spans="1:29" ht="22.8">
      <c r="A191" s="2" t="s">
        <v>212</v>
      </c>
      <c r="B191" s="2" t="s">
        <v>217</v>
      </c>
      <c r="C191" s="15" t="str">
        <f t="shared" si="119"/>
        <v>NW</v>
      </c>
      <c r="D191" s="15" t="str">
        <f t="shared" si="120"/>
        <v>NW</v>
      </c>
      <c r="E191" s="15" t="str">
        <f t="shared" si="121"/>
        <v>NW</v>
      </c>
      <c r="F191" s="15" t="str">
        <f t="shared" si="122"/>
        <v>NW</v>
      </c>
      <c r="G191" s="15" t="str">
        <f t="shared" si="123"/>
        <v>SW</v>
      </c>
      <c r="H191" s="15" t="str">
        <f t="shared" si="124"/>
        <v>SW</v>
      </c>
      <c r="I191" s="15" t="str">
        <f t="shared" si="125"/>
        <v>SW</v>
      </c>
      <c r="J191" s="15" t="str">
        <f t="shared" si="126"/>
        <v>SW</v>
      </c>
      <c r="K191" s="15" t="str">
        <f t="shared" si="127"/>
        <v>SW</v>
      </c>
      <c r="L191" s="15" t="str">
        <f t="shared" si="128"/>
        <v>W</v>
      </c>
      <c r="M191" s="15" t="str">
        <f t="shared" si="129"/>
        <v>W</v>
      </c>
      <c r="N191" s="15" t="str">
        <f t="shared" si="130"/>
        <v>NW</v>
      </c>
      <c r="O191" s="15" t="str">
        <f t="shared" si="131"/>
        <v>NW</v>
      </c>
      <c r="Q191" t="str">
        <f t="shared" si="93"/>
        <v>W</v>
      </c>
      <c r="R191" t="str">
        <f t="shared" si="94"/>
        <v>NW</v>
      </c>
      <c r="S191" t="str">
        <f t="shared" si="95"/>
        <v>NW</v>
      </c>
      <c r="T191" t="str">
        <f t="shared" si="96"/>
        <v>NW</v>
      </c>
      <c r="U191" t="str">
        <f t="shared" si="97"/>
        <v>SE</v>
      </c>
      <c r="V191" t="str">
        <f t="shared" si="98"/>
        <v>SE</v>
      </c>
      <c r="W191" t="str">
        <f t="shared" si="99"/>
        <v>SE</v>
      </c>
      <c r="X191" t="str">
        <f t="shared" si="100"/>
        <v>SE</v>
      </c>
      <c r="Y191" t="str">
        <f t="shared" si="101"/>
        <v>S</v>
      </c>
      <c r="Z191" t="str">
        <f t="shared" si="102"/>
        <v>NW</v>
      </c>
      <c r="AA191" t="str">
        <f t="shared" si="103"/>
        <v>NW</v>
      </c>
      <c r="AB191" t="str">
        <f t="shared" si="105"/>
        <v>NW</v>
      </c>
      <c r="AC191" t="str">
        <f t="shared" si="104"/>
        <v>SE</v>
      </c>
    </row>
    <row r="192" spans="1:29" ht="22.8">
      <c r="A192" s="2" t="s">
        <v>212</v>
      </c>
      <c r="B192" s="2" t="s">
        <v>218</v>
      </c>
      <c r="C192" s="15" t="str">
        <f t="shared" si="119"/>
        <v>W</v>
      </c>
      <c r="D192" s="15" t="str">
        <f t="shared" si="120"/>
        <v>WSW</v>
      </c>
      <c r="E192" s="15" t="str">
        <f t="shared" si="121"/>
        <v>SW</v>
      </c>
      <c r="F192" s="15" t="str">
        <f t="shared" si="122"/>
        <v>SW</v>
      </c>
      <c r="G192" s="15" t="str">
        <f t="shared" si="123"/>
        <v>SW</v>
      </c>
      <c r="H192" s="15" t="str">
        <f t="shared" si="124"/>
        <v>SW</v>
      </c>
      <c r="I192" s="15" t="str">
        <f t="shared" si="125"/>
        <v>SW</v>
      </c>
      <c r="J192" s="15" t="str">
        <f t="shared" si="126"/>
        <v>SW</v>
      </c>
      <c r="K192" s="15" t="str">
        <f t="shared" si="127"/>
        <v>SW</v>
      </c>
      <c r="L192" s="15" t="str">
        <f t="shared" si="128"/>
        <v>W</v>
      </c>
      <c r="M192" s="15" t="str">
        <f t="shared" si="129"/>
        <v>W</v>
      </c>
      <c r="N192" s="15" t="str">
        <f t="shared" si="130"/>
        <v>W</v>
      </c>
      <c r="O192" s="15" t="str">
        <f t="shared" si="131"/>
        <v>SW</v>
      </c>
      <c r="Q192" t="str">
        <f t="shared" si="93"/>
        <v>N</v>
      </c>
      <c r="R192" t="str">
        <f t="shared" si="94"/>
        <v>N</v>
      </c>
      <c r="S192" t="str">
        <f t="shared" si="95"/>
        <v>N</v>
      </c>
      <c r="T192" t="str">
        <f t="shared" si="96"/>
        <v>N</v>
      </c>
      <c r="U192" t="str">
        <f t="shared" si="97"/>
        <v>N</v>
      </c>
      <c r="V192" t="str">
        <f t="shared" si="98"/>
        <v>N</v>
      </c>
      <c r="W192" t="str">
        <f t="shared" si="99"/>
        <v>N</v>
      </c>
      <c r="X192" t="str">
        <f t="shared" si="100"/>
        <v>N</v>
      </c>
      <c r="Y192" t="str">
        <f t="shared" si="101"/>
        <v>N</v>
      </c>
      <c r="Z192" t="str">
        <f t="shared" si="102"/>
        <v>N</v>
      </c>
      <c r="AA192" t="str">
        <f t="shared" si="103"/>
        <v>N</v>
      </c>
      <c r="AB192" t="str">
        <f t="shared" si="105"/>
        <v>N</v>
      </c>
      <c r="AC192" t="str">
        <f t="shared" si="104"/>
        <v>N</v>
      </c>
    </row>
    <row r="193" spans="1:29" ht="22.8">
      <c r="A193" s="2" t="s">
        <v>212</v>
      </c>
      <c r="B193" s="2" t="s">
        <v>219</v>
      </c>
      <c r="C193" s="15" t="str">
        <f t="shared" si="119"/>
        <v>W</v>
      </c>
      <c r="D193" s="15" t="str">
        <f t="shared" si="120"/>
        <v>WSW</v>
      </c>
      <c r="E193" s="15" t="str">
        <f t="shared" si="121"/>
        <v>SW</v>
      </c>
      <c r="F193" s="15" t="str">
        <f t="shared" si="122"/>
        <v>SW</v>
      </c>
      <c r="G193" s="15" t="str">
        <f t="shared" si="123"/>
        <v>SW</v>
      </c>
      <c r="H193" s="15" t="str">
        <f t="shared" si="124"/>
        <v>SW</v>
      </c>
      <c r="I193" s="15" t="str">
        <f t="shared" si="125"/>
        <v>SW</v>
      </c>
      <c r="J193" s="15" t="str">
        <f t="shared" si="126"/>
        <v>SW</v>
      </c>
      <c r="K193" s="15" t="str">
        <f t="shared" si="127"/>
        <v>SW</v>
      </c>
      <c r="L193" s="15" t="str">
        <f t="shared" si="128"/>
        <v>W</v>
      </c>
      <c r="M193" s="15" t="str">
        <f t="shared" si="129"/>
        <v>W</v>
      </c>
      <c r="N193" s="15" t="str">
        <f t="shared" si="130"/>
        <v>W</v>
      </c>
      <c r="O193" s="15" t="str">
        <f t="shared" si="131"/>
        <v>SW</v>
      </c>
      <c r="Q193" t="str">
        <f t="shared" si="93"/>
        <v>N</v>
      </c>
      <c r="R193" t="str">
        <f t="shared" si="94"/>
        <v>N</v>
      </c>
      <c r="S193" t="str">
        <f t="shared" si="95"/>
        <v>N</v>
      </c>
      <c r="T193" t="str">
        <f t="shared" si="96"/>
        <v>N</v>
      </c>
      <c r="U193" t="str">
        <f t="shared" si="97"/>
        <v>N</v>
      </c>
      <c r="V193" t="str">
        <f t="shared" si="98"/>
        <v>N</v>
      </c>
      <c r="W193" t="str">
        <f t="shared" si="99"/>
        <v>N</v>
      </c>
      <c r="X193" t="str">
        <f t="shared" si="100"/>
        <v>N</v>
      </c>
      <c r="Y193" t="str">
        <f t="shared" si="101"/>
        <v>S</v>
      </c>
      <c r="Z193" t="str">
        <f t="shared" si="102"/>
        <v>S</v>
      </c>
      <c r="AA193" t="str">
        <f t="shared" si="103"/>
        <v>S</v>
      </c>
      <c r="AB193" t="str">
        <f t="shared" si="105"/>
        <v>S</v>
      </c>
      <c r="AC193" t="str">
        <f t="shared" si="104"/>
        <v>N</v>
      </c>
    </row>
    <row r="194" spans="1:29" ht="22.8">
      <c r="A194" s="2" t="s">
        <v>212</v>
      </c>
      <c r="B194" s="2" t="s">
        <v>165</v>
      </c>
      <c r="C194" s="15" t="str">
        <f t="shared" si="119"/>
        <v>NW</v>
      </c>
      <c r="D194" s="15" t="str">
        <f t="shared" si="120"/>
        <v>NW</v>
      </c>
      <c r="E194" s="15" t="str">
        <f t="shared" si="121"/>
        <v>NW</v>
      </c>
      <c r="F194" s="15" t="str">
        <f t="shared" si="122"/>
        <v>NW</v>
      </c>
      <c r="G194" s="15" t="str">
        <f t="shared" si="123"/>
        <v>NW</v>
      </c>
      <c r="H194" s="15" t="str">
        <f t="shared" si="124"/>
        <v>NW</v>
      </c>
      <c r="I194" s="15" t="str">
        <f t="shared" si="125"/>
        <v>NW</v>
      </c>
      <c r="J194" s="15" t="str">
        <f t="shared" si="126"/>
        <v>NW</v>
      </c>
      <c r="K194" s="15" t="str">
        <f t="shared" si="127"/>
        <v>NW</v>
      </c>
      <c r="L194" s="15" t="str">
        <f t="shared" si="128"/>
        <v>NW</v>
      </c>
      <c r="M194" s="15" t="str">
        <f t="shared" si="129"/>
        <v>NW</v>
      </c>
      <c r="N194" s="15" t="str">
        <f t="shared" si="130"/>
        <v>NW</v>
      </c>
      <c r="O194" s="15" t="str">
        <f t="shared" si="131"/>
        <v>NW</v>
      </c>
      <c r="Q194" t="str">
        <f t="shared" si="93"/>
        <v>N</v>
      </c>
      <c r="R194" t="str">
        <f t="shared" si="94"/>
        <v>N</v>
      </c>
      <c r="S194" t="str">
        <f t="shared" si="95"/>
        <v>N</v>
      </c>
      <c r="T194" t="str">
        <f t="shared" si="96"/>
        <v>S</v>
      </c>
      <c r="U194" t="str">
        <f t="shared" si="97"/>
        <v>S</v>
      </c>
      <c r="V194" t="str">
        <f t="shared" si="98"/>
        <v>S</v>
      </c>
      <c r="W194" t="str">
        <f t="shared" si="99"/>
        <v>SW</v>
      </c>
      <c r="X194" t="str">
        <f t="shared" si="100"/>
        <v>S</v>
      </c>
      <c r="Y194" t="str">
        <f t="shared" si="101"/>
        <v>S</v>
      </c>
      <c r="Z194" t="str">
        <f t="shared" si="102"/>
        <v>S</v>
      </c>
      <c r="AA194" t="str">
        <f t="shared" si="103"/>
        <v>S</v>
      </c>
      <c r="AB194" t="str">
        <f t="shared" si="105"/>
        <v>S</v>
      </c>
      <c r="AC194" t="str">
        <f t="shared" si="104"/>
        <v>S</v>
      </c>
    </row>
    <row r="195" spans="1:29" ht="22.8">
      <c r="A195" s="2" t="s">
        <v>212</v>
      </c>
      <c r="B195" s="2" t="s">
        <v>220</v>
      </c>
      <c r="C195" s="15" t="str">
        <f t="shared" si="119"/>
        <v>WNW</v>
      </c>
      <c r="D195" s="15" t="str">
        <f t="shared" si="120"/>
        <v>WNW</v>
      </c>
      <c r="E195" s="15" t="str">
        <f t="shared" si="121"/>
        <v>WNW</v>
      </c>
      <c r="F195" s="15" t="str">
        <f t="shared" si="122"/>
        <v>WNW</v>
      </c>
      <c r="G195" s="15" t="str">
        <f t="shared" si="123"/>
        <v>WNW</v>
      </c>
      <c r="H195" s="15" t="str">
        <f t="shared" si="124"/>
        <v>WNW</v>
      </c>
      <c r="I195" s="15" t="str">
        <f t="shared" si="125"/>
        <v>WNW</v>
      </c>
      <c r="J195" s="15" t="str">
        <f t="shared" si="126"/>
        <v>ESE</v>
      </c>
      <c r="K195" s="15" t="str">
        <f t="shared" si="127"/>
        <v>ESE</v>
      </c>
      <c r="L195" s="15" t="str">
        <f t="shared" si="128"/>
        <v>ESE</v>
      </c>
      <c r="M195" s="15" t="str">
        <f t="shared" si="129"/>
        <v>WNW</v>
      </c>
      <c r="N195" s="15" t="str">
        <f t="shared" si="130"/>
        <v>ESE</v>
      </c>
      <c r="O195" s="15" t="str">
        <f t="shared" si="131"/>
        <v>WNW</v>
      </c>
      <c r="Q195" t="str">
        <f t="shared" si="93"/>
        <v>SW</v>
      </c>
      <c r="R195" t="str">
        <f t="shared" si="94"/>
        <v>SW</v>
      </c>
      <c r="S195" t="str">
        <f t="shared" si="95"/>
        <v>S</v>
      </c>
      <c r="T195" t="str">
        <f t="shared" si="96"/>
        <v>S</v>
      </c>
      <c r="U195" t="str">
        <f t="shared" si="97"/>
        <v>S</v>
      </c>
      <c r="V195" t="str">
        <f t="shared" si="98"/>
        <v>S</v>
      </c>
      <c r="W195" t="str">
        <f t="shared" si="99"/>
        <v>S</v>
      </c>
      <c r="X195" t="str">
        <f t="shared" si="100"/>
        <v>S</v>
      </c>
      <c r="Y195" t="str">
        <f t="shared" si="101"/>
        <v>S</v>
      </c>
      <c r="Z195" t="str">
        <f t="shared" si="102"/>
        <v>S</v>
      </c>
      <c r="AA195" t="str">
        <f t="shared" si="103"/>
        <v>S</v>
      </c>
      <c r="AB195" t="str">
        <f t="shared" si="105"/>
        <v>S</v>
      </c>
      <c r="AC195" t="str">
        <f t="shared" si="104"/>
        <v>S</v>
      </c>
    </row>
    <row r="196" spans="1:29" ht="22.8">
      <c r="A196" s="2" t="s">
        <v>212</v>
      </c>
      <c r="B196" s="2" t="s">
        <v>221</v>
      </c>
      <c r="C196" s="15" t="str">
        <f t="shared" si="119"/>
        <v>WSW</v>
      </c>
      <c r="D196" s="15" t="str">
        <f t="shared" si="120"/>
        <v>WSW</v>
      </c>
      <c r="E196" s="15" t="str">
        <f t="shared" si="121"/>
        <v>WSW</v>
      </c>
      <c r="F196" s="15" t="str">
        <f t="shared" si="122"/>
        <v>WSW</v>
      </c>
      <c r="G196" s="15" t="str">
        <f t="shared" si="123"/>
        <v>W</v>
      </c>
      <c r="H196" s="15" t="str">
        <f t="shared" si="124"/>
        <v>W</v>
      </c>
      <c r="I196" s="15" t="str">
        <f t="shared" si="125"/>
        <v>WNW</v>
      </c>
      <c r="J196" s="15" t="str">
        <f t="shared" si="126"/>
        <v>WNW</v>
      </c>
      <c r="K196" s="15" t="str">
        <f t="shared" si="127"/>
        <v>WNW</v>
      </c>
      <c r="L196" s="15" t="str">
        <f t="shared" si="128"/>
        <v>WNW</v>
      </c>
      <c r="M196" s="15" t="str">
        <f t="shared" si="129"/>
        <v>WNW</v>
      </c>
      <c r="N196" s="15" t="str">
        <f t="shared" si="130"/>
        <v>WNW</v>
      </c>
      <c r="O196" s="15" t="str">
        <f t="shared" si="131"/>
        <v>WSW</v>
      </c>
      <c r="Q196" t="str">
        <f t="shared" si="93"/>
        <v>S</v>
      </c>
      <c r="R196" t="str">
        <f t="shared" si="94"/>
        <v>S</v>
      </c>
      <c r="S196" t="str">
        <f t="shared" si="95"/>
        <v>S</v>
      </c>
      <c r="T196" t="str">
        <f t="shared" si="96"/>
        <v>S</v>
      </c>
      <c r="U196" t="str">
        <f t="shared" si="97"/>
        <v>S</v>
      </c>
      <c r="V196" t="str">
        <f t="shared" si="98"/>
        <v>S</v>
      </c>
      <c r="W196" t="str">
        <f t="shared" si="99"/>
        <v>S</v>
      </c>
      <c r="X196" t="str">
        <f t="shared" si="100"/>
        <v>S</v>
      </c>
      <c r="Y196" t="str">
        <f t="shared" si="101"/>
        <v>S</v>
      </c>
      <c r="Z196" t="str">
        <f t="shared" si="102"/>
        <v>S</v>
      </c>
      <c r="AA196" t="str">
        <f t="shared" si="103"/>
        <v>S</v>
      </c>
      <c r="AB196" t="str">
        <f t="shared" si="105"/>
        <v>S</v>
      </c>
      <c r="AC196" t="str">
        <f t="shared" si="104"/>
        <v>S</v>
      </c>
    </row>
    <row r="197" spans="1:29" ht="22.8">
      <c r="A197" s="2" t="s">
        <v>212</v>
      </c>
      <c r="B197" s="2" t="s">
        <v>222</v>
      </c>
      <c r="C197" s="15" t="str">
        <f t="shared" si="119"/>
        <v>NW</v>
      </c>
      <c r="D197" s="15" t="str">
        <f t="shared" si="120"/>
        <v>NW</v>
      </c>
      <c r="E197" s="15" t="str">
        <f t="shared" si="121"/>
        <v>NNW</v>
      </c>
      <c r="F197" s="15" t="str">
        <f t="shared" si="122"/>
        <v>SW</v>
      </c>
      <c r="G197" s="15" t="str">
        <f t="shared" si="123"/>
        <v>SW</v>
      </c>
      <c r="H197" s="15" t="str">
        <f t="shared" si="124"/>
        <v>SW</v>
      </c>
      <c r="I197" s="15" t="str">
        <f t="shared" si="125"/>
        <v>SW</v>
      </c>
      <c r="J197" s="15" t="str">
        <f t="shared" si="126"/>
        <v>SW</v>
      </c>
      <c r="K197" s="15" t="str">
        <f t="shared" si="127"/>
        <v>SW</v>
      </c>
      <c r="L197" s="15" t="str">
        <f t="shared" si="128"/>
        <v>SW</v>
      </c>
      <c r="M197" s="15" t="str">
        <f t="shared" si="129"/>
        <v>W</v>
      </c>
      <c r="N197" s="15" t="str">
        <f t="shared" si="130"/>
        <v>W</v>
      </c>
      <c r="O197" s="15" t="str">
        <f t="shared" si="131"/>
        <v>SW</v>
      </c>
      <c r="Q197" t="str">
        <f t="shared" si="93"/>
        <v>NW</v>
      </c>
      <c r="R197" t="str">
        <f t="shared" si="94"/>
        <v>NW</v>
      </c>
      <c r="S197" t="str">
        <f t="shared" si="95"/>
        <v>NW</v>
      </c>
      <c r="T197" t="str">
        <f t="shared" si="96"/>
        <v>NW</v>
      </c>
      <c r="U197" t="str">
        <f t="shared" si="97"/>
        <v>NW</v>
      </c>
      <c r="V197" t="str">
        <f t="shared" si="98"/>
        <v>NW</v>
      </c>
      <c r="W197" t="str">
        <f t="shared" si="99"/>
        <v>S</v>
      </c>
      <c r="X197" t="str">
        <f t="shared" si="100"/>
        <v>S</v>
      </c>
      <c r="Y197" t="str">
        <f t="shared" si="101"/>
        <v>S</v>
      </c>
      <c r="Z197" t="str">
        <f t="shared" si="102"/>
        <v>S</v>
      </c>
      <c r="AA197" t="str">
        <f t="shared" si="103"/>
        <v>S</v>
      </c>
      <c r="AB197" t="str">
        <f t="shared" si="105"/>
        <v>S</v>
      </c>
      <c r="AC197" t="str">
        <f t="shared" si="104"/>
        <v>S</v>
      </c>
    </row>
    <row r="198" spans="1:29">
      <c r="A198" s="3" t="s">
        <v>223</v>
      </c>
      <c r="B198" s="3" t="s">
        <v>224</v>
      </c>
      <c r="C198" s="15" t="str">
        <f t="shared" si="119"/>
        <v>NNW</v>
      </c>
      <c r="D198" s="15" t="str">
        <f t="shared" si="120"/>
        <v>NNW</v>
      </c>
      <c r="E198" s="15" t="str">
        <f t="shared" si="121"/>
        <v>NNW</v>
      </c>
      <c r="F198" s="15" t="str">
        <f t="shared" si="122"/>
        <v>NNW</v>
      </c>
      <c r="G198" s="15" t="str">
        <f t="shared" si="123"/>
        <v>NNW</v>
      </c>
      <c r="H198" s="15" t="str">
        <f t="shared" si="124"/>
        <v>NNW</v>
      </c>
      <c r="I198" s="15" t="str">
        <f t="shared" si="125"/>
        <v>NNW</v>
      </c>
      <c r="J198" s="15" t="str">
        <f t="shared" si="126"/>
        <v>NNW</v>
      </c>
      <c r="K198" s="15" t="str">
        <f t="shared" si="127"/>
        <v>NNW</v>
      </c>
      <c r="L198" s="15" t="str">
        <f t="shared" si="128"/>
        <v>NNW</v>
      </c>
      <c r="M198" s="15" t="str">
        <f t="shared" si="129"/>
        <v>NNW</v>
      </c>
      <c r="N198" s="15" t="str">
        <f t="shared" si="130"/>
        <v>NNW</v>
      </c>
      <c r="O198" s="15" t="str">
        <f t="shared" si="131"/>
        <v>NNW</v>
      </c>
      <c r="Q198" t="str">
        <f t="shared" si="93"/>
        <v>S</v>
      </c>
      <c r="R198" t="str">
        <f t="shared" si="94"/>
        <v>S</v>
      </c>
      <c r="S198" t="str">
        <f t="shared" si="95"/>
        <v>S</v>
      </c>
      <c r="T198" t="str">
        <f t="shared" si="96"/>
        <v>S</v>
      </c>
      <c r="U198" t="str">
        <f t="shared" si="97"/>
        <v>S</v>
      </c>
      <c r="V198" t="str">
        <f t="shared" si="98"/>
        <v>S</v>
      </c>
      <c r="W198" t="str">
        <f t="shared" si="99"/>
        <v>S</v>
      </c>
      <c r="X198" t="str">
        <f t="shared" si="100"/>
        <v>S</v>
      </c>
      <c r="Y198" t="str">
        <f t="shared" si="101"/>
        <v>S</v>
      </c>
      <c r="Z198" t="str">
        <f t="shared" si="102"/>
        <v>S</v>
      </c>
      <c r="AA198" t="str">
        <f t="shared" si="103"/>
        <v>S</v>
      </c>
      <c r="AB198" t="str">
        <f t="shared" si="105"/>
        <v>S</v>
      </c>
      <c r="AC198" t="str">
        <f t="shared" si="104"/>
        <v>S</v>
      </c>
    </row>
    <row r="199" spans="1:29">
      <c r="A199" s="3" t="s">
        <v>223</v>
      </c>
      <c r="B199" s="3" t="s">
        <v>225</v>
      </c>
      <c r="C199" s="15" t="str">
        <f t="shared" si="119"/>
        <v>SW</v>
      </c>
      <c r="D199" s="15" t="str">
        <f t="shared" si="120"/>
        <v>SW</v>
      </c>
      <c r="E199" s="15" t="str">
        <f t="shared" si="121"/>
        <v>S</v>
      </c>
      <c r="F199" s="15" t="str">
        <f t="shared" si="122"/>
        <v>SW</v>
      </c>
      <c r="G199" s="15" t="str">
        <f t="shared" si="123"/>
        <v>SW</v>
      </c>
      <c r="H199" s="15" t="str">
        <f t="shared" si="124"/>
        <v>S</v>
      </c>
      <c r="I199" s="15" t="str">
        <f t="shared" si="125"/>
        <v>SW</v>
      </c>
      <c r="J199" s="15" t="str">
        <f t="shared" si="126"/>
        <v>S</v>
      </c>
      <c r="K199" s="15" t="str">
        <f t="shared" si="127"/>
        <v>NE</v>
      </c>
      <c r="L199" s="15" t="str">
        <f t="shared" si="128"/>
        <v>NE</v>
      </c>
      <c r="M199" s="15" t="str">
        <f t="shared" si="129"/>
        <v>SW</v>
      </c>
      <c r="N199" s="15" t="str">
        <f t="shared" si="130"/>
        <v>SW</v>
      </c>
      <c r="O199" s="15" t="str">
        <f t="shared" si="131"/>
        <v>SW</v>
      </c>
      <c r="Q199" t="str">
        <f t="shared" si="93"/>
        <v>NW</v>
      </c>
      <c r="R199" t="str">
        <f t="shared" si="94"/>
        <v>NW</v>
      </c>
      <c r="S199" t="str">
        <f t="shared" si="95"/>
        <v>S</v>
      </c>
      <c r="T199" t="str">
        <f t="shared" si="96"/>
        <v>S</v>
      </c>
      <c r="U199" t="str">
        <f t="shared" si="97"/>
        <v>S</v>
      </c>
      <c r="V199" t="str">
        <f t="shared" si="98"/>
        <v>S</v>
      </c>
      <c r="W199" t="str">
        <f t="shared" si="99"/>
        <v>S</v>
      </c>
      <c r="X199" t="str">
        <f t="shared" si="100"/>
        <v>SE</v>
      </c>
      <c r="Y199" t="str">
        <f t="shared" si="101"/>
        <v>NE</v>
      </c>
      <c r="Z199" t="str">
        <f t="shared" si="102"/>
        <v>SE</v>
      </c>
      <c r="AA199" t="str">
        <f t="shared" si="103"/>
        <v>SE</v>
      </c>
      <c r="AB199" t="str">
        <f t="shared" si="105"/>
        <v>SE</v>
      </c>
      <c r="AC199" t="str">
        <f t="shared" si="104"/>
        <v>SE</v>
      </c>
    </row>
    <row r="200" spans="1:29" ht="22.8">
      <c r="A200" s="3" t="s">
        <v>223</v>
      </c>
      <c r="B200" s="2" t="s">
        <v>226</v>
      </c>
      <c r="C200" s="15" t="str">
        <f t="shared" si="119"/>
        <v>N</v>
      </c>
      <c r="D200" s="15" t="str">
        <f t="shared" si="120"/>
        <v>N</v>
      </c>
      <c r="E200" s="15" t="str">
        <f t="shared" si="121"/>
        <v>S</v>
      </c>
      <c r="F200" s="15" t="str">
        <f t="shared" si="122"/>
        <v>SSW</v>
      </c>
      <c r="G200" s="15" t="str">
        <f t="shared" si="123"/>
        <v>SSW</v>
      </c>
      <c r="H200" s="15" t="str">
        <f t="shared" si="124"/>
        <v>SSW</v>
      </c>
      <c r="I200" s="15" t="str">
        <f t="shared" si="125"/>
        <v>SSW</v>
      </c>
      <c r="J200" s="15" t="str">
        <f t="shared" si="126"/>
        <v>SSW</v>
      </c>
      <c r="K200" s="15" t="str">
        <f t="shared" si="127"/>
        <v>NNE</v>
      </c>
      <c r="L200" s="15" t="str">
        <f t="shared" si="128"/>
        <v>NNE</v>
      </c>
      <c r="M200" s="15" t="str">
        <f t="shared" si="129"/>
        <v>N</v>
      </c>
      <c r="N200" s="15" t="str">
        <f t="shared" si="130"/>
        <v>N</v>
      </c>
      <c r="O200" s="15" t="str">
        <f t="shared" si="131"/>
        <v>SSW</v>
      </c>
      <c r="Q200" t="str">
        <f t="shared" si="93"/>
        <v>N</v>
      </c>
      <c r="R200" t="str">
        <f t="shared" si="94"/>
        <v>N</v>
      </c>
      <c r="S200" t="str">
        <f t="shared" si="95"/>
        <v>N</v>
      </c>
      <c r="T200" t="str">
        <f t="shared" si="96"/>
        <v>N</v>
      </c>
      <c r="U200" t="str">
        <f t="shared" si="97"/>
        <v>SE</v>
      </c>
      <c r="V200" t="str">
        <f t="shared" si="98"/>
        <v>SE</v>
      </c>
      <c r="W200" t="str">
        <f t="shared" si="99"/>
        <v>S</v>
      </c>
      <c r="X200" t="str">
        <f t="shared" si="100"/>
        <v>S</v>
      </c>
      <c r="Y200" t="str">
        <f t="shared" si="101"/>
        <v>SE</v>
      </c>
      <c r="Z200" t="str">
        <f t="shared" si="102"/>
        <v>SE</v>
      </c>
      <c r="AA200" t="str">
        <f t="shared" si="103"/>
        <v>S</v>
      </c>
      <c r="AB200" t="str">
        <f t="shared" si="105"/>
        <v>S</v>
      </c>
      <c r="AC200" t="str">
        <f t="shared" si="104"/>
        <v>SE</v>
      </c>
    </row>
    <row r="201" spans="1:29">
      <c r="A201" s="3" t="s">
        <v>223</v>
      </c>
      <c r="B201" s="2" t="s">
        <v>227</v>
      </c>
      <c r="C201" s="15" t="str">
        <f t="shared" si="119"/>
        <v>WSW</v>
      </c>
      <c r="D201" s="15" t="str">
        <f t="shared" si="120"/>
        <v>WSW</v>
      </c>
      <c r="E201" s="15" t="str">
        <f t="shared" si="121"/>
        <v>W</v>
      </c>
      <c r="F201" s="15" t="str">
        <f t="shared" si="122"/>
        <v>SW</v>
      </c>
      <c r="G201" s="15" t="str">
        <f t="shared" si="123"/>
        <v>SW</v>
      </c>
      <c r="H201" s="15" t="str">
        <f t="shared" si="124"/>
        <v>WSW</v>
      </c>
      <c r="I201" s="15" t="str">
        <f t="shared" si="125"/>
        <v>SW</v>
      </c>
      <c r="J201" s="15" t="str">
        <f t="shared" si="126"/>
        <v>SW</v>
      </c>
      <c r="K201" s="15" t="str">
        <f t="shared" si="127"/>
        <v>NE</v>
      </c>
      <c r="L201" s="15" t="str">
        <f t="shared" si="128"/>
        <v>N</v>
      </c>
      <c r="M201" s="15" t="str">
        <f t="shared" si="129"/>
        <v>N</v>
      </c>
      <c r="N201" s="15" t="str">
        <f t="shared" si="130"/>
        <v>WSW</v>
      </c>
      <c r="O201" s="15" t="str">
        <f t="shared" si="131"/>
        <v>SW</v>
      </c>
      <c r="Q201" t="str">
        <f t="shared" si="93"/>
        <v>N</v>
      </c>
      <c r="R201" t="str">
        <f t="shared" si="94"/>
        <v>N</v>
      </c>
      <c r="S201" t="str">
        <f t="shared" si="95"/>
        <v>S</v>
      </c>
      <c r="T201" t="str">
        <f t="shared" si="96"/>
        <v>S</v>
      </c>
      <c r="U201" t="str">
        <f t="shared" si="97"/>
        <v>S</v>
      </c>
      <c r="V201" t="str">
        <f t="shared" si="98"/>
        <v>S</v>
      </c>
      <c r="W201" t="str">
        <f t="shared" si="99"/>
        <v>S</v>
      </c>
      <c r="X201" t="str">
        <f t="shared" si="100"/>
        <v>S</v>
      </c>
      <c r="Y201" t="str">
        <f t="shared" si="101"/>
        <v>NE</v>
      </c>
      <c r="Z201" t="str">
        <f t="shared" si="102"/>
        <v>NE</v>
      </c>
      <c r="AA201" t="str">
        <f t="shared" si="103"/>
        <v>N</v>
      </c>
      <c r="AB201" t="str">
        <f t="shared" si="105"/>
        <v>N</v>
      </c>
      <c r="AC201" t="str">
        <f t="shared" si="104"/>
        <v>S</v>
      </c>
    </row>
    <row r="202" spans="1:29">
      <c r="A202" s="3" t="s">
        <v>223</v>
      </c>
      <c r="B202" s="2" t="s">
        <v>228</v>
      </c>
      <c r="C202" s="15" t="str">
        <f t="shared" si="119"/>
        <v>N</v>
      </c>
      <c r="D202" s="15" t="str">
        <f t="shared" si="120"/>
        <v>N</v>
      </c>
      <c r="E202" s="15" t="str">
        <f t="shared" si="121"/>
        <v>N</v>
      </c>
      <c r="F202" s="15" t="str">
        <f t="shared" si="122"/>
        <v>SW</v>
      </c>
      <c r="G202" s="15" t="str">
        <f t="shared" si="123"/>
        <v>S</v>
      </c>
      <c r="H202" s="15" t="str">
        <f t="shared" si="124"/>
        <v>S</v>
      </c>
      <c r="I202" s="15" t="str">
        <f t="shared" si="125"/>
        <v>S</v>
      </c>
      <c r="J202" s="15" t="str">
        <f t="shared" si="126"/>
        <v>S</v>
      </c>
      <c r="K202" s="15" t="str">
        <f t="shared" si="127"/>
        <v>NNE</v>
      </c>
      <c r="L202" s="15" t="str">
        <f t="shared" si="128"/>
        <v>N</v>
      </c>
      <c r="M202" s="15" t="str">
        <f t="shared" si="129"/>
        <v>N</v>
      </c>
      <c r="N202" s="15" t="str">
        <f t="shared" si="130"/>
        <v>W</v>
      </c>
      <c r="O202" s="15" t="str">
        <f t="shared" si="131"/>
        <v>N</v>
      </c>
      <c r="Q202" t="str">
        <f t="shared" si="93"/>
        <v>NE</v>
      </c>
      <c r="R202" t="str">
        <f t="shared" si="94"/>
        <v>NE</v>
      </c>
      <c r="S202" t="str">
        <f t="shared" si="95"/>
        <v>N</v>
      </c>
      <c r="T202" t="str">
        <f t="shared" si="96"/>
        <v>N</v>
      </c>
      <c r="U202" t="str">
        <f t="shared" si="97"/>
        <v>S</v>
      </c>
      <c r="V202" t="str">
        <f t="shared" si="98"/>
        <v>S</v>
      </c>
      <c r="W202" t="str">
        <f t="shared" si="99"/>
        <v>S</v>
      </c>
      <c r="X202" t="str">
        <f t="shared" si="100"/>
        <v>S</v>
      </c>
      <c r="Y202" t="str">
        <f t="shared" si="101"/>
        <v>S</v>
      </c>
      <c r="Z202" t="str">
        <f t="shared" si="102"/>
        <v>S</v>
      </c>
      <c r="AA202" t="str">
        <f t="shared" si="103"/>
        <v>S</v>
      </c>
      <c r="AB202" t="str">
        <f t="shared" si="105"/>
        <v>S</v>
      </c>
      <c r="AC202" t="str">
        <f t="shared" si="104"/>
        <v>S</v>
      </c>
    </row>
    <row r="203" spans="1:29" ht="22.8">
      <c r="A203" s="3" t="s">
        <v>223</v>
      </c>
      <c r="B203" s="2" t="s">
        <v>229</v>
      </c>
      <c r="C203" s="15" t="str">
        <f t="shared" si="119"/>
        <v>SSW</v>
      </c>
      <c r="D203" s="15" t="str">
        <f t="shared" si="120"/>
        <v>SSW</v>
      </c>
      <c r="E203" s="15" t="str">
        <f t="shared" si="121"/>
        <v>SSW</v>
      </c>
      <c r="F203" s="15" t="str">
        <f t="shared" si="122"/>
        <v>SSW</v>
      </c>
      <c r="G203" s="15" t="str">
        <f t="shared" si="123"/>
        <v>SW</v>
      </c>
      <c r="H203" s="15" t="str">
        <f t="shared" si="124"/>
        <v>SSW</v>
      </c>
      <c r="I203" s="15" t="str">
        <f t="shared" si="125"/>
        <v>SSW</v>
      </c>
      <c r="J203" s="15" t="str">
        <f t="shared" si="126"/>
        <v>SSW</v>
      </c>
      <c r="K203" s="15" t="str">
        <f t="shared" si="127"/>
        <v>NNE</v>
      </c>
      <c r="L203" s="15" t="str">
        <f t="shared" si="128"/>
        <v>NNE</v>
      </c>
      <c r="M203" s="15" t="str">
        <f t="shared" si="129"/>
        <v>SSW</v>
      </c>
      <c r="N203" s="15" t="str">
        <f t="shared" si="130"/>
        <v>SSW</v>
      </c>
      <c r="O203" s="15" t="str">
        <f t="shared" si="131"/>
        <v>SSW</v>
      </c>
      <c r="Q203" t="str">
        <f t="shared" si="93"/>
        <v>S</v>
      </c>
      <c r="R203" t="str">
        <f t="shared" si="94"/>
        <v>S</v>
      </c>
      <c r="S203" t="str">
        <f t="shared" si="95"/>
        <v>S</v>
      </c>
      <c r="T203" t="str">
        <f t="shared" si="96"/>
        <v>S</v>
      </c>
      <c r="U203" t="str">
        <f t="shared" si="97"/>
        <v>S</v>
      </c>
      <c r="V203" t="str">
        <f t="shared" si="98"/>
        <v>S</v>
      </c>
      <c r="W203" t="str">
        <f t="shared" si="99"/>
        <v>S</v>
      </c>
      <c r="X203" t="str">
        <f t="shared" si="100"/>
        <v>S</v>
      </c>
      <c r="Y203" t="str">
        <f t="shared" si="101"/>
        <v>SE</v>
      </c>
      <c r="Z203" t="str">
        <f t="shared" si="102"/>
        <v>SE</v>
      </c>
      <c r="AA203" t="str">
        <f t="shared" si="103"/>
        <v>S</v>
      </c>
      <c r="AB203" t="str">
        <f t="shared" si="105"/>
        <v>S</v>
      </c>
      <c r="AC203" t="str">
        <f t="shared" si="104"/>
        <v>S</v>
      </c>
    </row>
    <row r="204" spans="1:29">
      <c r="A204" s="3" t="s">
        <v>223</v>
      </c>
      <c r="B204" s="2" t="s">
        <v>230</v>
      </c>
      <c r="C204" s="15" t="str">
        <f t="shared" si="119"/>
        <v>SW</v>
      </c>
      <c r="D204" s="15" t="str">
        <f t="shared" si="120"/>
        <v>SW</v>
      </c>
      <c r="E204" s="15" t="str">
        <f t="shared" si="121"/>
        <v>SW</v>
      </c>
      <c r="F204" s="15" t="str">
        <f t="shared" si="122"/>
        <v>SW</v>
      </c>
      <c r="G204" s="15" t="str">
        <f t="shared" si="123"/>
        <v>SW</v>
      </c>
      <c r="H204" s="15" t="str">
        <f t="shared" si="124"/>
        <v>SW</v>
      </c>
      <c r="I204" s="15" t="str">
        <f t="shared" si="125"/>
        <v>SW</v>
      </c>
      <c r="J204" s="15" t="str">
        <f t="shared" si="126"/>
        <v>SW</v>
      </c>
      <c r="K204" s="15" t="str">
        <f t="shared" si="127"/>
        <v>SW</v>
      </c>
      <c r="L204" s="15" t="str">
        <f t="shared" si="128"/>
        <v>SW</v>
      </c>
      <c r="M204" s="15" t="str">
        <f t="shared" si="129"/>
        <v>SW</v>
      </c>
      <c r="N204" s="15" t="str">
        <f t="shared" si="130"/>
        <v>SW</v>
      </c>
      <c r="O204" s="15" t="str">
        <f t="shared" si="131"/>
        <v>SW</v>
      </c>
      <c r="Q204" t="str">
        <f t="shared" si="93"/>
        <v>NW</v>
      </c>
      <c r="R204" t="str">
        <f t="shared" si="94"/>
        <v>NW</v>
      </c>
      <c r="S204" t="str">
        <f t="shared" si="95"/>
        <v>NW</v>
      </c>
      <c r="T204" t="str">
        <f t="shared" si="96"/>
        <v>S</v>
      </c>
      <c r="U204" t="str">
        <f t="shared" si="97"/>
        <v>S</v>
      </c>
      <c r="V204" t="str">
        <f t="shared" si="98"/>
        <v>S</v>
      </c>
      <c r="W204" t="str">
        <f t="shared" si="99"/>
        <v>S</v>
      </c>
      <c r="X204" t="str">
        <f t="shared" si="100"/>
        <v>S</v>
      </c>
      <c r="Y204" t="str">
        <f t="shared" si="101"/>
        <v>S</v>
      </c>
      <c r="Z204" t="str">
        <f t="shared" si="102"/>
        <v>S</v>
      </c>
      <c r="AA204" t="str">
        <f t="shared" si="103"/>
        <v>N</v>
      </c>
      <c r="AB204" t="str">
        <f t="shared" si="105"/>
        <v>NW</v>
      </c>
      <c r="AC204" t="str">
        <f t="shared" si="104"/>
        <v>S</v>
      </c>
    </row>
    <row r="205" spans="1:29">
      <c r="A205" s="3" t="s">
        <v>223</v>
      </c>
      <c r="B205" s="2" t="s">
        <v>60</v>
      </c>
      <c r="C205" s="15" t="str">
        <f t="shared" si="119"/>
        <v>WNW</v>
      </c>
      <c r="D205" s="15" t="str">
        <f t="shared" si="120"/>
        <v>NW</v>
      </c>
      <c r="E205" s="15" t="str">
        <f t="shared" si="121"/>
        <v>WNW</v>
      </c>
      <c r="F205" s="15" t="str">
        <f t="shared" si="122"/>
        <v>WNW</v>
      </c>
      <c r="G205" s="15" t="str">
        <f t="shared" si="123"/>
        <v>WNW</v>
      </c>
      <c r="H205" s="15" t="str">
        <f t="shared" si="124"/>
        <v>S</v>
      </c>
      <c r="I205" s="15" t="str">
        <f t="shared" si="125"/>
        <v>S</v>
      </c>
      <c r="J205" s="15" t="str">
        <f t="shared" si="126"/>
        <v>S</v>
      </c>
      <c r="K205" s="15" t="str">
        <f t="shared" si="127"/>
        <v>WNW</v>
      </c>
      <c r="L205" s="15" t="str">
        <f t="shared" si="128"/>
        <v>NW</v>
      </c>
      <c r="M205" s="15" t="str">
        <f t="shared" si="129"/>
        <v>NW</v>
      </c>
      <c r="N205" s="15" t="str">
        <f t="shared" si="130"/>
        <v>WNW</v>
      </c>
      <c r="O205" s="15" t="str">
        <f t="shared" si="131"/>
        <v>WNW</v>
      </c>
      <c r="Q205" t="str">
        <f t="shared" si="93"/>
        <v>NW</v>
      </c>
      <c r="R205" t="str">
        <f t="shared" si="94"/>
        <v>NW</v>
      </c>
      <c r="S205" t="str">
        <f t="shared" si="95"/>
        <v>NW</v>
      </c>
      <c r="T205" t="str">
        <f t="shared" si="96"/>
        <v>NW</v>
      </c>
      <c r="U205" t="str">
        <f t="shared" si="97"/>
        <v>NW</v>
      </c>
      <c r="V205" t="str">
        <f t="shared" si="98"/>
        <v>SW</v>
      </c>
      <c r="W205" t="str">
        <f t="shared" si="99"/>
        <v>SW</v>
      </c>
      <c r="X205" t="str">
        <f t="shared" si="100"/>
        <v>SW</v>
      </c>
      <c r="Y205" t="str">
        <f t="shared" si="101"/>
        <v>SW</v>
      </c>
      <c r="Z205" t="str">
        <f t="shared" si="102"/>
        <v>SW</v>
      </c>
      <c r="AA205" t="str">
        <f t="shared" si="103"/>
        <v>SW</v>
      </c>
      <c r="AB205" t="str">
        <f t="shared" si="105"/>
        <v>SW</v>
      </c>
      <c r="AC205" t="str">
        <f t="shared" si="104"/>
        <v>SW</v>
      </c>
    </row>
    <row r="206" spans="1:29">
      <c r="A206" s="7" t="s">
        <v>231</v>
      </c>
      <c r="B206" s="4" t="s">
        <v>232</v>
      </c>
      <c r="C206" s="15" t="str">
        <f t="shared" si="119"/>
        <v>WNW</v>
      </c>
      <c r="D206" s="15" t="str">
        <f t="shared" si="120"/>
        <v>WNW</v>
      </c>
      <c r="E206" s="15" t="str">
        <f t="shared" si="121"/>
        <v>WNW</v>
      </c>
      <c r="F206" s="15" t="str">
        <f t="shared" si="122"/>
        <v>WNW</v>
      </c>
      <c r="G206" s="15" t="str">
        <f t="shared" si="123"/>
        <v>WNW</v>
      </c>
      <c r="H206" s="15" t="str">
        <f t="shared" si="124"/>
        <v>NW</v>
      </c>
      <c r="I206" s="15" t="str">
        <f t="shared" si="125"/>
        <v>NW</v>
      </c>
      <c r="J206" s="15" t="str">
        <f t="shared" si="126"/>
        <v>NW</v>
      </c>
      <c r="K206" s="15" t="str">
        <f t="shared" si="127"/>
        <v>NW</v>
      </c>
      <c r="L206" s="15" t="str">
        <f t="shared" si="128"/>
        <v>NW</v>
      </c>
      <c r="M206" s="15" t="str">
        <f t="shared" si="129"/>
        <v>NW</v>
      </c>
      <c r="N206" s="15" t="str">
        <f t="shared" si="130"/>
        <v>NW</v>
      </c>
      <c r="O206" s="15" t="str">
        <f t="shared" si="131"/>
        <v>NW</v>
      </c>
      <c r="Q206" t="str">
        <f t="shared" si="93"/>
        <v>W</v>
      </c>
      <c r="R206" t="str">
        <f t="shared" si="94"/>
        <v>W</v>
      </c>
      <c r="S206" t="str">
        <f t="shared" si="95"/>
        <v>W</v>
      </c>
      <c r="T206" t="str">
        <f t="shared" si="96"/>
        <v>W</v>
      </c>
      <c r="U206" t="str">
        <f t="shared" si="97"/>
        <v>NW</v>
      </c>
      <c r="V206" t="str">
        <f t="shared" si="98"/>
        <v>NW</v>
      </c>
      <c r="W206" t="str">
        <f t="shared" si="99"/>
        <v>NW</v>
      </c>
      <c r="X206" t="str">
        <f t="shared" si="100"/>
        <v>NW</v>
      </c>
      <c r="Y206" t="str">
        <f t="shared" si="101"/>
        <v>NW</v>
      </c>
      <c r="Z206" t="str">
        <f t="shared" si="102"/>
        <v>NW</v>
      </c>
      <c r="AA206" t="str">
        <f t="shared" si="103"/>
        <v>NW</v>
      </c>
      <c r="AB206" t="str">
        <f t="shared" si="105"/>
        <v>NW</v>
      </c>
      <c r="AC206" t="str">
        <f t="shared" si="104"/>
        <v>NW</v>
      </c>
    </row>
    <row r="207" spans="1:29">
      <c r="A207" s="7" t="s">
        <v>231</v>
      </c>
      <c r="B207" s="2" t="s">
        <v>233</v>
      </c>
      <c r="C207" s="15" t="str">
        <f t="shared" si="119"/>
        <v>N</v>
      </c>
      <c r="D207" s="15" t="str">
        <f t="shared" si="120"/>
        <v>SSE</v>
      </c>
      <c r="E207" s="15" t="str">
        <f t="shared" si="121"/>
        <v>N</v>
      </c>
      <c r="F207" s="15" t="str">
        <f t="shared" si="122"/>
        <v>N</v>
      </c>
      <c r="G207" s="15" t="str">
        <f t="shared" si="123"/>
        <v>SSE</v>
      </c>
      <c r="H207" s="15" t="str">
        <f t="shared" si="124"/>
        <v>SSE</v>
      </c>
      <c r="I207" s="15" t="str">
        <f t="shared" si="125"/>
        <v>SSE</v>
      </c>
      <c r="J207" s="15" t="str">
        <f t="shared" si="126"/>
        <v>SSE</v>
      </c>
      <c r="K207" s="15" t="str">
        <f t="shared" si="127"/>
        <v>SSE</v>
      </c>
      <c r="L207" s="15" t="str">
        <f t="shared" si="128"/>
        <v>SSE</v>
      </c>
      <c r="M207" s="15" t="str">
        <f t="shared" si="129"/>
        <v>SSE</v>
      </c>
      <c r="N207" s="15" t="str">
        <f t="shared" si="130"/>
        <v>S</v>
      </c>
      <c r="O207" s="15" t="str">
        <f t="shared" si="131"/>
        <v>SSE</v>
      </c>
      <c r="Q207" t="str">
        <f t="shared" si="93"/>
        <v>NW</v>
      </c>
      <c r="R207" t="str">
        <f t="shared" si="94"/>
        <v>NW</v>
      </c>
      <c r="S207" t="str">
        <f t="shared" si="95"/>
        <v>NW</v>
      </c>
      <c r="T207" t="str">
        <f t="shared" si="96"/>
        <v>NW</v>
      </c>
      <c r="U207" t="str">
        <f t="shared" si="97"/>
        <v>W</v>
      </c>
      <c r="V207" t="str">
        <f t="shared" si="98"/>
        <v>NW</v>
      </c>
      <c r="W207" t="str">
        <f t="shared" si="99"/>
        <v>W</v>
      </c>
      <c r="X207" t="str">
        <f t="shared" si="100"/>
        <v>W</v>
      </c>
      <c r="Y207" t="str">
        <f t="shared" si="101"/>
        <v>S</v>
      </c>
      <c r="Z207" t="str">
        <f t="shared" si="102"/>
        <v>NW</v>
      </c>
      <c r="AA207" t="str">
        <f t="shared" si="103"/>
        <v>NW</v>
      </c>
      <c r="AB207" t="str">
        <f t="shared" si="105"/>
        <v>NW</v>
      </c>
      <c r="AC207" t="str">
        <f t="shared" si="104"/>
        <v>NW</v>
      </c>
    </row>
    <row r="208" spans="1:29" ht="22.8">
      <c r="A208" s="7" t="s">
        <v>231</v>
      </c>
      <c r="B208" s="2" t="s">
        <v>234</v>
      </c>
      <c r="C208" s="15" t="str">
        <f t="shared" si="119"/>
        <v>N</v>
      </c>
      <c r="D208" s="15" t="str">
        <f t="shared" si="120"/>
        <v>N</v>
      </c>
      <c r="E208" s="15" t="str">
        <f t="shared" si="121"/>
        <v>N</v>
      </c>
      <c r="F208" s="15" t="str">
        <f t="shared" si="122"/>
        <v>N</v>
      </c>
      <c r="G208" s="15" t="str">
        <f t="shared" si="123"/>
        <v>N</v>
      </c>
      <c r="H208" s="15" t="str">
        <f t="shared" si="124"/>
        <v>N</v>
      </c>
      <c r="I208" s="15" t="str">
        <f t="shared" si="125"/>
        <v>S</v>
      </c>
      <c r="J208" s="15" t="str">
        <f t="shared" si="126"/>
        <v>N</v>
      </c>
      <c r="K208" s="15" t="str">
        <f t="shared" si="127"/>
        <v>N</v>
      </c>
      <c r="L208" s="15" t="str">
        <f t="shared" si="128"/>
        <v>N</v>
      </c>
      <c r="M208" s="15" t="str">
        <f t="shared" si="129"/>
        <v>N</v>
      </c>
      <c r="N208" s="15" t="str">
        <f t="shared" si="130"/>
        <v>N</v>
      </c>
      <c r="O208" s="15" t="str">
        <f t="shared" si="131"/>
        <v>N</v>
      </c>
      <c r="Q208" t="str">
        <f t="shared" si="93"/>
        <v>NW</v>
      </c>
      <c r="R208" t="str">
        <f t="shared" si="94"/>
        <v>NW</v>
      </c>
      <c r="S208" t="str">
        <f t="shared" si="95"/>
        <v>NW</v>
      </c>
      <c r="T208" t="str">
        <f t="shared" si="96"/>
        <v>NW</v>
      </c>
      <c r="U208" t="str">
        <f t="shared" si="97"/>
        <v>SE</v>
      </c>
      <c r="V208" t="str">
        <f t="shared" si="98"/>
        <v>S</v>
      </c>
      <c r="W208" t="str">
        <f t="shared" si="99"/>
        <v>S</v>
      </c>
      <c r="X208" t="str">
        <f t="shared" si="100"/>
        <v>S</v>
      </c>
      <c r="Y208" t="str">
        <f t="shared" si="101"/>
        <v>S</v>
      </c>
      <c r="Z208" t="str">
        <f t="shared" si="102"/>
        <v>NW</v>
      </c>
      <c r="AA208" t="str">
        <f t="shared" si="103"/>
        <v>NW</v>
      </c>
      <c r="AB208" t="str">
        <f t="shared" si="105"/>
        <v>NW</v>
      </c>
      <c r="AC208" t="str">
        <f t="shared" si="104"/>
        <v>NW</v>
      </c>
    </row>
    <row r="209" spans="1:29">
      <c r="A209" s="7" t="s">
        <v>231</v>
      </c>
      <c r="B209" s="2" t="s">
        <v>235</v>
      </c>
      <c r="C209" s="15" t="str">
        <f t="shared" si="119"/>
        <v>NW</v>
      </c>
      <c r="D209" s="15" t="str">
        <f t="shared" si="120"/>
        <v>NW</v>
      </c>
      <c r="E209" s="15" t="str">
        <f t="shared" si="121"/>
        <v>NW</v>
      </c>
      <c r="F209" s="15" t="str">
        <f t="shared" si="122"/>
        <v>N</v>
      </c>
      <c r="G209" s="15" t="str">
        <f t="shared" si="123"/>
        <v>N</v>
      </c>
      <c r="H209" s="15" t="str">
        <f t="shared" si="124"/>
        <v>W</v>
      </c>
      <c r="I209" s="15" t="str">
        <f t="shared" si="125"/>
        <v>W</v>
      </c>
      <c r="J209" s="15" t="str">
        <f t="shared" si="126"/>
        <v>W</v>
      </c>
      <c r="K209" s="15" t="str">
        <f t="shared" si="127"/>
        <v>W</v>
      </c>
      <c r="L209" s="15" t="str">
        <f t="shared" si="128"/>
        <v>WNW</v>
      </c>
      <c r="M209" s="15" t="str">
        <f t="shared" si="129"/>
        <v>NW</v>
      </c>
      <c r="N209" s="15" t="str">
        <f t="shared" si="130"/>
        <v>NW</v>
      </c>
      <c r="O209" s="15" t="str">
        <f t="shared" si="131"/>
        <v>NW</v>
      </c>
      <c r="Q209" t="str">
        <f t="shared" si="93"/>
        <v>NW</v>
      </c>
      <c r="R209" t="str">
        <f t="shared" si="94"/>
        <v>NW</v>
      </c>
      <c r="S209" t="str">
        <f t="shared" si="95"/>
        <v>NW</v>
      </c>
      <c r="T209" t="str">
        <f t="shared" si="96"/>
        <v>NW</v>
      </c>
      <c r="U209" t="str">
        <f t="shared" si="97"/>
        <v>SW</v>
      </c>
      <c r="V209" t="str">
        <f t="shared" si="98"/>
        <v>SW</v>
      </c>
      <c r="W209" t="str">
        <f t="shared" si="99"/>
        <v>SW</v>
      </c>
      <c r="X209" t="str">
        <f t="shared" si="100"/>
        <v>SW</v>
      </c>
      <c r="Y209" t="str">
        <f t="shared" si="101"/>
        <v>SW</v>
      </c>
      <c r="Z209" t="str">
        <f t="shared" si="102"/>
        <v>NW</v>
      </c>
      <c r="AA209" t="str">
        <f t="shared" si="103"/>
        <v>NW</v>
      </c>
      <c r="AB209" t="str">
        <f t="shared" si="105"/>
        <v>NW</v>
      </c>
      <c r="AC209" t="str">
        <f t="shared" si="104"/>
        <v>NW</v>
      </c>
    </row>
    <row r="210" spans="1:29">
      <c r="A210" s="7" t="s">
        <v>231</v>
      </c>
      <c r="B210" s="2" t="s">
        <v>236</v>
      </c>
      <c r="C210" s="15" t="str">
        <f t="shared" si="119"/>
        <v>SSW</v>
      </c>
      <c r="D210" s="15" t="str">
        <f t="shared" si="120"/>
        <v>SSW</v>
      </c>
      <c r="E210" s="15" t="str">
        <f t="shared" si="121"/>
        <v>SSW</v>
      </c>
      <c r="F210" s="15" t="str">
        <f t="shared" si="122"/>
        <v>SSW</v>
      </c>
      <c r="G210" s="15" t="str">
        <f t="shared" si="123"/>
        <v>N</v>
      </c>
      <c r="H210" s="15" t="str">
        <f t="shared" si="124"/>
        <v>N</v>
      </c>
      <c r="I210" s="15" t="str">
        <f t="shared" si="125"/>
        <v>N</v>
      </c>
      <c r="J210" s="15" t="str">
        <f t="shared" si="126"/>
        <v>N</v>
      </c>
      <c r="K210" s="15" t="str">
        <f t="shared" si="127"/>
        <v>N</v>
      </c>
      <c r="L210" s="15" t="str">
        <f t="shared" si="128"/>
        <v>N</v>
      </c>
      <c r="M210" s="15" t="str">
        <f t="shared" si="129"/>
        <v>N</v>
      </c>
      <c r="N210" s="15" t="str">
        <f t="shared" si="130"/>
        <v>N</v>
      </c>
      <c r="O210" s="15" t="str">
        <f t="shared" si="131"/>
        <v>N</v>
      </c>
      <c r="Q210" t="str">
        <f t="shared" si="93"/>
        <v>NW</v>
      </c>
      <c r="R210" t="str">
        <f t="shared" si="94"/>
        <v>NW</v>
      </c>
      <c r="S210" t="str">
        <f t="shared" si="95"/>
        <v>NW</v>
      </c>
      <c r="T210" t="str">
        <f t="shared" si="96"/>
        <v>NW</v>
      </c>
      <c r="U210" t="str">
        <f t="shared" si="97"/>
        <v>S</v>
      </c>
      <c r="V210" t="str">
        <f t="shared" si="98"/>
        <v>S</v>
      </c>
      <c r="W210" t="str">
        <f t="shared" si="99"/>
        <v>S</v>
      </c>
      <c r="X210" t="str">
        <f t="shared" si="100"/>
        <v>S</v>
      </c>
      <c r="Y210" t="str">
        <f t="shared" si="101"/>
        <v>S</v>
      </c>
      <c r="Z210" t="str">
        <f t="shared" si="102"/>
        <v>N</v>
      </c>
      <c r="AA210" t="str">
        <f t="shared" si="103"/>
        <v>NW</v>
      </c>
      <c r="AB210" t="str">
        <f t="shared" si="105"/>
        <v>N</v>
      </c>
      <c r="AC210" t="str">
        <f t="shared" si="104"/>
        <v>S</v>
      </c>
    </row>
    <row r="211" spans="1:29">
      <c r="A211" s="3" t="s">
        <v>237</v>
      </c>
      <c r="B211" s="4" t="s">
        <v>238</v>
      </c>
      <c r="C211" s="15" t="str">
        <f t="shared" si="119"/>
        <v>WSW</v>
      </c>
      <c r="D211" s="15" t="str">
        <f t="shared" si="120"/>
        <v>WSW</v>
      </c>
      <c r="E211" s="15" t="str">
        <f t="shared" si="121"/>
        <v>W</v>
      </c>
      <c r="F211" s="15" t="str">
        <f t="shared" si="122"/>
        <v>SW</v>
      </c>
      <c r="G211" s="15" t="str">
        <f t="shared" si="123"/>
        <v>S</v>
      </c>
      <c r="H211" s="15" t="str">
        <f t="shared" si="124"/>
        <v>SW</v>
      </c>
      <c r="I211" s="15" t="str">
        <f t="shared" si="125"/>
        <v>SW</v>
      </c>
      <c r="J211" s="15" t="str">
        <f t="shared" si="126"/>
        <v>SW</v>
      </c>
      <c r="K211" s="15" t="str">
        <f t="shared" si="127"/>
        <v>S</v>
      </c>
      <c r="L211" s="15" t="str">
        <f t="shared" si="128"/>
        <v>S</v>
      </c>
      <c r="M211" s="15" t="str">
        <f t="shared" si="129"/>
        <v>WSW</v>
      </c>
      <c r="N211" s="15" t="str">
        <f t="shared" si="130"/>
        <v>WSW</v>
      </c>
      <c r="O211" s="15" t="str">
        <f t="shared" si="131"/>
        <v>SW</v>
      </c>
      <c r="Q211" t="str">
        <f t="shared" si="93"/>
        <v>W</v>
      </c>
      <c r="R211" t="str">
        <f t="shared" si="94"/>
        <v>NW</v>
      </c>
      <c r="S211" t="str">
        <f t="shared" si="95"/>
        <v>NW</v>
      </c>
      <c r="T211" t="str">
        <f t="shared" si="96"/>
        <v>SW</v>
      </c>
      <c r="U211" t="str">
        <f t="shared" si="97"/>
        <v>SW</v>
      </c>
      <c r="V211" t="str">
        <f t="shared" si="98"/>
        <v>SW</v>
      </c>
      <c r="W211" t="str">
        <f t="shared" si="99"/>
        <v>SW</v>
      </c>
      <c r="X211" t="str">
        <f t="shared" si="100"/>
        <v>SW</v>
      </c>
      <c r="Y211" t="str">
        <f t="shared" si="101"/>
        <v>SW</v>
      </c>
      <c r="Z211" t="str">
        <f t="shared" si="102"/>
        <v>SW</v>
      </c>
      <c r="AA211" t="str">
        <f t="shared" si="103"/>
        <v>W</v>
      </c>
      <c r="AB211" t="str">
        <f t="shared" si="105"/>
        <v>W</v>
      </c>
      <c r="AC211" t="str">
        <f t="shared" si="104"/>
        <v>SW</v>
      </c>
    </row>
    <row r="212" spans="1:29">
      <c r="A212" s="3" t="s">
        <v>237</v>
      </c>
      <c r="B212" s="2" t="s">
        <v>239</v>
      </c>
      <c r="C212" s="15" t="str">
        <f t="shared" si="119"/>
        <v>SSW</v>
      </c>
      <c r="D212" s="15" t="str">
        <f t="shared" si="120"/>
        <v>SSW</v>
      </c>
      <c r="E212" s="15" t="str">
        <f t="shared" si="121"/>
        <v>SSW</v>
      </c>
      <c r="F212" s="15" t="str">
        <f t="shared" si="122"/>
        <v>SSW</v>
      </c>
      <c r="G212" s="15" t="str">
        <f t="shared" si="123"/>
        <v>SW</v>
      </c>
      <c r="H212" s="15" t="str">
        <f t="shared" si="124"/>
        <v>SSW</v>
      </c>
      <c r="I212" s="15" t="str">
        <f t="shared" si="125"/>
        <v>SW</v>
      </c>
      <c r="J212" s="15" t="str">
        <f t="shared" si="126"/>
        <v>SW</v>
      </c>
      <c r="K212" s="15" t="str">
        <f t="shared" si="127"/>
        <v>SSW</v>
      </c>
      <c r="L212" s="15" t="str">
        <f t="shared" si="128"/>
        <v>SSW</v>
      </c>
      <c r="M212" s="15" t="str">
        <f t="shared" si="129"/>
        <v>SSW</v>
      </c>
      <c r="N212" s="15" t="str">
        <f t="shared" si="130"/>
        <v>SSW</v>
      </c>
      <c r="O212" s="15" t="str">
        <f t="shared" si="131"/>
        <v>SSW</v>
      </c>
      <c r="Q212" t="str">
        <f t="shared" si="93"/>
        <v>W</v>
      </c>
      <c r="R212" t="str">
        <f t="shared" si="94"/>
        <v>NW</v>
      </c>
      <c r="S212" t="str">
        <f t="shared" si="95"/>
        <v>NW</v>
      </c>
      <c r="T212" t="str">
        <f t="shared" si="96"/>
        <v>NW</v>
      </c>
      <c r="U212" t="str">
        <f t="shared" si="97"/>
        <v>S</v>
      </c>
      <c r="V212" t="str">
        <f t="shared" si="98"/>
        <v>S</v>
      </c>
      <c r="W212" t="str">
        <f t="shared" si="99"/>
        <v>SW</v>
      </c>
      <c r="X212" t="str">
        <f t="shared" si="100"/>
        <v>SW</v>
      </c>
      <c r="Y212" t="str">
        <f t="shared" si="101"/>
        <v>SW</v>
      </c>
      <c r="Z212" t="str">
        <f t="shared" si="102"/>
        <v>NW</v>
      </c>
      <c r="AA212" t="str">
        <f t="shared" si="103"/>
        <v>W</v>
      </c>
      <c r="AB212" t="str">
        <f t="shared" si="105"/>
        <v>W</v>
      </c>
      <c r="AC212" t="str">
        <f t="shared" si="104"/>
        <v>NW</v>
      </c>
    </row>
    <row r="213" spans="1:29">
      <c r="A213" s="3" t="s">
        <v>237</v>
      </c>
      <c r="B213" s="2" t="s">
        <v>240</v>
      </c>
      <c r="C213" s="15" t="str">
        <f t="shared" si="119"/>
        <v>WSW</v>
      </c>
      <c r="D213" s="15" t="str">
        <f t="shared" si="120"/>
        <v>SW</v>
      </c>
      <c r="E213" s="15" t="str">
        <f t="shared" si="121"/>
        <v>SSW</v>
      </c>
      <c r="F213" s="15" t="str">
        <f t="shared" si="122"/>
        <v>N</v>
      </c>
      <c r="G213" s="15" t="str">
        <f t="shared" si="123"/>
        <v>N</v>
      </c>
      <c r="H213" s="15" t="str">
        <f t="shared" si="124"/>
        <v>SW</v>
      </c>
      <c r="I213" s="15" t="str">
        <f t="shared" si="125"/>
        <v>SW</v>
      </c>
      <c r="J213" s="15" t="str">
        <f t="shared" si="126"/>
        <v>SW</v>
      </c>
      <c r="K213" s="15" t="str">
        <f t="shared" si="127"/>
        <v>SW</v>
      </c>
      <c r="L213" s="15" t="str">
        <f t="shared" si="128"/>
        <v>SSW</v>
      </c>
      <c r="M213" s="15" t="str">
        <f t="shared" si="129"/>
        <v>WSW</v>
      </c>
      <c r="N213" s="15" t="str">
        <f t="shared" si="130"/>
        <v>WSW</v>
      </c>
      <c r="O213" s="15" t="str">
        <f t="shared" si="131"/>
        <v>SW</v>
      </c>
      <c r="Q213" t="str">
        <f t="shared" si="93"/>
        <v>NW</v>
      </c>
      <c r="R213" t="str">
        <f t="shared" si="94"/>
        <v>NW</v>
      </c>
      <c r="S213" t="str">
        <f t="shared" si="95"/>
        <v>NW</v>
      </c>
      <c r="T213" t="str">
        <f t="shared" si="96"/>
        <v>NW</v>
      </c>
      <c r="U213" t="str">
        <f t="shared" si="97"/>
        <v>NW</v>
      </c>
      <c r="V213" t="str">
        <f t="shared" si="98"/>
        <v>NW</v>
      </c>
      <c r="W213" t="str">
        <f t="shared" si="99"/>
        <v>NW</v>
      </c>
      <c r="X213" t="str">
        <f t="shared" si="100"/>
        <v>NW</v>
      </c>
      <c r="Y213" t="str">
        <f t="shared" si="101"/>
        <v>NW</v>
      </c>
      <c r="Z213" t="str">
        <f t="shared" si="102"/>
        <v>NW</v>
      </c>
      <c r="AA213" t="str">
        <f t="shared" si="103"/>
        <v>NW</v>
      </c>
      <c r="AB213" t="str">
        <f t="shared" si="105"/>
        <v>NW</v>
      </c>
      <c r="AC213" t="str">
        <f t="shared" si="104"/>
        <v>NW</v>
      </c>
    </row>
    <row r="214" spans="1:29">
      <c r="A214" s="3" t="s">
        <v>237</v>
      </c>
      <c r="B214" s="2" t="s">
        <v>86</v>
      </c>
      <c r="C214" s="15" t="str">
        <f t="shared" si="119"/>
        <v>ENE</v>
      </c>
      <c r="D214" s="15" t="str">
        <f t="shared" si="120"/>
        <v>ENE</v>
      </c>
      <c r="E214" s="15" t="str">
        <f t="shared" si="121"/>
        <v>NW</v>
      </c>
      <c r="F214" s="15" t="str">
        <f t="shared" si="122"/>
        <v>NW</v>
      </c>
      <c r="G214" s="15" t="str">
        <f t="shared" si="123"/>
        <v>WNW</v>
      </c>
      <c r="H214" s="15" t="str">
        <f t="shared" si="124"/>
        <v>WNW</v>
      </c>
      <c r="I214" s="15" t="str">
        <f t="shared" si="125"/>
        <v>S</v>
      </c>
      <c r="J214" s="15" t="str">
        <f t="shared" si="126"/>
        <v>S</v>
      </c>
      <c r="K214" s="15" t="str">
        <f t="shared" si="127"/>
        <v>E</v>
      </c>
      <c r="L214" s="15" t="str">
        <f t="shared" si="128"/>
        <v>E</v>
      </c>
      <c r="M214" s="15" t="str">
        <f t="shared" si="129"/>
        <v>ENE</v>
      </c>
      <c r="N214" s="15" t="str">
        <f t="shared" si="130"/>
        <v>ENE</v>
      </c>
      <c r="O214" s="15" t="str">
        <f t="shared" si="131"/>
        <v>ENE</v>
      </c>
      <c r="Q214" t="str">
        <f t="shared" si="93"/>
        <v>NW</v>
      </c>
      <c r="R214" t="str">
        <f t="shared" si="94"/>
        <v>NW</v>
      </c>
      <c r="S214" t="str">
        <f t="shared" si="95"/>
        <v>NW</v>
      </c>
      <c r="T214" t="str">
        <f t="shared" si="96"/>
        <v>SE</v>
      </c>
      <c r="U214" t="str">
        <f t="shared" si="97"/>
        <v>SE</v>
      </c>
      <c r="V214" t="str">
        <f t="shared" si="98"/>
        <v>SE</v>
      </c>
      <c r="W214" t="str">
        <f t="shared" si="99"/>
        <v>NW</v>
      </c>
      <c r="X214" t="str">
        <f t="shared" si="100"/>
        <v>SW</v>
      </c>
      <c r="Y214" t="str">
        <f t="shared" si="101"/>
        <v>SW</v>
      </c>
      <c r="Z214" t="str">
        <f t="shared" si="102"/>
        <v>S</v>
      </c>
      <c r="AA214" t="str">
        <f t="shared" si="103"/>
        <v>SW</v>
      </c>
      <c r="AB214" t="str">
        <f t="shared" si="105"/>
        <v>SW</v>
      </c>
      <c r="AC214" t="str">
        <f t="shared" si="104"/>
        <v>NW</v>
      </c>
    </row>
    <row r="215" spans="1:29">
      <c r="A215" s="3" t="s">
        <v>237</v>
      </c>
      <c r="B215" s="2" t="s">
        <v>241</v>
      </c>
      <c r="C215" s="15" t="str">
        <f t="shared" si="119"/>
        <v>W</v>
      </c>
      <c r="D215" s="15" t="str">
        <f t="shared" si="120"/>
        <v>SSW</v>
      </c>
      <c r="E215" s="15" t="str">
        <f t="shared" si="121"/>
        <v>WNW</v>
      </c>
      <c r="F215" s="15" t="str">
        <f t="shared" si="122"/>
        <v>S</v>
      </c>
      <c r="G215" s="15" t="str">
        <f t="shared" si="123"/>
        <v>SW</v>
      </c>
      <c r="H215" s="15" t="str">
        <f t="shared" si="124"/>
        <v>SSW</v>
      </c>
      <c r="I215" s="15" t="str">
        <f t="shared" si="125"/>
        <v>WSW</v>
      </c>
      <c r="J215" s="15" t="str">
        <f t="shared" si="126"/>
        <v>SW</v>
      </c>
      <c r="K215" s="15" t="str">
        <f t="shared" si="127"/>
        <v>S</v>
      </c>
      <c r="L215" s="15" t="str">
        <f t="shared" si="128"/>
        <v>S</v>
      </c>
      <c r="M215" s="15" t="str">
        <f t="shared" si="129"/>
        <v>SSW</v>
      </c>
      <c r="N215" s="15" t="str">
        <f t="shared" si="130"/>
        <v>S</v>
      </c>
      <c r="O215" s="15" t="str">
        <f t="shared" si="131"/>
        <v>SSW</v>
      </c>
      <c r="Q215" t="str">
        <f t="shared" ref="Q215:Q278" si="132">IF(OR(C134="ESE",C134="SSE"),"SE",IF(OR(C134="WSW",C134="SSW"),"SW",IF(OR(C134="WNW",C134="NNW"),"NW",IF(OR(C134="ENE",C134="NNE"),"NE",IF(OR(C134="N",C134="NE",C134="E",C134="SE",C134="S",C134="SW",C134="W",C134="NW"),C134)))))</f>
        <v>SW</v>
      </c>
      <c r="R215" t="str">
        <f t="shared" ref="R215:R278" si="133">IF(OR(D134="ESE",D134="SSE"),"SE",IF(OR(D134="WSW",D134="SSW"),"SW",IF(OR(D134="WNW",D134="NNW"),"NW",IF(OR(D134="ENE",D134="NNE"),"NE",IF(OR(D134="N",D134="NE",D134="E",D134="SE",D134="S",D134="SW",D134="W",D134="NW"),D134)))))</f>
        <v>SW</v>
      </c>
      <c r="S215" t="str">
        <f t="shared" ref="S215:S278" si="134">IF(OR(E134="ESE",E134="SSE"),"SE",IF(OR(E134="WSW",E134="SSW"),"SW",IF(OR(E134="WNW",E134="NNW"),"NW",IF(OR(E134="ENE",E134="NNE"),"NE",IF(OR(E134="N",E134="NE",E134="E",E134="SE",E134="S",E134="SW",E134="W",E134="NW"),E134)))))</f>
        <v>NW</v>
      </c>
      <c r="T215" t="str">
        <f t="shared" ref="T215:T278" si="135">IF(OR(F134="ESE",F134="SSE"),"SE",IF(OR(F134="WSW",F134="SSW"),"SW",IF(OR(F134="WNW",F134="NNW"),"NW",IF(OR(F134="ENE",F134="NNE"),"NE",IF(OR(F134="N",F134="NE",F134="E",F134="SE",F134="S",F134="SW",F134="W",F134="NW"),F134)))))</f>
        <v>SW</v>
      </c>
      <c r="U215" t="str">
        <f t="shared" ref="U215:U278" si="136">IF(OR(G134="ESE",G134="SSE"),"SE",IF(OR(G134="WSW",G134="SSW"),"SW",IF(OR(G134="WNW",G134="NNW"),"NW",IF(OR(G134="ENE",G134="NNE"),"NE",IF(OR(G134="N",G134="NE",G134="E",G134="SE",G134="S",G134="SW",G134="W",G134="NW"),G134)))))</f>
        <v>NE</v>
      </c>
      <c r="V215" t="str">
        <f t="shared" ref="V215:V278" si="137">IF(OR(H134="ESE",H134="SSE"),"SE",IF(OR(H134="WSW",H134="SSW"),"SW",IF(OR(H134="WNW",H134="NNW"),"NW",IF(OR(H134="ENE",H134="NNE"),"NE",IF(OR(H134="N",H134="NE",H134="E",H134="SE",H134="S",H134="SW",H134="W",H134="NW"),H134)))))</f>
        <v>SW</v>
      </c>
      <c r="W215" t="str">
        <f t="shared" ref="W215:W278" si="138">IF(OR(I134="ESE",I134="SSE"),"SE",IF(OR(I134="WSW",I134="SSW"),"SW",IF(OR(I134="WNW",I134="NNW"),"NW",IF(OR(I134="ENE",I134="NNE"),"NE",IF(OR(I134="N",I134="NE",I134="E",I134="SE",I134="S",I134="SW",I134="W",I134="NW"),I134)))))</f>
        <v>SW</v>
      </c>
      <c r="X215" t="str">
        <f t="shared" ref="X215:X278" si="139">IF(OR(J134="ESE",J134="SSE"),"SE",IF(OR(J134="WSW",J134="SSW"),"SW",IF(OR(J134="WNW",J134="NNW"),"NW",IF(OR(J134="ENE",J134="NNE"),"NE",IF(OR(J134="N",J134="NE",J134="E",J134="SE",J134="S",J134="SW",J134="W",J134="NW"),J134)))))</f>
        <v>SW</v>
      </c>
      <c r="Y215" t="str">
        <f t="shared" ref="Y215:Y278" si="140">IF(OR(K134="ESE",K134="SSE"),"SE",IF(OR(K134="WSW",K134="SSW"),"SW",IF(OR(K134="WNW",K134="NNW"),"NW",IF(OR(K134="ENE",K134="NNE"),"NE",IF(OR(K134="N",K134="NE",K134="E",K134="SE",K134="S",K134="SW",K134="W",K134="NW"),K134)))))</f>
        <v>SW</v>
      </c>
      <c r="Z215" t="str">
        <f t="shared" ref="Z215:Z278" si="141">IF(OR(L134="ESE",L134="SSE"),"SE",IF(OR(L134="WSW",L134="SSW"),"SW",IF(OR(L134="WNW",L134="NNW"),"NW",IF(OR(L134="ENE",L134="NNE"),"NE",IF(OR(L134="N",L134="NE",L134="E",L134="SE",L134="S",L134="SW",L134="W",L134="NW"),L134)))))</f>
        <v>SW</v>
      </c>
      <c r="AA215" t="str">
        <f t="shared" ref="AA215:AA278" si="142">IF(OR(M134="ESE",M134="SSE"),"SE",IF(OR(M134="WSW",M134="SSW"),"SW",IF(OR(M134="WNW",M134="NNW"),"NW",IF(OR(M134="ENE",M134="NNE"),"NE",IF(OR(M134="N",M134="NE",M134="E",M134="SE",M134="S",M134="SW",M134="W",M134="NW"),M134)))))</f>
        <v>SW</v>
      </c>
      <c r="AB215" t="str">
        <f t="shared" si="105"/>
        <v>SW</v>
      </c>
      <c r="AC215" t="str">
        <f t="shared" ref="AC215:AC278" si="143">IF(OR(O134="ESE",O134="SSE"),"SE",IF(OR(O134="WSW",O134="SSW"),"SW",IF(OR(O134="WNW",O134="NNW"),"NW",IF(OR(O134="ENE",O134="NNE"),"NE",IF(OR(O134="N",O134="NE",O134="E",O134="SE",O134="S",O134="SW",O134="W",O134="NW"),O134)))))</f>
        <v>SW</v>
      </c>
    </row>
    <row r="216" spans="1:29">
      <c r="A216" s="3" t="s">
        <v>237</v>
      </c>
      <c r="B216" s="2" t="s">
        <v>242</v>
      </c>
      <c r="C216" s="15" t="str">
        <f t="shared" si="119"/>
        <v>WSW</v>
      </c>
      <c r="D216" s="15" t="str">
        <f t="shared" si="120"/>
        <v>WSW</v>
      </c>
      <c r="E216" s="15" t="str">
        <f t="shared" si="121"/>
        <v>WSW</v>
      </c>
      <c r="F216" s="15" t="str">
        <f t="shared" si="122"/>
        <v>WSW</v>
      </c>
      <c r="G216" s="15" t="str">
        <f t="shared" si="123"/>
        <v>W</v>
      </c>
      <c r="H216" s="15" t="str">
        <f t="shared" si="124"/>
        <v>W</v>
      </c>
      <c r="I216" s="15" t="str">
        <f t="shared" si="125"/>
        <v>SW</v>
      </c>
      <c r="J216" s="15" t="str">
        <f t="shared" si="126"/>
        <v>SW</v>
      </c>
      <c r="K216" s="15" t="str">
        <f t="shared" si="127"/>
        <v>SW</v>
      </c>
      <c r="L216" s="15" t="str">
        <f t="shared" si="128"/>
        <v>SW</v>
      </c>
      <c r="M216" s="15" t="str">
        <f t="shared" si="129"/>
        <v>SSW</v>
      </c>
      <c r="N216" s="15" t="str">
        <f t="shared" si="130"/>
        <v>SSW</v>
      </c>
      <c r="O216" s="15" t="str">
        <f t="shared" si="131"/>
        <v>WSW</v>
      </c>
      <c r="Q216" t="str">
        <f t="shared" si="132"/>
        <v>W</v>
      </c>
      <c r="R216" t="str">
        <f t="shared" si="133"/>
        <v>W</v>
      </c>
      <c r="S216" t="str">
        <f t="shared" si="134"/>
        <v>NW</v>
      </c>
      <c r="T216" t="str">
        <f t="shared" si="135"/>
        <v>SW</v>
      </c>
      <c r="U216" t="str">
        <f t="shared" si="136"/>
        <v>SW</v>
      </c>
      <c r="V216" t="str">
        <f t="shared" si="137"/>
        <v>SW</v>
      </c>
      <c r="W216" t="str">
        <f t="shared" si="138"/>
        <v>SW</v>
      </c>
      <c r="X216" t="str">
        <f t="shared" si="139"/>
        <v>SW</v>
      </c>
      <c r="Y216" t="str">
        <f t="shared" si="140"/>
        <v>SW</v>
      </c>
      <c r="Z216" t="str">
        <f t="shared" si="141"/>
        <v>S</v>
      </c>
      <c r="AA216" t="str">
        <f t="shared" si="142"/>
        <v>SW</v>
      </c>
      <c r="AB216" t="str">
        <f t="shared" ref="AB216:AB279" si="144">IF(OR(N135="ESE",N135="SSE"),"SE",IF(OR(N135="WSW",N135="SSW"),"SW",IF(OR(N135="WNW",N135="NNW"),"NW",IF(OR(N135="ENE",N135="NNE"),"NE",IF(OR(N135="N",N135="NE",N135="E",N135="SE",N135="S",N135="SW",N135="W",N135="NW"),N135)))))</f>
        <v>SW</v>
      </c>
      <c r="AC216" t="str">
        <f t="shared" si="143"/>
        <v>SW</v>
      </c>
    </row>
    <row r="217" spans="1:29">
      <c r="A217" s="3" t="s">
        <v>237</v>
      </c>
      <c r="B217" s="2" t="s">
        <v>243</v>
      </c>
      <c r="C217" s="15" t="str">
        <f t="shared" si="119"/>
        <v>WSW</v>
      </c>
      <c r="D217" s="15" t="str">
        <f t="shared" si="120"/>
        <v>WSW</v>
      </c>
      <c r="E217" s="15" t="str">
        <f t="shared" si="121"/>
        <v>ENE</v>
      </c>
      <c r="F217" s="15" t="str">
        <f t="shared" si="122"/>
        <v>ENE</v>
      </c>
      <c r="G217" s="15" t="str">
        <f t="shared" si="123"/>
        <v>ENE</v>
      </c>
      <c r="H217" s="15" t="str">
        <f t="shared" si="124"/>
        <v>WSW</v>
      </c>
      <c r="I217" s="15" t="str">
        <f t="shared" si="125"/>
        <v>WSW</v>
      </c>
      <c r="J217" s="15" t="str">
        <f t="shared" si="126"/>
        <v>WSW</v>
      </c>
      <c r="K217" s="15" t="str">
        <f t="shared" si="127"/>
        <v>WSW</v>
      </c>
      <c r="L217" s="15" t="str">
        <f t="shared" si="128"/>
        <v>SW</v>
      </c>
      <c r="M217" s="15" t="str">
        <f t="shared" si="129"/>
        <v>WSW</v>
      </c>
      <c r="N217" s="15" t="str">
        <f t="shared" si="130"/>
        <v>WSW</v>
      </c>
      <c r="O217" s="15" t="str">
        <f t="shared" si="131"/>
        <v>WSW</v>
      </c>
      <c r="Q217" t="str">
        <f t="shared" si="132"/>
        <v>SW</v>
      </c>
      <c r="R217" t="str">
        <f t="shared" si="133"/>
        <v>SW</v>
      </c>
      <c r="S217" t="str">
        <f t="shared" si="134"/>
        <v>SW</v>
      </c>
      <c r="T217" t="str">
        <f t="shared" si="135"/>
        <v>SW</v>
      </c>
      <c r="U217" t="str">
        <f t="shared" si="136"/>
        <v>SW</v>
      </c>
      <c r="V217" t="str">
        <f t="shared" si="137"/>
        <v>SW</v>
      </c>
      <c r="W217" t="str">
        <f t="shared" si="138"/>
        <v>SW</v>
      </c>
      <c r="X217" t="str">
        <f t="shared" si="139"/>
        <v>SW</v>
      </c>
      <c r="Y217" t="str">
        <f t="shared" si="140"/>
        <v>S</v>
      </c>
      <c r="Z217" t="str">
        <f t="shared" si="141"/>
        <v>S</v>
      </c>
      <c r="AA217" t="str">
        <f t="shared" si="142"/>
        <v>SW</v>
      </c>
      <c r="AB217" t="str">
        <f t="shared" si="144"/>
        <v>S</v>
      </c>
      <c r="AC217" t="str">
        <f t="shared" si="143"/>
        <v>SW</v>
      </c>
    </row>
    <row r="218" spans="1:29" ht="22.8">
      <c r="A218" s="3" t="s">
        <v>237</v>
      </c>
      <c r="B218" s="2" t="s">
        <v>244</v>
      </c>
      <c r="C218" s="15" t="str">
        <f t="shared" ref="C218:C249" si="145">INDEX(tablewind,MATCH($B218,citywind,0),2)</f>
        <v>WSW</v>
      </c>
      <c r="D218" s="15" t="str">
        <f t="shared" ref="D218:D249" si="146">INDEX(tablewind,MATCH($B218,citywind,0),3)</f>
        <v>WSW</v>
      </c>
      <c r="E218" s="15" t="str">
        <f t="shared" ref="E218:E249" si="147">INDEX(tablewind,MATCH($B218,citywind,0),4)</f>
        <v>WSW</v>
      </c>
      <c r="F218" s="15" t="str">
        <f t="shared" ref="F218:F249" si="148">INDEX(tablewind,MATCH($B218,citywind,0),5)</f>
        <v>WSW</v>
      </c>
      <c r="G218" s="15" t="str">
        <f t="shared" ref="G218:G249" si="149">INDEX(tablewind,MATCH($B218,citywind,0),6)</f>
        <v>WSW</v>
      </c>
      <c r="H218" s="15" t="str">
        <f t="shared" ref="H218:H249" si="150">INDEX(tablewind,MATCH($B218,citywind,0),7)</f>
        <v>WSW</v>
      </c>
      <c r="I218" s="15" t="str">
        <f t="shared" ref="I218:I249" si="151">INDEX(tablewind,MATCH($B218,citywind,0),8)</f>
        <v>W</v>
      </c>
      <c r="J218" s="15" t="str">
        <f t="shared" ref="J218:J249" si="152">INDEX(tablewind,MATCH($B218,citywind,0),9)</f>
        <v>W</v>
      </c>
      <c r="K218" s="15" t="str">
        <f t="shared" ref="K218:K249" si="153">INDEX(tablewind,MATCH($B218,citywind,0),10)</f>
        <v>W</v>
      </c>
      <c r="L218" s="15" t="str">
        <f t="shared" ref="L218:L249" si="154">INDEX(tablewind,MATCH($B218,citywind,0),11)</f>
        <v>SSW</v>
      </c>
      <c r="M218" s="15" t="str">
        <f t="shared" ref="M218:M249" si="155">INDEX(tablewind,MATCH($B218,citywind,0),12)</f>
        <v>SW</v>
      </c>
      <c r="N218" s="15" t="str">
        <f t="shared" ref="N218:N249" si="156">INDEX(tablewind,MATCH($B218,citywind,0),13)</f>
        <v>SW</v>
      </c>
      <c r="O218" s="15" t="str">
        <f t="shared" ref="O218:O249" si="157">INDEX(tablewind,MATCH($B218,citywind,0),14)</f>
        <v>WSW</v>
      </c>
      <c r="Q218" t="str">
        <f t="shared" si="132"/>
        <v>SW</v>
      </c>
      <c r="R218" t="str">
        <f t="shared" si="133"/>
        <v>W</v>
      </c>
      <c r="S218" t="str">
        <f t="shared" si="134"/>
        <v>W</v>
      </c>
      <c r="T218" t="str">
        <f t="shared" si="135"/>
        <v>W</v>
      </c>
      <c r="U218" t="str">
        <f t="shared" si="136"/>
        <v>W</v>
      </c>
      <c r="V218" t="str">
        <f t="shared" si="137"/>
        <v>W</v>
      </c>
      <c r="W218" t="str">
        <f t="shared" si="138"/>
        <v>W</v>
      </c>
      <c r="X218" t="str">
        <f t="shared" si="139"/>
        <v>W</v>
      </c>
      <c r="Y218" t="str">
        <f t="shared" si="140"/>
        <v>S</v>
      </c>
      <c r="Z218" t="str">
        <f t="shared" si="141"/>
        <v>SW</v>
      </c>
      <c r="AA218" t="str">
        <f t="shared" si="142"/>
        <v>SW</v>
      </c>
      <c r="AB218" t="str">
        <f t="shared" si="144"/>
        <v>SW</v>
      </c>
      <c r="AC218" t="str">
        <f t="shared" si="143"/>
        <v>W</v>
      </c>
    </row>
    <row r="219" spans="1:29" ht="22.8">
      <c r="A219" s="2" t="s">
        <v>245</v>
      </c>
      <c r="B219" s="2" t="s">
        <v>246</v>
      </c>
      <c r="C219" s="15" t="str">
        <f t="shared" si="145"/>
        <v>N</v>
      </c>
      <c r="D219" s="15" t="str">
        <f t="shared" si="146"/>
        <v>NNE</v>
      </c>
      <c r="E219" s="15" t="str">
        <f t="shared" si="147"/>
        <v>SSE</v>
      </c>
      <c r="F219" s="15" t="str">
        <f t="shared" si="148"/>
        <v>SSE</v>
      </c>
      <c r="G219" s="15" t="str">
        <f t="shared" si="149"/>
        <v>SSE</v>
      </c>
      <c r="H219" s="15" t="str">
        <f t="shared" si="150"/>
        <v>SSE</v>
      </c>
      <c r="I219" s="15" t="str">
        <f t="shared" si="151"/>
        <v>SSE</v>
      </c>
      <c r="J219" s="15" t="str">
        <f t="shared" si="152"/>
        <v>SSE</v>
      </c>
      <c r="K219" s="15" t="str">
        <f t="shared" si="153"/>
        <v>SSE</v>
      </c>
      <c r="L219" s="15" t="str">
        <f t="shared" si="154"/>
        <v>SSE</v>
      </c>
      <c r="M219" s="15" t="str">
        <f t="shared" si="155"/>
        <v>N</v>
      </c>
      <c r="N219" s="15" t="str">
        <f t="shared" si="156"/>
        <v>N</v>
      </c>
      <c r="O219" s="15" t="str">
        <f t="shared" si="157"/>
        <v>SSE</v>
      </c>
      <c r="Q219" t="str">
        <f t="shared" si="132"/>
        <v>NW</v>
      </c>
      <c r="R219" t="str">
        <f t="shared" si="133"/>
        <v>NW</v>
      </c>
      <c r="S219" t="str">
        <f t="shared" si="134"/>
        <v>E</v>
      </c>
      <c r="T219" t="str">
        <f t="shared" si="135"/>
        <v>E</v>
      </c>
      <c r="U219" t="str">
        <f t="shared" si="136"/>
        <v>SW</v>
      </c>
      <c r="V219" t="str">
        <f t="shared" si="137"/>
        <v>SW</v>
      </c>
      <c r="W219" t="str">
        <f t="shared" si="138"/>
        <v>SW</v>
      </c>
      <c r="X219" t="str">
        <f t="shared" si="139"/>
        <v>SW</v>
      </c>
      <c r="Y219" t="str">
        <f t="shared" si="140"/>
        <v>SE</v>
      </c>
      <c r="Z219" t="str">
        <f t="shared" si="141"/>
        <v>SE</v>
      </c>
      <c r="AA219" t="str">
        <f t="shared" si="142"/>
        <v>SE</v>
      </c>
      <c r="AB219" t="str">
        <f t="shared" si="144"/>
        <v>NW</v>
      </c>
      <c r="AC219" t="str">
        <f t="shared" si="143"/>
        <v>NW</v>
      </c>
    </row>
    <row r="220" spans="1:29" ht="22.8">
      <c r="A220" s="2" t="s">
        <v>245</v>
      </c>
      <c r="B220" s="2" t="s">
        <v>247</v>
      </c>
      <c r="C220" s="15" t="str">
        <f t="shared" si="145"/>
        <v>S</v>
      </c>
      <c r="D220" s="15" t="str">
        <f t="shared" si="146"/>
        <v>N</v>
      </c>
      <c r="E220" s="15" t="str">
        <f t="shared" si="147"/>
        <v>S</v>
      </c>
      <c r="F220" s="15" t="str">
        <f t="shared" si="148"/>
        <v>S</v>
      </c>
      <c r="G220" s="15" t="str">
        <f t="shared" si="149"/>
        <v>S</v>
      </c>
      <c r="H220" s="15" t="str">
        <f t="shared" si="150"/>
        <v>S</v>
      </c>
      <c r="I220" s="15" t="str">
        <f t="shared" si="151"/>
        <v>S</v>
      </c>
      <c r="J220" s="15" t="str">
        <f t="shared" si="152"/>
        <v>S</v>
      </c>
      <c r="K220" s="15" t="str">
        <f t="shared" si="153"/>
        <v>S</v>
      </c>
      <c r="L220" s="15" t="str">
        <f t="shared" si="154"/>
        <v>S</v>
      </c>
      <c r="M220" s="15" t="str">
        <f t="shared" si="155"/>
        <v>S</v>
      </c>
      <c r="N220" s="15" t="str">
        <f t="shared" si="156"/>
        <v>S</v>
      </c>
      <c r="O220" s="15" t="str">
        <f t="shared" si="157"/>
        <v>S</v>
      </c>
      <c r="Q220" t="str">
        <f t="shared" si="132"/>
        <v>SW</v>
      </c>
      <c r="R220" t="str">
        <f t="shared" si="133"/>
        <v>SW</v>
      </c>
      <c r="S220" t="str">
        <f t="shared" si="134"/>
        <v>NW</v>
      </c>
      <c r="T220" t="str">
        <f t="shared" si="135"/>
        <v>NW</v>
      </c>
      <c r="U220" t="str">
        <f t="shared" si="136"/>
        <v>NE</v>
      </c>
      <c r="V220" t="str">
        <f t="shared" si="137"/>
        <v>SW</v>
      </c>
      <c r="W220" t="str">
        <f t="shared" si="138"/>
        <v>SW</v>
      </c>
      <c r="X220" t="str">
        <f t="shared" si="139"/>
        <v>SW</v>
      </c>
      <c r="Y220" t="str">
        <f t="shared" si="140"/>
        <v>SW</v>
      </c>
      <c r="Z220" t="str">
        <f t="shared" si="141"/>
        <v>SW</v>
      </c>
      <c r="AA220" t="str">
        <f t="shared" si="142"/>
        <v>SW</v>
      </c>
      <c r="AB220" t="str">
        <f t="shared" si="144"/>
        <v>SW</v>
      </c>
      <c r="AC220" t="str">
        <f t="shared" si="143"/>
        <v>SW</v>
      </c>
    </row>
    <row r="221" spans="1:29" ht="22.8">
      <c r="A221" s="2" t="s">
        <v>245</v>
      </c>
      <c r="B221" s="2" t="s">
        <v>248</v>
      </c>
      <c r="C221" s="15" t="str">
        <f t="shared" si="145"/>
        <v>N</v>
      </c>
      <c r="D221" s="15" t="str">
        <f t="shared" si="146"/>
        <v>N</v>
      </c>
      <c r="E221" s="15" t="str">
        <f t="shared" si="147"/>
        <v>S</v>
      </c>
      <c r="F221" s="15" t="str">
        <f t="shared" si="148"/>
        <v>S</v>
      </c>
      <c r="G221" s="15" t="str">
        <f t="shared" si="149"/>
        <v>S</v>
      </c>
      <c r="H221" s="15" t="str">
        <f t="shared" si="150"/>
        <v>S</v>
      </c>
      <c r="I221" s="15" t="str">
        <f t="shared" si="151"/>
        <v>S</v>
      </c>
      <c r="J221" s="15" t="str">
        <f t="shared" si="152"/>
        <v>S</v>
      </c>
      <c r="K221" s="15" t="str">
        <f t="shared" si="153"/>
        <v>S</v>
      </c>
      <c r="L221" s="15" t="str">
        <f t="shared" si="154"/>
        <v>S</v>
      </c>
      <c r="M221" s="15" t="str">
        <f t="shared" si="155"/>
        <v>S</v>
      </c>
      <c r="N221" s="15" t="str">
        <f t="shared" si="156"/>
        <v>N</v>
      </c>
      <c r="O221" s="15" t="str">
        <f t="shared" si="157"/>
        <v>S</v>
      </c>
      <c r="Q221" t="str">
        <f t="shared" si="132"/>
        <v>SW</v>
      </c>
      <c r="R221" t="str">
        <f t="shared" si="133"/>
        <v>N</v>
      </c>
      <c r="S221" t="str">
        <f t="shared" si="134"/>
        <v>N</v>
      </c>
      <c r="T221" t="str">
        <f t="shared" si="135"/>
        <v>N</v>
      </c>
      <c r="U221" t="str">
        <f t="shared" si="136"/>
        <v>N</v>
      </c>
      <c r="V221" t="str">
        <f t="shared" si="137"/>
        <v>S</v>
      </c>
      <c r="W221" t="str">
        <f t="shared" si="138"/>
        <v>SW</v>
      </c>
      <c r="X221" t="str">
        <f t="shared" si="139"/>
        <v>SW</v>
      </c>
      <c r="Y221" t="str">
        <f t="shared" si="140"/>
        <v>S</v>
      </c>
      <c r="Z221" t="str">
        <f t="shared" si="141"/>
        <v>S</v>
      </c>
      <c r="AA221" t="str">
        <f t="shared" si="142"/>
        <v>SW</v>
      </c>
      <c r="AB221" t="str">
        <f t="shared" si="144"/>
        <v>SW</v>
      </c>
      <c r="AC221" t="str">
        <f t="shared" si="143"/>
        <v>S</v>
      </c>
    </row>
    <row r="222" spans="1:29" ht="22.8">
      <c r="A222" s="2" t="s">
        <v>245</v>
      </c>
      <c r="B222" s="2" t="s">
        <v>249</v>
      </c>
      <c r="C222" s="15" t="str">
        <f t="shared" si="145"/>
        <v>N</v>
      </c>
      <c r="D222" s="15" t="str">
        <f t="shared" si="146"/>
        <v>N</v>
      </c>
      <c r="E222" s="15" t="str">
        <f t="shared" si="147"/>
        <v>N</v>
      </c>
      <c r="F222" s="15" t="str">
        <f t="shared" si="148"/>
        <v>N</v>
      </c>
      <c r="G222" s="15" t="str">
        <f t="shared" si="149"/>
        <v>S</v>
      </c>
      <c r="H222" s="15" t="str">
        <f t="shared" si="150"/>
        <v>S</v>
      </c>
      <c r="I222" s="15" t="str">
        <f t="shared" si="151"/>
        <v>SSE</v>
      </c>
      <c r="J222" s="15" t="str">
        <f t="shared" si="152"/>
        <v>SSE</v>
      </c>
      <c r="K222" s="15" t="str">
        <f t="shared" si="153"/>
        <v>SSE</v>
      </c>
      <c r="L222" s="15" t="str">
        <f t="shared" si="154"/>
        <v>SSE</v>
      </c>
      <c r="M222" s="15" t="str">
        <f t="shared" si="155"/>
        <v>S</v>
      </c>
      <c r="N222" s="15" t="str">
        <f t="shared" si="156"/>
        <v>S</v>
      </c>
      <c r="O222" s="15" t="str">
        <f t="shared" si="157"/>
        <v>S</v>
      </c>
      <c r="Q222" t="str">
        <f t="shared" si="132"/>
        <v>SE</v>
      </c>
      <c r="R222" t="str">
        <f t="shared" si="133"/>
        <v>NW</v>
      </c>
      <c r="S222" t="str">
        <f t="shared" si="134"/>
        <v>NW</v>
      </c>
      <c r="T222" t="str">
        <f t="shared" si="135"/>
        <v>NW</v>
      </c>
      <c r="U222" t="str">
        <f t="shared" si="136"/>
        <v>NW</v>
      </c>
      <c r="V222" t="str">
        <f t="shared" si="137"/>
        <v>NW</v>
      </c>
      <c r="W222" t="str">
        <f t="shared" si="138"/>
        <v>NW</v>
      </c>
      <c r="X222" t="str">
        <f t="shared" si="139"/>
        <v>NW</v>
      </c>
      <c r="Y222" t="str">
        <f t="shared" si="140"/>
        <v>NW</v>
      </c>
      <c r="Z222" t="str">
        <f t="shared" si="141"/>
        <v>SE</v>
      </c>
      <c r="AA222" t="str">
        <f t="shared" si="142"/>
        <v>SE</v>
      </c>
      <c r="AB222" t="str">
        <f t="shared" si="144"/>
        <v>SE</v>
      </c>
      <c r="AC222" t="str">
        <f t="shared" si="143"/>
        <v>NW</v>
      </c>
    </row>
    <row r="223" spans="1:29" ht="22.8">
      <c r="A223" s="2" t="s">
        <v>245</v>
      </c>
      <c r="B223" s="2" t="s">
        <v>250</v>
      </c>
      <c r="C223" s="15" t="str">
        <f t="shared" si="145"/>
        <v>S</v>
      </c>
      <c r="D223" s="15" t="str">
        <f t="shared" si="146"/>
        <v>S</v>
      </c>
      <c r="E223" s="15" t="str">
        <f t="shared" si="147"/>
        <v>S</v>
      </c>
      <c r="F223" s="15" t="str">
        <f t="shared" si="148"/>
        <v>S</v>
      </c>
      <c r="G223" s="15" t="str">
        <f t="shared" si="149"/>
        <v>S</v>
      </c>
      <c r="H223" s="15" t="str">
        <f t="shared" si="150"/>
        <v>S</v>
      </c>
      <c r="I223" s="15" t="str">
        <f t="shared" si="151"/>
        <v>S</v>
      </c>
      <c r="J223" s="15" t="str">
        <f t="shared" si="152"/>
        <v>S</v>
      </c>
      <c r="K223" s="15" t="str">
        <f t="shared" si="153"/>
        <v>S</v>
      </c>
      <c r="L223" s="15" t="str">
        <f t="shared" si="154"/>
        <v>S</v>
      </c>
      <c r="M223" s="15" t="str">
        <f t="shared" si="155"/>
        <v>S</v>
      </c>
      <c r="N223" s="15" t="str">
        <f t="shared" si="156"/>
        <v>S</v>
      </c>
      <c r="O223" s="15" t="str">
        <f t="shared" si="157"/>
        <v>S</v>
      </c>
      <c r="Q223" t="str">
        <f t="shared" si="132"/>
        <v>NW</v>
      </c>
      <c r="R223" t="str">
        <f t="shared" si="133"/>
        <v>NW</v>
      </c>
      <c r="S223" t="str">
        <f t="shared" si="134"/>
        <v>E</v>
      </c>
      <c r="T223" t="str">
        <f t="shared" si="135"/>
        <v>E</v>
      </c>
      <c r="U223" t="str">
        <f t="shared" si="136"/>
        <v>E</v>
      </c>
      <c r="V223" t="str">
        <f t="shared" si="137"/>
        <v>SE</v>
      </c>
      <c r="W223" t="str">
        <f t="shared" si="138"/>
        <v>NW</v>
      </c>
      <c r="X223" t="str">
        <f t="shared" si="139"/>
        <v>SE</v>
      </c>
      <c r="Y223" t="str">
        <f t="shared" si="140"/>
        <v>NW</v>
      </c>
      <c r="Z223" t="str">
        <f t="shared" si="141"/>
        <v>NW</v>
      </c>
      <c r="AA223" t="str">
        <f t="shared" si="142"/>
        <v>NW</v>
      </c>
      <c r="AB223" t="str">
        <f t="shared" si="144"/>
        <v>NW</v>
      </c>
      <c r="AC223" t="str">
        <f t="shared" si="143"/>
        <v>NW</v>
      </c>
    </row>
    <row r="224" spans="1:29">
      <c r="A224" s="2" t="s">
        <v>251</v>
      </c>
      <c r="B224" s="2" t="s">
        <v>252</v>
      </c>
      <c r="C224" s="15" t="str">
        <f t="shared" si="145"/>
        <v>E</v>
      </c>
      <c r="D224" s="15" t="str">
        <f t="shared" si="146"/>
        <v>E</v>
      </c>
      <c r="E224" s="15" t="str">
        <f t="shared" si="147"/>
        <v>E</v>
      </c>
      <c r="F224" s="15" t="str">
        <f t="shared" si="148"/>
        <v>E</v>
      </c>
      <c r="G224" s="15" t="str">
        <f t="shared" si="149"/>
        <v>ESE</v>
      </c>
      <c r="H224" s="15" t="str">
        <f t="shared" si="150"/>
        <v>ESE</v>
      </c>
      <c r="I224" s="15" t="str">
        <f t="shared" si="151"/>
        <v>ESE</v>
      </c>
      <c r="J224" s="15" t="str">
        <f t="shared" si="152"/>
        <v>ESE</v>
      </c>
      <c r="K224" s="15" t="str">
        <f t="shared" si="153"/>
        <v>WNW</v>
      </c>
      <c r="L224" s="15" t="str">
        <f t="shared" si="154"/>
        <v>WNW</v>
      </c>
      <c r="M224" s="15" t="str">
        <f t="shared" si="155"/>
        <v>NW</v>
      </c>
      <c r="N224" s="15" t="str">
        <f t="shared" si="156"/>
        <v>NW</v>
      </c>
      <c r="O224" s="15" t="str">
        <f t="shared" si="157"/>
        <v>ESE</v>
      </c>
      <c r="Q224" t="str">
        <f t="shared" si="132"/>
        <v>NW</v>
      </c>
      <c r="R224" t="str">
        <f t="shared" si="133"/>
        <v>NW</v>
      </c>
      <c r="S224" t="str">
        <f t="shared" si="134"/>
        <v>NW</v>
      </c>
      <c r="T224" t="str">
        <f t="shared" si="135"/>
        <v>NW</v>
      </c>
      <c r="U224" t="str">
        <f t="shared" si="136"/>
        <v>NW</v>
      </c>
      <c r="V224" t="str">
        <f t="shared" si="137"/>
        <v>NW</v>
      </c>
      <c r="W224" t="str">
        <f t="shared" si="138"/>
        <v>NE</v>
      </c>
      <c r="X224" t="str">
        <f t="shared" si="139"/>
        <v>NE</v>
      </c>
      <c r="Y224" t="str">
        <f t="shared" si="140"/>
        <v>S</v>
      </c>
      <c r="Z224" t="str">
        <f t="shared" si="141"/>
        <v>S</v>
      </c>
      <c r="AA224" t="str">
        <f t="shared" si="142"/>
        <v>S</v>
      </c>
      <c r="AB224" t="str">
        <f t="shared" si="144"/>
        <v>S</v>
      </c>
      <c r="AC224" t="str">
        <f t="shared" si="143"/>
        <v>NW</v>
      </c>
    </row>
    <row r="225" spans="1:29">
      <c r="A225" s="2" t="s">
        <v>251</v>
      </c>
      <c r="B225" s="2" t="s">
        <v>253</v>
      </c>
      <c r="C225" s="15" t="str">
        <f t="shared" si="145"/>
        <v>E</v>
      </c>
      <c r="D225" s="15" t="str">
        <f t="shared" si="146"/>
        <v>E</v>
      </c>
      <c r="E225" s="15" t="str">
        <f t="shared" si="147"/>
        <v>E</v>
      </c>
      <c r="F225" s="15" t="str">
        <f t="shared" si="148"/>
        <v>E</v>
      </c>
      <c r="G225" s="15" t="str">
        <f t="shared" si="149"/>
        <v>NW</v>
      </c>
      <c r="H225" s="15" t="str">
        <f t="shared" si="150"/>
        <v>NW</v>
      </c>
      <c r="I225" s="15" t="str">
        <f t="shared" si="151"/>
        <v>NW</v>
      </c>
      <c r="J225" s="15" t="str">
        <f t="shared" si="152"/>
        <v>NW</v>
      </c>
      <c r="K225" s="15" t="str">
        <f t="shared" si="153"/>
        <v>NW</v>
      </c>
      <c r="L225" s="15" t="str">
        <f t="shared" si="154"/>
        <v>NW</v>
      </c>
      <c r="M225" s="15" t="str">
        <f t="shared" si="155"/>
        <v>WNW</v>
      </c>
      <c r="N225" s="15" t="str">
        <f t="shared" si="156"/>
        <v>WNW</v>
      </c>
      <c r="O225" s="15" t="str">
        <f t="shared" si="157"/>
        <v>NW</v>
      </c>
      <c r="Q225" t="str">
        <f t="shared" si="132"/>
        <v>NW</v>
      </c>
      <c r="R225" t="str">
        <f t="shared" si="133"/>
        <v>NW</v>
      </c>
      <c r="S225" t="str">
        <f t="shared" si="134"/>
        <v>NW</v>
      </c>
      <c r="T225" t="str">
        <f t="shared" si="135"/>
        <v>N</v>
      </c>
      <c r="U225" t="str">
        <f t="shared" si="136"/>
        <v>SE</v>
      </c>
      <c r="V225" t="str">
        <f t="shared" si="137"/>
        <v>SE</v>
      </c>
      <c r="W225" t="str">
        <f t="shared" si="138"/>
        <v>S</v>
      </c>
      <c r="X225" t="str">
        <f t="shared" si="139"/>
        <v>S</v>
      </c>
      <c r="Y225" t="str">
        <f t="shared" si="140"/>
        <v>S</v>
      </c>
      <c r="Z225" t="str">
        <f t="shared" si="141"/>
        <v>NW</v>
      </c>
      <c r="AA225" t="str">
        <f t="shared" si="142"/>
        <v>NW</v>
      </c>
      <c r="AB225" t="str">
        <f t="shared" si="144"/>
        <v>NW</v>
      </c>
      <c r="AC225" t="str">
        <f t="shared" si="143"/>
        <v>NW</v>
      </c>
    </row>
    <row r="226" spans="1:29">
      <c r="A226" s="2" t="s">
        <v>251</v>
      </c>
      <c r="B226" s="2" t="s">
        <v>254</v>
      </c>
      <c r="C226" s="15" t="str">
        <f t="shared" si="145"/>
        <v>S</v>
      </c>
      <c r="D226" s="15" t="str">
        <f t="shared" si="146"/>
        <v>S</v>
      </c>
      <c r="E226" s="15" t="str">
        <f t="shared" si="147"/>
        <v>S</v>
      </c>
      <c r="F226" s="15" t="str">
        <f t="shared" si="148"/>
        <v>S</v>
      </c>
      <c r="G226" s="15" t="str">
        <f t="shared" si="149"/>
        <v>S</v>
      </c>
      <c r="H226" s="15" t="str">
        <f t="shared" si="150"/>
        <v>S</v>
      </c>
      <c r="I226" s="15" t="str">
        <f t="shared" si="151"/>
        <v>S</v>
      </c>
      <c r="J226" s="15" t="str">
        <f t="shared" si="152"/>
        <v>S</v>
      </c>
      <c r="K226" s="15" t="str">
        <f t="shared" si="153"/>
        <v>N</v>
      </c>
      <c r="L226" s="15" t="str">
        <f t="shared" si="154"/>
        <v>N</v>
      </c>
      <c r="M226" s="15" t="str">
        <f t="shared" si="155"/>
        <v>N</v>
      </c>
      <c r="N226" s="15" t="str">
        <f t="shared" si="156"/>
        <v>N</v>
      </c>
      <c r="O226" s="15" t="str">
        <f t="shared" si="157"/>
        <v>S</v>
      </c>
      <c r="Q226" t="str">
        <f t="shared" si="132"/>
        <v>NW</v>
      </c>
      <c r="R226" t="str">
        <f t="shared" si="133"/>
        <v>NW</v>
      </c>
      <c r="S226" t="str">
        <f t="shared" si="134"/>
        <v>NW</v>
      </c>
      <c r="T226" t="str">
        <f t="shared" si="135"/>
        <v>NW</v>
      </c>
      <c r="U226" t="str">
        <f t="shared" si="136"/>
        <v>NW</v>
      </c>
      <c r="V226" t="str">
        <f t="shared" si="137"/>
        <v>NW</v>
      </c>
      <c r="W226" t="str">
        <f t="shared" si="138"/>
        <v>NW</v>
      </c>
      <c r="X226" t="str">
        <f t="shared" si="139"/>
        <v>NW</v>
      </c>
      <c r="Y226" t="str">
        <f t="shared" si="140"/>
        <v>NW</v>
      </c>
      <c r="Z226" t="str">
        <f t="shared" si="141"/>
        <v>NW</v>
      </c>
      <c r="AA226" t="str">
        <f t="shared" si="142"/>
        <v>NW</v>
      </c>
      <c r="AB226" t="str">
        <f t="shared" si="144"/>
        <v>NW</v>
      </c>
      <c r="AC226" t="str">
        <f t="shared" si="143"/>
        <v>NW</v>
      </c>
    </row>
    <row r="227" spans="1:29">
      <c r="A227" s="2" t="s">
        <v>251</v>
      </c>
      <c r="B227" s="2" t="s">
        <v>255</v>
      </c>
      <c r="C227" s="15" t="str">
        <f t="shared" si="145"/>
        <v>N</v>
      </c>
      <c r="D227" s="15" t="str">
        <f t="shared" si="146"/>
        <v>N</v>
      </c>
      <c r="E227" s="15" t="str">
        <f t="shared" si="147"/>
        <v>NW</v>
      </c>
      <c r="F227" s="15" t="str">
        <f t="shared" si="148"/>
        <v>WNW</v>
      </c>
      <c r="G227" s="15" t="str">
        <f t="shared" si="149"/>
        <v>WNW</v>
      </c>
      <c r="H227" s="15" t="str">
        <f t="shared" si="150"/>
        <v>WNW</v>
      </c>
      <c r="I227" s="15" t="str">
        <f t="shared" si="151"/>
        <v>WNW</v>
      </c>
      <c r="J227" s="15" t="str">
        <f t="shared" si="152"/>
        <v>WNW</v>
      </c>
      <c r="K227" s="15" t="str">
        <f t="shared" si="153"/>
        <v>WNW</v>
      </c>
      <c r="L227" s="15" t="str">
        <f t="shared" si="154"/>
        <v>N</v>
      </c>
      <c r="M227" s="15" t="str">
        <f t="shared" si="155"/>
        <v>N</v>
      </c>
      <c r="N227" s="15" t="str">
        <f t="shared" si="156"/>
        <v>N</v>
      </c>
      <c r="O227" s="15" t="str">
        <f t="shared" si="157"/>
        <v>WNW</v>
      </c>
      <c r="Q227" t="str">
        <f t="shared" si="132"/>
        <v>NW</v>
      </c>
      <c r="R227" t="str">
        <f t="shared" si="133"/>
        <v>NW</v>
      </c>
      <c r="S227" t="str">
        <f t="shared" si="134"/>
        <v>NW</v>
      </c>
      <c r="T227" t="str">
        <f t="shared" si="135"/>
        <v>NW</v>
      </c>
      <c r="U227" t="str">
        <f t="shared" si="136"/>
        <v>S</v>
      </c>
      <c r="V227" t="str">
        <f t="shared" si="137"/>
        <v>S</v>
      </c>
      <c r="W227" t="str">
        <f t="shared" si="138"/>
        <v>S</v>
      </c>
      <c r="X227" t="str">
        <f t="shared" si="139"/>
        <v>S</v>
      </c>
      <c r="Y227" t="str">
        <f t="shared" si="140"/>
        <v>S</v>
      </c>
      <c r="Z227" t="str">
        <f t="shared" si="141"/>
        <v>NW</v>
      </c>
      <c r="AA227" t="str">
        <f t="shared" si="142"/>
        <v>NW</v>
      </c>
      <c r="AB227" t="str">
        <f t="shared" si="144"/>
        <v>NW</v>
      </c>
      <c r="AC227" t="str">
        <f t="shared" si="143"/>
        <v>NW</v>
      </c>
    </row>
    <row r="228" spans="1:29">
      <c r="A228" s="2" t="s">
        <v>251</v>
      </c>
      <c r="B228" s="2" t="s">
        <v>256</v>
      </c>
      <c r="C228" s="15" t="str">
        <f t="shared" si="145"/>
        <v>SSE</v>
      </c>
      <c r="D228" s="15" t="str">
        <f t="shared" si="146"/>
        <v>SSE</v>
      </c>
      <c r="E228" s="15" t="str">
        <f t="shared" si="147"/>
        <v>SSE</v>
      </c>
      <c r="F228" s="15" t="str">
        <f t="shared" si="148"/>
        <v>SSE</v>
      </c>
      <c r="G228" s="15" t="str">
        <f t="shared" si="149"/>
        <v>W</v>
      </c>
      <c r="H228" s="15" t="str">
        <f t="shared" si="150"/>
        <v>W</v>
      </c>
      <c r="I228" s="15" t="str">
        <f t="shared" si="151"/>
        <v>W</v>
      </c>
      <c r="J228" s="15" t="str">
        <f t="shared" si="152"/>
        <v>W</v>
      </c>
      <c r="K228" s="15" t="str">
        <f t="shared" si="153"/>
        <v>W</v>
      </c>
      <c r="L228" s="15" t="str">
        <f t="shared" si="154"/>
        <v>W</v>
      </c>
      <c r="M228" s="15" t="str">
        <f t="shared" si="155"/>
        <v>W</v>
      </c>
      <c r="N228" s="15" t="str">
        <f t="shared" si="156"/>
        <v>W</v>
      </c>
      <c r="O228" s="15" t="str">
        <f t="shared" si="157"/>
        <v>W</v>
      </c>
      <c r="Q228" t="str">
        <f t="shared" si="132"/>
        <v>N</v>
      </c>
      <c r="R228" t="str">
        <f t="shared" si="133"/>
        <v>N</v>
      </c>
      <c r="S228" t="str">
        <f t="shared" si="134"/>
        <v>SE</v>
      </c>
      <c r="T228" t="str">
        <f t="shared" si="135"/>
        <v>SE</v>
      </c>
      <c r="U228" t="str">
        <f t="shared" si="136"/>
        <v>SE</v>
      </c>
      <c r="V228" t="str">
        <f t="shared" si="137"/>
        <v>SW</v>
      </c>
      <c r="W228" t="str">
        <f t="shared" si="138"/>
        <v>SW</v>
      </c>
      <c r="X228" t="str">
        <f t="shared" si="139"/>
        <v>N</v>
      </c>
      <c r="Y228" t="str">
        <f t="shared" si="140"/>
        <v>NE</v>
      </c>
      <c r="Z228" t="str">
        <f t="shared" si="141"/>
        <v>NE</v>
      </c>
      <c r="AA228" t="str">
        <f t="shared" si="142"/>
        <v>N</v>
      </c>
      <c r="AB228" t="str">
        <f t="shared" si="144"/>
        <v>N</v>
      </c>
      <c r="AC228" t="str">
        <f t="shared" si="143"/>
        <v>N</v>
      </c>
    </row>
    <row r="229" spans="1:29">
      <c r="A229" s="2" t="s">
        <v>251</v>
      </c>
      <c r="B229" s="2" t="s">
        <v>141</v>
      </c>
      <c r="C229" s="15" t="str">
        <f t="shared" si="145"/>
        <v>W</v>
      </c>
      <c r="D229" s="15" t="str">
        <f t="shared" si="146"/>
        <v>W</v>
      </c>
      <c r="E229" s="15" t="str">
        <f t="shared" si="147"/>
        <v>W</v>
      </c>
      <c r="F229" s="15" t="str">
        <f t="shared" si="148"/>
        <v>W</v>
      </c>
      <c r="G229" s="15" t="str">
        <f t="shared" si="149"/>
        <v>NNW</v>
      </c>
      <c r="H229" s="15" t="str">
        <f t="shared" si="150"/>
        <v>NNW</v>
      </c>
      <c r="I229" s="15" t="str">
        <f t="shared" si="151"/>
        <v>NNW</v>
      </c>
      <c r="J229" s="15" t="str">
        <f t="shared" si="152"/>
        <v>NNW</v>
      </c>
      <c r="K229" s="15" t="str">
        <f t="shared" si="153"/>
        <v>NW</v>
      </c>
      <c r="L229" s="15" t="str">
        <f t="shared" si="154"/>
        <v>NW</v>
      </c>
      <c r="M229" s="15" t="str">
        <f t="shared" si="155"/>
        <v>NW</v>
      </c>
      <c r="N229" s="15" t="str">
        <f t="shared" si="156"/>
        <v>NW</v>
      </c>
      <c r="O229" s="15" t="str">
        <f t="shared" si="157"/>
        <v>NW</v>
      </c>
      <c r="Q229" t="str">
        <f t="shared" si="132"/>
        <v>SW</v>
      </c>
      <c r="R229" t="str">
        <f t="shared" si="133"/>
        <v>SW</v>
      </c>
      <c r="S229" t="str">
        <f t="shared" si="134"/>
        <v>S</v>
      </c>
      <c r="T229" t="str">
        <f t="shared" si="135"/>
        <v>S</v>
      </c>
      <c r="U229" t="str">
        <f t="shared" si="136"/>
        <v>S</v>
      </c>
      <c r="V229" t="str">
        <f t="shared" si="137"/>
        <v>S</v>
      </c>
      <c r="W229" t="str">
        <f t="shared" si="138"/>
        <v>S</v>
      </c>
      <c r="X229" t="str">
        <f t="shared" si="139"/>
        <v>S</v>
      </c>
      <c r="Y229" t="str">
        <f t="shared" si="140"/>
        <v>S</v>
      </c>
      <c r="Z229" t="str">
        <f t="shared" si="141"/>
        <v>S</v>
      </c>
      <c r="AA229" t="str">
        <f t="shared" si="142"/>
        <v>S</v>
      </c>
      <c r="AB229" t="str">
        <f t="shared" si="144"/>
        <v>S</v>
      </c>
      <c r="AC229" t="str">
        <f t="shared" si="143"/>
        <v>S</v>
      </c>
    </row>
    <row r="230" spans="1:29">
      <c r="A230" s="2" t="s">
        <v>251</v>
      </c>
      <c r="B230" s="2" t="s">
        <v>257</v>
      </c>
      <c r="C230" s="15" t="str">
        <f t="shared" si="145"/>
        <v>S</v>
      </c>
      <c r="D230" s="15" t="str">
        <f t="shared" si="146"/>
        <v>S</v>
      </c>
      <c r="E230" s="15" t="str">
        <f t="shared" si="147"/>
        <v>S</v>
      </c>
      <c r="F230" s="15" t="str">
        <f t="shared" si="148"/>
        <v>S</v>
      </c>
      <c r="G230" s="15" t="str">
        <f t="shared" si="149"/>
        <v>S</v>
      </c>
      <c r="H230" s="15" t="str">
        <f t="shared" si="150"/>
        <v>N</v>
      </c>
      <c r="I230" s="15" t="str">
        <f t="shared" si="151"/>
        <v>N</v>
      </c>
      <c r="J230" s="15" t="str">
        <f t="shared" si="152"/>
        <v>N</v>
      </c>
      <c r="K230" s="15" t="str">
        <f t="shared" si="153"/>
        <v>N</v>
      </c>
      <c r="L230" s="15" t="str">
        <f t="shared" si="154"/>
        <v>S</v>
      </c>
      <c r="M230" s="15" t="str">
        <f t="shared" si="155"/>
        <v>S</v>
      </c>
      <c r="N230" s="15" t="str">
        <f t="shared" si="156"/>
        <v>S</v>
      </c>
      <c r="O230" s="15" t="str">
        <f t="shared" si="157"/>
        <v>S</v>
      </c>
      <c r="Q230" t="str">
        <f t="shared" si="132"/>
        <v>S</v>
      </c>
      <c r="R230" t="str">
        <f t="shared" si="133"/>
        <v>S</v>
      </c>
      <c r="S230" t="str">
        <f t="shared" si="134"/>
        <v>S</v>
      </c>
      <c r="T230" t="str">
        <f t="shared" si="135"/>
        <v>S</v>
      </c>
      <c r="U230" t="str">
        <f t="shared" si="136"/>
        <v>S</v>
      </c>
      <c r="V230" t="str">
        <f t="shared" si="137"/>
        <v>S</v>
      </c>
      <c r="W230" t="str">
        <f t="shared" si="138"/>
        <v>S</v>
      </c>
      <c r="X230" t="str">
        <f t="shared" si="139"/>
        <v>S</v>
      </c>
      <c r="Y230" t="str">
        <f t="shared" si="140"/>
        <v>N</v>
      </c>
      <c r="Z230" t="str">
        <f t="shared" si="141"/>
        <v>N</v>
      </c>
      <c r="AA230" t="str">
        <f t="shared" si="142"/>
        <v>S</v>
      </c>
      <c r="AB230" t="str">
        <f t="shared" si="144"/>
        <v>S</v>
      </c>
      <c r="AC230" t="str">
        <f t="shared" si="143"/>
        <v>S</v>
      </c>
    </row>
    <row r="231" spans="1:29" ht="22.8">
      <c r="A231" s="2" t="s">
        <v>258</v>
      </c>
      <c r="B231" s="2" t="s">
        <v>259</v>
      </c>
      <c r="C231" s="15" t="str">
        <f t="shared" si="145"/>
        <v>W</v>
      </c>
      <c r="D231" s="15" t="str">
        <f t="shared" si="146"/>
        <v>W</v>
      </c>
      <c r="E231" s="15" t="str">
        <f t="shared" si="147"/>
        <v>WNW</v>
      </c>
      <c r="F231" s="15" t="str">
        <f t="shared" si="148"/>
        <v>WSW</v>
      </c>
      <c r="G231" s="15" t="str">
        <f t="shared" si="149"/>
        <v>SW</v>
      </c>
      <c r="H231" s="15" t="str">
        <f t="shared" si="150"/>
        <v>WSW</v>
      </c>
      <c r="I231" s="15" t="str">
        <f t="shared" si="151"/>
        <v>SW</v>
      </c>
      <c r="J231" s="15" t="str">
        <f t="shared" si="152"/>
        <v>WSW</v>
      </c>
      <c r="K231" s="15" t="str">
        <f t="shared" si="153"/>
        <v>SW</v>
      </c>
      <c r="L231" s="15" t="str">
        <f t="shared" si="154"/>
        <v>WSW</v>
      </c>
      <c r="M231" s="15" t="str">
        <f t="shared" si="155"/>
        <v>WSW</v>
      </c>
      <c r="N231" s="15" t="str">
        <f t="shared" si="156"/>
        <v>W</v>
      </c>
      <c r="O231" s="15" t="str">
        <f t="shared" si="157"/>
        <v>WSW</v>
      </c>
      <c r="Q231" t="str">
        <f t="shared" si="132"/>
        <v>N</v>
      </c>
      <c r="R231" t="str">
        <f t="shared" si="133"/>
        <v>N</v>
      </c>
      <c r="S231" t="str">
        <f t="shared" si="134"/>
        <v>N</v>
      </c>
      <c r="T231" t="str">
        <f t="shared" si="135"/>
        <v>N</v>
      </c>
      <c r="U231" t="str">
        <f t="shared" si="136"/>
        <v>S</v>
      </c>
      <c r="V231" t="str">
        <f t="shared" si="137"/>
        <v>S</v>
      </c>
      <c r="W231" t="str">
        <f t="shared" si="138"/>
        <v>S</v>
      </c>
      <c r="X231" t="str">
        <f t="shared" si="139"/>
        <v>S</v>
      </c>
      <c r="Y231" t="str">
        <f t="shared" si="140"/>
        <v>S</v>
      </c>
      <c r="Z231" t="str">
        <f t="shared" si="141"/>
        <v>S</v>
      </c>
      <c r="AA231" t="str">
        <f t="shared" si="142"/>
        <v>S</v>
      </c>
      <c r="AB231" t="str">
        <f t="shared" si="144"/>
        <v>S</v>
      </c>
      <c r="AC231" t="str">
        <f t="shared" si="143"/>
        <v>S</v>
      </c>
    </row>
    <row r="232" spans="1:29" ht="22.8">
      <c r="A232" s="2" t="s">
        <v>258</v>
      </c>
      <c r="B232" s="2" t="s">
        <v>260</v>
      </c>
      <c r="C232" s="15" t="str">
        <f t="shared" si="145"/>
        <v>SW</v>
      </c>
      <c r="D232" s="15" t="str">
        <f t="shared" si="146"/>
        <v>SW</v>
      </c>
      <c r="E232" s="15" t="str">
        <f t="shared" si="147"/>
        <v>NW</v>
      </c>
      <c r="F232" s="15" t="str">
        <f t="shared" si="148"/>
        <v>SW</v>
      </c>
      <c r="G232" s="15" t="str">
        <f t="shared" si="149"/>
        <v>SW</v>
      </c>
      <c r="H232" s="15" t="str">
        <f t="shared" si="150"/>
        <v>SW</v>
      </c>
      <c r="I232" s="15" t="str">
        <f t="shared" si="151"/>
        <v>WSW</v>
      </c>
      <c r="J232" s="15" t="str">
        <f t="shared" si="152"/>
        <v>SW</v>
      </c>
      <c r="K232" s="15" t="str">
        <f t="shared" si="153"/>
        <v>SW</v>
      </c>
      <c r="L232" s="15" t="str">
        <f t="shared" si="154"/>
        <v>SW</v>
      </c>
      <c r="M232" s="15" t="str">
        <f t="shared" si="155"/>
        <v>SW</v>
      </c>
      <c r="N232" s="15" t="str">
        <f t="shared" si="156"/>
        <v>SW</v>
      </c>
      <c r="O232" s="15" t="str">
        <f t="shared" si="157"/>
        <v>SW</v>
      </c>
      <c r="Q232" t="str">
        <f t="shared" si="132"/>
        <v>NW</v>
      </c>
      <c r="R232" t="str">
        <f t="shared" si="133"/>
        <v>NW</v>
      </c>
      <c r="S232" t="str">
        <f t="shared" si="134"/>
        <v>NW</v>
      </c>
      <c r="T232" t="str">
        <f t="shared" si="135"/>
        <v>S</v>
      </c>
      <c r="U232" t="str">
        <f t="shared" si="136"/>
        <v>S</v>
      </c>
      <c r="V232" t="str">
        <f t="shared" si="137"/>
        <v>S</v>
      </c>
      <c r="W232" t="str">
        <f t="shared" si="138"/>
        <v>S</v>
      </c>
      <c r="X232" t="str">
        <f t="shared" si="139"/>
        <v>S</v>
      </c>
      <c r="Y232" t="str">
        <f t="shared" si="140"/>
        <v>S</v>
      </c>
      <c r="Z232" t="str">
        <f t="shared" si="141"/>
        <v>S</v>
      </c>
      <c r="AA232" t="str">
        <f t="shared" si="142"/>
        <v>S</v>
      </c>
      <c r="AB232" t="str">
        <f t="shared" si="144"/>
        <v>NW</v>
      </c>
      <c r="AC232" t="str">
        <f t="shared" si="143"/>
        <v>S</v>
      </c>
    </row>
    <row r="233" spans="1:29" ht="22.8">
      <c r="A233" s="2" t="s">
        <v>258</v>
      </c>
      <c r="B233" s="2" t="s">
        <v>261</v>
      </c>
      <c r="C233" s="15" t="str">
        <f t="shared" si="145"/>
        <v>S</v>
      </c>
      <c r="D233" s="15" t="str">
        <f t="shared" si="146"/>
        <v>S</v>
      </c>
      <c r="E233" s="15" t="str">
        <f t="shared" si="147"/>
        <v>S</v>
      </c>
      <c r="F233" s="15" t="str">
        <f t="shared" si="148"/>
        <v>S</v>
      </c>
      <c r="G233" s="15" t="str">
        <f t="shared" si="149"/>
        <v>S</v>
      </c>
      <c r="H233" s="15" t="str">
        <f t="shared" si="150"/>
        <v>S</v>
      </c>
      <c r="I233" s="15" t="str">
        <f t="shared" si="151"/>
        <v>S</v>
      </c>
      <c r="J233" s="15" t="str">
        <f t="shared" si="152"/>
        <v>S</v>
      </c>
      <c r="K233" s="15" t="str">
        <f t="shared" si="153"/>
        <v>S</v>
      </c>
      <c r="L233" s="15" t="str">
        <f t="shared" si="154"/>
        <v>S</v>
      </c>
      <c r="M233" s="15" t="str">
        <f t="shared" si="155"/>
        <v>S</v>
      </c>
      <c r="N233" s="15" t="str">
        <f t="shared" si="156"/>
        <v>S</v>
      </c>
      <c r="O233" s="15" t="str">
        <f t="shared" si="157"/>
        <v>S</v>
      </c>
      <c r="Q233" t="str">
        <f t="shared" si="132"/>
        <v>SW</v>
      </c>
      <c r="R233" t="str">
        <f t="shared" si="133"/>
        <v>SW</v>
      </c>
      <c r="S233" t="str">
        <f t="shared" si="134"/>
        <v>S</v>
      </c>
      <c r="T233" t="str">
        <f t="shared" si="135"/>
        <v>S</v>
      </c>
      <c r="U233" t="str">
        <f t="shared" si="136"/>
        <v>S</v>
      </c>
      <c r="V233" t="str">
        <f t="shared" si="137"/>
        <v>S</v>
      </c>
      <c r="W233" t="str">
        <f t="shared" si="138"/>
        <v>S</v>
      </c>
      <c r="X233" t="str">
        <f t="shared" si="139"/>
        <v>S</v>
      </c>
      <c r="Y233" t="str">
        <f t="shared" si="140"/>
        <v>S</v>
      </c>
      <c r="Z233" t="str">
        <f t="shared" si="141"/>
        <v>S</v>
      </c>
      <c r="AA233" t="str">
        <f t="shared" si="142"/>
        <v>S</v>
      </c>
      <c r="AB233" t="str">
        <f t="shared" si="144"/>
        <v>S</v>
      </c>
      <c r="AC233" t="str">
        <f t="shared" si="143"/>
        <v>S</v>
      </c>
    </row>
    <row r="234" spans="1:29" ht="22.8">
      <c r="A234" s="2" t="s">
        <v>258</v>
      </c>
      <c r="B234" s="2" t="s">
        <v>262</v>
      </c>
      <c r="C234" s="15" t="str">
        <f t="shared" si="145"/>
        <v>NW</v>
      </c>
      <c r="D234" s="15" t="str">
        <f t="shared" si="146"/>
        <v>NW</v>
      </c>
      <c r="E234" s="15" t="str">
        <f t="shared" si="147"/>
        <v>NW</v>
      </c>
      <c r="F234" s="15" t="str">
        <f t="shared" si="148"/>
        <v>NW</v>
      </c>
      <c r="G234" s="15" t="str">
        <f t="shared" si="149"/>
        <v>NW</v>
      </c>
      <c r="H234" s="15" t="str">
        <f t="shared" si="150"/>
        <v>NW</v>
      </c>
      <c r="I234" s="15" t="str">
        <f t="shared" si="151"/>
        <v>NW</v>
      </c>
      <c r="J234" s="15" t="str">
        <f t="shared" si="152"/>
        <v>WNW</v>
      </c>
      <c r="K234" s="15" t="str">
        <f t="shared" si="153"/>
        <v>NW</v>
      </c>
      <c r="L234" s="15" t="str">
        <f t="shared" si="154"/>
        <v>NW</v>
      </c>
      <c r="M234" s="15" t="str">
        <f t="shared" si="155"/>
        <v>NW</v>
      </c>
      <c r="N234" s="15" t="str">
        <f t="shared" si="156"/>
        <v>NNW</v>
      </c>
      <c r="O234" s="15" t="str">
        <f t="shared" si="157"/>
        <v>NW</v>
      </c>
      <c r="Q234" t="str">
        <f t="shared" si="132"/>
        <v>NW</v>
      </c>
      <c r="R234" t="str">
        <f t="shared" si="133"/>
        <v>NW</v>
      </c>
      <c r="S234" t="str">
        <f t="shared" si="134"/>
        <v>NW</v>
      </c>
      <c r="T234" t="str">
        <f t="shared" si="135"/>
        <v>NW</v>
      </c>
      <c r="U234" t="str">
        <f t="shared" si="136"/>
        <v>S</v>
      </c>
      <c r="V234" t="str">
        <f t="shared" si="137"/>
        <v>S</v>
      </c>
      <c r="W234" t="str">
        <f t="shared" si="138"/>
        <v>S</v>
      </c>
      <c r="X234" t="str">
        <f t="shared" si="139"/>
        <v>S</v>
      </c>
      <c r="Y234" t="str">
        <f t="shared" si="140"/>
        <v>S</v>
      </c>
      <c r="Z234" t="str">
        <f t="shared" si="141"/>
        <v>SE</v>
      </c>
      <c r="AA234" t="str">
        <f t="shared" si="142"/>
        <v>NW</v>
      </c>
      <c r="AB234" t="str">
        <f t="shared" si="144"/>
        <v>NW</v>
      </c>
      <c r="AC234" t="str">
        <f t="shared" si="143"/>
        <v>NW</v>
      </c>
    </row>
    <row r="235" spans="1:29" ht="22.8">
      <c r="A235" s="2" t="s">
        <v>258</v>
      </c>
      <c r="B235" s="2" t="s">
        <v>263</v>
      </c>
      <c r="C235" s="15" t="str">
        <f t="shared" si="145"/>
        <v>WNW</v>
      </c>
      <c r="D235" s="15" t="str">
        <f t="shared" si="146"/>
        <v>WNW</v>
      </c>
      <c r="E235" s="15" t="str">
        <f t="shared" si="147"/>
        <v>WNW</v>
      </c>
      <c r="F235" s="15" t="str">
        <f t="shared" si="148"/>
        <v>WNW</v>
      </c>
      <c r="G235" s="15" t="str">
        <f t="shared" si="149"/>
        <v>WNW</v>
      </c>
      <c r="H235" s="15" t="str">
        <f t="shared" si="150"/>
        <v>WNW</v>
      </c>
      <c r="I235" s="15" t="str">
        <f t="shared" si="151"/>
        <v>SW</v>
      </c>
      <c r="J235" s="15" t="str">
        <f t="shared" si="152"/>
        <v>SW</v>
      </c>
      <c r="K235" s="15" t="str">
        <f t="shared" si="153"/>
        <v>SW</v>
      </c>
      <c r="L235" s="15" t="str">
        <f t="shared" si="154"/>
        <v>SW</v>
      </c>
      <c r="M235" s="15" t="str">
        <f t="shared" si="155"/>
        <v>SW</v>
      </c>
      <c r="N235" s="15" t="str">
        <f t="shared" si="156"/>
        <v>SW</v>
      </c>
      <c r="O235" s="15" t="str">
        <f t="shared" si="157"/>
        <v>SW</v>
      </c>
      <c r="Q235" t="str">
        <f t="shared" si="132"/>
        <v>SE</v>
      </c>
      <c r="R235" t="str">
        <f t="shared" si="133"/>
        <v>SE</v>
      </c>
      <c r="S235" t="str">
        <f t="shared" si="134"/>
        <v>SE</v>
      </c>
      <c r="T235" t="str">
        <f t="shared" si="135"/>
        <v>SE</v>
      </c>
      <c r="U235" t="str">
        <f t="shared" si="136"/>
        <v>SE</v>
      </c>
      <c r="V235" t="str">
        <f t="shared" si="137"/>
        <v>S</v>
      </c>
      <c r="W235" t="str">
        <f t="shared" si="138"/>
        <v>S</v>
      </c>
      <c r="X235" t="str">
        <f t="shared" si="139"/>
        <v>SE</v>
      </c>
      <c r="Y235" t="str">
        <f t="shared" si="140"/>
        <v>SE</v>
      </c>
      <c r="Z235" t="str">
        <f t="shared" si="141"/>
        <v>SE</v>
      </c>
      <c r="AA235" t="str">
        <f t="shared" si="142"/>
        <v>SE</v>
      </c>
      <c r="AB235" t="str">
        <f t="shared" si="144"/>
        <v>SE</v>
      </c>
      <c r="AC235" t="str">
        <f t="shared" si="143"/>
        <v>SE</v>
      </c>
    </row>
    <row r="236" spans="1:29" ht="22.8">
      <c r="A236" s="2" t="s">
        <v>258</v>
      </c>
      <c r="B236" s="2" t="s">
        <v>264</v>
      </c>
      <c r="C236" s="15" t="str">
        <f t="shared" si="145"/>
        <v>W</v>
      </c>
      <c r="D236" s="15" t="str">
        <f t="shared" si="146"/>
        <v>W</v>
      </c>
      <c r="E236" s="15" t="str">
        <f t="shared" si="147"/>
        <v>W</v>
      </c>
      <c r="F236" s="15" t="str">
        <f t="shared" si="148"/>
        <v>W</v>
      </c>
      <c r="G236" s="15" t="str">
        <f t="shared" si="149"/>
        <v>W</v>
      </c>
      <c r="H236" s="15" t="str">
        <f t="shared" si="150"/>
        <v>W</v>
      </c>
      <c r="I236" s="15" t="str">
        <f t="shared" si="151"/>
        <v>WSW</v>
      </c>
      <c r="J236" s="15" t="str">
        <f t="shared" si="152"/>
        <v>WSW</v>
      </c>
      <c r="K236" s="15" t="str">
        <f t="shared" si="153"/>
        <v>WSW</v>
      </c>
      <c r="L236" s="15" t="str">
        <f t="shared" si="154"/>
        <v>WSW</v>
      </c>
      <c r="M236" s="15" t="str">
        <f t="shared" si="155"/>
        <v>SW</v>
      </c>
      <c r="N236" s="15" t="str">
        <f t="shared" si="156"/>
        <v>SW</v>
      </c>
      <c r="O236" s="15" t="str">
        <f t="shared" si="157"/>
        <v>W</v>
      </c>
      <c r="Q236" t="str">
        <f t="shared" si="132"/>
        <v>SW</v>
      </c>
      <c r="R236" t="str">
        <f t="shared" si="133"/>
        <v>SW</v>
      </c>
      <c r="S236" t="str">
        <f t="shared" si="134"/>
        <v>SW</v>
      </c>
      <c r="T236" t="str">
        <f t="shared" si="135"/>
        <v>SW</v>
      </c>
      <c r="U236" t="str">
        <f t="shared" si="136"/>
        <v>SW</v>
      </c>
      <c r="V236" t="str">
        <f t="shared" si="137"/>
        <v>SW</v>
      </c>
      <c r="W236" t="str">
        <f t="shared" si="138"/>
        <v>SW</v>
      </c>
      <c r="X236" t="str">
        <f t="shared" si="139"/>
        <v>SW</v>
      </c>
      <c r="Y236" t="str">
        <f t="shared" si="140"/>
        <v>SW</v>
      </c>
      <c r="Z236" t="str">
        <f t="shared" si="141"/>
        <v>SW</v>
      </c>
      <c r="AA236" t="str">
        <f t="shared" si="142"/>
        <v>SW</v>
      </c>
      <c r="AB236" t="str">
        <f t="shared" si="144"/>
        <v>SW</v>
      </c>
      <c r="AC236" t="str">
        <f t="shared" si="143"/>
        <v>SW</v>
      </c>
    </row>
    <row r="237" spans="1:29" ht="22.8">
      <c r="A237" s="2" t="s">
        <v>258</v>
      </c>
      <c r="B237" s="2" t="s">
        <v>265</v>
      </c>
      <c r="C237" s="15" t="str">
        <f t="shared" si="145"/>
        <v>W</v>
      </c>
      <c r="D237" s="15" t="str">
        <f t="shared" si="146"/>
        <v>W</v>
      </c>
      <c r="E237" s="15" t="str">
        <f t="shared" si="147"/>
        <v>W</v>
      </c>
      <c r="F237" s="15" t="str">
        <f t="shared" si="148"/>
        <v>W</v>
      </c>
      <c r="G237" s="15" t="str">
        <f t="shared" si="149"/>
        <v>WNW</v>
      </c>
      <c r="H237" s="15" t="str">
        <f t="shared" si="150"/>
        <v>WNW</v>
      </c>
      <c r="I237" s="15" t="str">
        <f t="shared" si="151"/>
        <v>W</v>
      </c>
      <c r="J237" s="15" t="str">
        <f t="shared" si="152"/>
        <v>W</v>
      </c>
      <c r="K237" s="15" t="str">
        <f t="shared" si="153"/>
        <v>W</v>
      </c>
      <c r="L237" s="15" t="str">
        <f t="shared" si="154"/>
        <v>W</v>
      </c>
      <c r="M237" s="15" t="str">
        <f t="shared" si="155"/>
        <v>W</v>
      </c>
      <c r="N237" s="15" t="str">
        <f t="shared" si="156"/>
        <v>W</v>
      </c>
      <c r="O237" s="15" t="str">
        <f t="shared" si="157"/>
        <v>W</v>
      </c>
      <c r="Q237" t="str">
        <f t="shared" si="132"/>
        <v>SE</v>
      </c>
      <c r="R237" t="str">
        <f t="shared" si="133"/>
        <v>SE</v>
      </c>
      <c r="S237" t="str">
        <f t="shared" si="134"/>
        <v>SE</v>
      </c>
      <c r="T237" t="str">
        <f t="shared" si="135"/>
        <v>SE</v>
      </c>
      <c r="U237" t="str">
        <f t="shared" si="136"/>
        <v>SE</v>
      </c>
      <c r="V237" t="str">
        <f t="shared" si="137"/>
        <v>SE</v>
      </c>
      <c r="W237" t="str">
        <f t="shared" si="138"/>
        <v>SE</v>
      </c>
      <c r="X237" t="str">
        <f t="shared" si="139"/>
        <v>SE</v>
      </c>
      <c r="Y237" t="str">
        <f t="shared" si="140"/>
        <v>SE</v>
      </c>
      <c r="Z237" t="str">
        <f t="shared" si="141"/>
        <v>SE</v>
      </c>
      <c r="AA237" t="str">
        <f t="shared" si="142"/>
        <v>SE</v>
      </c>
      <c r="AB237" t="str">
        <f t="shared" si="144"/>
        <v>SE</v>
      </c>
      <c r="AC237" t="str">
        <f t="shared" si="143"/>
        <v>SE</v>
      </c>
    </row>
    <row r="238" spans="1:29" ht="22.8">
      <c r="A238" s="2" t="s">
        <v>266</v>
      </c>
      <c r="B238" s="2" t="s">
        <v>267</v>
      </c>
      <c r="C238" s="15" t="str">
        <f t="shared" si="145"/>
        <v>WNW</v>
      </c>
      <c r="D238" s="15" t="str">
        <f t="shared" si="146"/>
        <v>WNW</v>
      </c>
      <c r="E238" s="15" t="str">
        <f t="shared" si="147"/>
        <v>WNW</v>
      </c>
      <c r="F238" s="15" t="str">
        <f t="shared" si="148"/>
        <v>WNW</v>
      </c>
      <c r="G238" s="15" t="str">
        <f t="shared" si="149"/>
        <v>WNW</v>
      </c>
      <c r="H238" s="15" t="str">
        <f t="shared" si="150"/>
        <v>WNW</v>
      </c>
      <c r="I238" s="15" t="str">
        <f t="shared" si="151"/>
        <v>WNW</v>
      </c>
      <c r="J238" s="15" t="str">
        <f t="shared" si="152"/>
        <v>WNW</v>
      </c>
      <c r="K238" s="15" t="str">
        <f t="shared" si="153"/>
        <v>WNW</v>
      </c>
      <c r="L238" s="15" t="str">
        <f t="shared" si="154"/>
        <v>WNW</v>
      </c>
      <c r="M238" s="15" t="str">
        <f t="shared" si="155"/>
        <v>WNW</v>
      </c>
      <c r="N238" s="15" t="str">
        <f t="shared" si="156"/>
        <v>WNW</v>
      </c>
      <c r="O238" s="15" t="str">
        <f t="shared" si="157"/>
        <v>WNW</v>
      </c>
      <c r="Q238" t="str">
        <f t="shared" si="132"/>
        <v>SW</v>
      </c>
      <c r="R238" t="str">
        <f t="shared" si="133"/>
        <v>SW</v>
      </c>
      <c r="S238" t="str">
        <f t="shared" si="134"/>
        <v>SW</v>
      </c>
      <c r="T238" t="str">
        <f t="shared" si="135"/>
        <v>SW</v>
      </c>
      <c r="U238" t="str">
        <f t="shared" si="136"/>
        <v>SW</v>
      </c>
      <c r="V238" t="str">
        <f t="shared" si="137"/>
        <v>SW</v>
      </c>
      <c r="W238" t="str">
        <f t="shared" si="138"/>
        <v>SW</v>
      </c>
      <c r="X238" t="str">
        <f t="shared" si="139"/>
        <v>SW</v>
      </c>
      <c r="Y238" t="str">
        <f t="shared" si="140"/>
        <v>SW</v>
      </c>
      <c r="Z238" t="str">
        <f t="shared" si="141"/>
        <v>SW</v>
      </c>
      <c r="AA238" t="str">
        <f t="shared" si="142"/>
        <v>SW</v>
      </c>
      <c r="AB238" t="str">
        <f t="shared" si="144"/>
        <v>SW</v>
      </c>
      <c r="AC238" t="str">
        <f t="shared" si="143"/>
        <v>SW</v>
      </c>
    </row>
    <row r="239" spans="1:29">
      <c r="A239" s="3" t="s">
        <v>268</v>
      </c>
      <c r="B239" s="3" t="s">
        <v>269</v>
      </c>
      <c r="C239" s="15" t="str">
        <f t="shared" si="145"/>
        <v>W</v>
      </c>
      <c r="D239" s="15" t="str">
        <f t="shared" si="146"/>
        <v>W</v>
      </c>
      <c r="E239" s="15" t="str">
        <f t="shared" si="147"/>
        <v>S</v>
      </c>
      <c r="F239" s="15" t="str">
        <f t="shared" si="148"/>
        <v>S</v>
      </c>
      <c r="G239" s="15" t="str">
        <f t="shared" si="149"/>
        <v>S</v>
      </c>
      <c r="H239" s="15" t="str">
        <f t="shared" si="150"/>
        <v>S</v>
      </c>
      <c r="I239" s="15" t="str">
        <f t="shared" si="151"/>
        <v>S</v>
      </c>
      <c r="J239" s="15" t="str">
        <f t="shared" si="152"/>
        <v>S</v>
      </c>
      <c r="K239" s="15" t="str">
        <f t="shared" si="153"/>
        <v>N</v>
      </c>
      <c r="L239" s="15" t="str">
        <f t="shared" si="154"/>
        <v>N</v>
      </c>
      <c r="M239" s="15" t="str">
        <f t="shared" si="155"/>
        <v>N</v>
      </c>
      <c r="N239" s="15" t="str">
        <f t="shared" si="156"/>
        <v>W</v>
      </c>
      <c r="O239" s="15" t="str">
        <f t="shared" si="157"/>
        <v>S</v>
      </c>
      <c r="Q239" t="str">
        <f t="shared" si="132"/>
        <v>SW</v>
      </c>
      <c r="R239" t="str">
        <f t="shared" si="133"/>
        <v>SW</v>
      </c>
      <c r="S239" t="str">
        <f t="shared" si="134"/>
        <v>SW</v>
      </c>
      <c r="T239" t="str">
        <f t="shared" si="135"/>
        <v>SW</v>
      </c>
      <c r="U239" t="str">
        <f t="shared" si="136"/>
        <v>E</v>
      </c>
      <c r="V239" t="str">
        <f t="shared" si="137"/>
        <v>SW</v>
      </c>
      <c r="W239" t="str">
        <f t="shared" si="138"/>
        <v>SW</v>
      </c>
      <c r="X239" t="str">
        <f t="shared" si="139"/>
        <v>W</v>
      </c>
      <c r="Y239" t="str">
        <f t="shared" si="140"/>
        <v>E</v>
      </c>
      <c r="Z239" t="str">
        <f t="shared" si="141"/>
        <v>SW</v>
      </c>
      <c r="AA239" t="str">
        <f t="shared" si="142"/>
        <v>SW</v>
      </c>
      <c r="AB239" t="str">
        <f t="shared" si="144"/>
        <v>SW</v>
      </c>
      <c r="AC239" t="str">
        <f t="shared" si="143"/>
        <v>SW</v>
      </c>
    </row>
    <row r="240" spans="1:29">
      <c r="A240" s="3" t="s">
        <v>268</v>
      </c>
      <c r="B240" s="3" t="s">
        <v>270</v>
      </c>
      <c r="C240" s="15" t="str">
        <f t="shared" si="145"/>
        <v>W</v>
      </c>
      <c r="D240" s="15" t="str">
        <f t="shared" si="146"/>
        <v>N</v>
      </c>
      <c r="E240" s="15" t="str">
        <f t="shared" si="147"/>
        <v>W</v>
      </c>
      <c r="F240" s="15" t="str">
        <f t="shared" si="148"/>
        <v>W</v>
      </c>
      <c r="G240" s="15" t="str">
        <f t="shared" si="149"/>
        <v>S</v>
      </c>
      <c r="H240" s="15" t="str">
        <f t="shared" si="150"/>
        <v>S</v>
      </c>
      <c r="I240" s="15" t="str">
        <f t="shared" si="151"/>
        <v>SSW</v>
      </c>
      <c r="J240" s="15" t="str">
        <f t="shared" si="152"/>
        <v>S</v>
      </c>
      <c r="K240" s="15" t="str">
        <f t="shared" si="153"/>
        <v>N</v>
      </c>
      <c r="L240" s="15" t="str">
        <f t="shared" si="154"/>
        <v>N</v>
      </c>
      <c r="M240" s="15" t="str">
        <f t="shared" si="155"/>
        <v>N</v>
      </c>
      <c r="N240" s="15" t="str">
        <f t="shared" si="156"/>
        <v>W</v>
      </c>
      <c r="O240" s="15" t="str">
        <f t="shared" si="157"/>
        <v>W</v>
      </c>
      <c r="Q240" t="str">
        <f t="shared" si="132"/>
        <v>W</v>
      </c>
      <c r="R240" t="str">
        <f t="shared" si="133"/>
        <v>NE</v>
      </c>
      <c r="S240" t="str">
        <f t="shared" si="134"/>
        <v>W</v>
      </c>
      <c r="T240" t="str">
        <f t="shared" si="135"/>
        <v>W</v>
      </c>
      <c r="U240" t="str">
        <f t="shared" si="136"/>
        <v>W</v>
      </c>
      <c r="V240" t="str">
        <f t="shared" si="137"/>
        <v>NE</v>
      </c>
      <c r="W240" t="str">
        <f t="shared" si="138"/>
        <v>W</v>
      </c>
      <c r="X240" t="str">
        <f t="shared" si="139"/>
        <v>NE</v>
      </c>
      <c r="Y240" t="str">
        <f t="shared" si="140"/>
        <v>W</v>
      </c>
      <c r="Z240" t="str">
        <f t="shared" si="141"/>
        <v>NE</v>
      </c>
      <c r="AA240" t="str">
        <f t="shared" si="142"/>
        <v>W</v>
      </c>
      <c r="AB240" t="str">
        <f t="shared" si="144"/>
        <v>W</v>
      </c>
      <c r="AC240" t="str">
        <f t="shared" si="143"/>
        <v>NE</v>
      </c>
    </row>
    <row r="241" spans="1:29">
      <c r="A241" s="3" t="s">
        <v>268</v>
      </c>
      <c r="B241" s="4" t="s">
        <v>172</v>
      </c>
      <c r="C241" s="15" t="str">
        <f t="shared" si="145"/>
        <v>WNW</v>
      </c>
      <c r="D241" s="15" t="str">
        <f t="shared" si="146"/>
        <v>WNW</v>
      </c>
      <c r="E241" s="15" t="str">
        <f t="shared" si="147"/>
        <v>WNW</v>
      </c>
      <c r="F241" s="15" t="str">
        <f t="shared" si="148"/>
        <v>S</v>
      </c>
      <c r="G241" s="15" t="str">
        <f t="shared" si="149"/>
        <v>S</v>
      </c>
      <c r="H241" s="15" t="str">
        <f t="shared" si="150"/>
        <v>S</v>
      </c>
      <c r="I241" s="15" t="str">
        <f t="shared" si="151"/>
        <v>S</v>
      </c>
      <c r="J241" s="15" t="str">
        <f t="shared" si="152"/>
        <v>S</v>
      </c>
      <c r="K241" s="15" t="str">
        <f t="shared" si="153"/>
        <v>S</v>
      </c>
      <c r="L241" s="15" t="str">
        <f t="shared" si="154"/>
        <v>S</v>
      </c>
      <c r="M241" s="15" t="str">
        <f t="shared" si="155"/>
        <v>S</v>
      </c>
      <c r="N241" s="15" t="str">
        <f t="shared" si="156"/>
        <v>WNW</v>
      </c>
      <c r="O241" s="15" t="str">
        <f t="shared" si="157"/>
        <v>S</v>
      </c>
      <c r="Q241" t="str">
        <f t="shared" si="132"/>
        <v>S</v>
      </c>
      <c r="R241" t="str">
        <f t="shared" si="133"/>
        <v>S</v>
      </c>
      <c r="S241" t="str">
        <f t="shared" si="134"/>
        <v>S</v>
      </c>
      <c r="T241" t="str">
        <f t="shared" si="135"/>
        <v>S</v>
      </c>
      <c r="U241" t="str">
        <f t="shared" si="136"/>
        <v>S</v>
      </c>
      <c r="V241" t="str">
        <f t="shared" si="137"/>
        <v>S</v>
      </c>
      <c r="W241" t="str">
        <f t="shared" si="138"/>
        <v>S</v>
      </c>
      <c r="X241" t="str">
        <f t="shared" si="139"/>
        <v>S</v>
      </c>
      <c r="Y241" t="str">
        <f t="shared" si="140"/>
        <v>S</v>
      </c>
      <c r="Z241" t="str">
        <f t="shared" si="141"/>
        <v>S</v>
      </c>
      <c r="AA241" t="str">
        <f t="shared" si="142"/>
        <v>S</v>
      </c>
      <c r="AB241" t="str">
        <f t="shared" si="144"/>
        <v>S</v>
      </c>
      <c r="AC241" t="str">
        <f t="shared" si="143"/>
        <v>S</v>
      </c>
    </row>
    <row r="242" spans="1:29">
      <c r="A242" s="3" t="s">
        <v>268</v>
      </c>
      <c r="B242" s="2" t="s">
        <v>271</v>
      </c>
      <c r="C242" s="15" t="str">
        <f t="shared" si="145"/>
        <v>SW</v>
      </c>
      <c r="D242" s="15" t="str">
        <f t="shared" si="146"/>
        <v>SW</v>
      </c>
      <c r="E242" s="15" t="str">
        <f t="shared" si="147"/>
        <v>SW</v>
      </c>
      <c r="F242" s="15" t="str">
        <f t="shared" si="148"/>
        <v>SW</v>
      </c>
      <c r="G242" s="15" t="str">
        <f t="shared" si="149"/>
        <v>NE</v>
      </c>
      <c r="H242" s="15" t="str">
        <f t="shared" si="150"/>
        <v>NE</v>
      </c>
      <c r="I242" s="15" t="str">
        <f t="shared" si="151"/>
        <v>NE</v>
      </c>
      <c r="J242" s="15" t="str">
        <f t="shared" si="152"/>
        <v>NE</v>
      </c>
      <c r="K242" s="15" t="str">
        <f t="shared" si="153"/>
        <v>NE</v>
      </c>
      <c r="L242" s="15" t="str">
        <f t="shared" si="154"/>
        <v>NE</v>
      </c>
      <c r="M242" s="15" t="str">
        <f t="shared" si="155"/>
        <v>NE</v>
      </c>
      <c r="N242" s="15" t="str">
        <f t="shared" si="156"/>
        <v>NE</v>
      </c>
      <c r="O242" s="15" t="str">
        <f t="shared" si="157"/>
        <v>SW</v>
      </c>
      <c r="Q242" t="str">
        <f t="shared" si="132"/>
        <v>SE</v>
      </c>
      <c r="R242" t="str">
        <f t="shared" si="133"/>
        <v>NW</v>
      </c>
      <c r="S242" t="str">
        <f t="shared" si="134"/>
        <v>NW</v>
      </c>
      <c r="T242" t="str">
        <f t="shared" si="135"/>
        <v>NW</v>
      </c>
      <c r="U242" t="str">
        <f t="shared" si="136"/>
        <v>NW</v>
      </c>
      <c r="V242" t="str">
        <f t="shared" si="137"/>
        <v>NW</v>
      </c>
      <c r="W242" t="str">
        <f t="shared" si="138"/>
        <v>NW</v>
      </c>
      <c r="X242" t="str">
        <f t="shared" si="139"/>
        <v>NW</v>
      </c>
      <c r="Y242" t="str">
        <f t="shared" si="140"/>
        <v>NW</v>
      </c>
      <c r="Z242" t="str">
        <f t="shared" si="141"/>
        <v>NW</v>
      </c>
      <c r="AA242" t="str">
        <f t="shared" si="142"/>
        <v>NW</v>
      </c>
      <c r="AB242" t="str">
        <f t="shared" si="144"/>
        <v>SE</v>
      </c>
      <c r="AC242" t="str">
        <f t="shared" si="143"/>
        <v>NW</v>
      </c>
    </row>
    <row r="243" spans="1:29" ht="22.8">
      <c r="A243" s="3" t="s">
        <v>268</v>
      </c>
      <c r="B243" s="2" t="s">
        <v>272</v>
      </c>
      <c r="C243" s="15" t="str">
        <f t="shared" si="145"/>
        <v>N</v>
      </c>
      <c r="D243" s="15" t="str">
        <f t="shared" si="146"/>
        <v>N</v>
      </c>
      <c r="E243" s="15" t="str">
        <f t="shared" si="147"/>
        <v>N</v>
      </c>
      <c r="F243" s="15" t="str">
        <f t="shared" si="148"/>
        <v>S</v>
      </c>
      <c r="G243" s="15" t="str">
        <f t="shared" si="149"/>
        <v>S</v>
      </c>
      <c r="H243" s="15" t="str">
        <f t="shared" si="150"/>
        <v>S</v>
      </c>
      <c r="I243" s="15" t="str">
        <f t="shared" si="151"/>
        <v>SSW</v>
      </c>
      <c r="J243" s="15" t="str">
        <f t="shared" si="152"/>
        <v>S</v>
      </c>
      <c r="K243" s="15" t="str">
        <f t="shared" si="153"/>
        <v>NNE</v>
      </c>
      <c r="L243" s="15" t="str">
        <f t="shared" si="154"/>
        <v>N</v>
      </c>
      <c r="M243" s="15" t="str">
        <f t="shared" si="155"/>
        <v>N</v>
      </c>
      <c r="N243" s="15" t="str">
        <f t="shared" si="156"/>
        <v>N</v>
      </c>
      <c r="O243" s="15" t="str">
        <f t="shared" si="157"/>
        <v>N</v>
      </c>
      <c r="Q243" t="str">
        <f t="shared" si="132"/>
        <v>N</v>
      </c>
      <c r="R243" t="str">
        <f t="shared" si="133"/>
        <v>N</v>
      </c>
      <c r="S243" t="str">
        <f t="shared" si="134"/>
        <v>N</v>
      </c>
      <c r="T243" t="str">
        <f t="shared" si="135"/>
        <v>N</v>
      </c>
      <c r="U243" t="str">
        <f t="shared" si="136"/>
        <v>N</v>
      </c>
      <c r="V243" t="str">
        <f t="shared" si="137"/>
        <v>N</v>
      </c>
      <c r="W243" t="str">
        <f t="shared" si="138"/>
        <v>N</v>
      </c>
      <c r="X243" t="str">
        <f t="shared" si="139"/>
        <v>N</v>
      </c>
      <c r="Y243" t="str">
        <f t="shared" si="140"/>
        <v>S</v>
      </c>
      <c r="Z243" t="str">
        <f t="shared" si="141"/>
        <v>S</v>
      </c>
      <c r="AA243" t="str">
        <f t="shared" si="142"/>
        <v>S</v>
      </c>
      <c r="AB243" t="str">
        <f t="shared" si="144"/>
        <v>S</v>
      </c>
      <c r="AC243" t="str">
        <f t="shared" si="143"/>
        <v>S</v>
      </c>
    </row>
    <row r="244" spans="1:29">
      <c r="A244" s="3" t="s">
        <v>273</v>
      </c>
      <c r="B244" s="3" t="s">
        <v>274</v>
      </c>
      <c r="C244" s="15" t="str">
        <f t="shared" si="145"/>
        <v>S</v>
      </c>
      <c r="D244" s="15" t="str">
        <f t="shared" si="146"/>
        <v>S</v>
      </c>
      <c r="E244" s="15" t="str">
        <f t="shared" si="147"/>
        <v>S</v>
      </c>
      <c r="F244" s="15" t="str">
        <f t="shared" si="148"/>
        <v>S</v>
      </c>
      <c r="G244" s="15" t="str">
        <f t="shared" si="149"/>
        <v>S</v>
      </c>
      <c r="H244" s="15" t="str">
        <f t="shared" si="150"/>
        <v>S</v>
      </c>
      <c r="I244" s="15" t="str">
        <f t="shared" si="151"/>
        <v>S</v>
      </c>
      <c r="J244" s="15" t="str">
        <f t="shared" si="152"/>
        <v>S</v>
      </c>
      <c r="K244" s="15" t="str">
        <f t="shared" si="153"/>
        <v>N</v>
      </c>
      <c r="L244" s="15" t="str">
        <f t="shared" si="154"/>
        <v>N</v>
      </c>
      <c r="M244" s="15" t="str">
        <f t="shared" si="155"/>
        <v>N</v>
      </c>
      <c r="N244" s="15" t="str">
        <f t="shared" si="156"/>
        <v>N</v>
      </c>
      <c r="O244" s="15" t="str">
        <f t="shared" si="157"/>
        <v>N</v>
      </c>
      <c r="Q244" t="str">
        <f t="shared" si="132"/>
        <v>N</v>
      </c>
      <c r="R244" t="str">
        <f t="shared" si="133"/>
        <v>N</v>
      </c>
      <c r="S244" t="str">
        <f t="shared" si="134"/>
        <v>N</v>
      </c>
      <c r="T244" t="str">
        <f t="shared" si="135"/>
        <v>N</v>
      </c>
      <c r="U244" t="str">
        <f t="shared" si="136"/>
        <v>N</v>
      </c>
      <c r="V244" t="str">
        <f t="shared" si="137"/>
        <v>N</v>
      </c>
      <c r="W244" t="str">
        <f t="shared" si="138"/>
        <v>N</v>
      </c>
      <c r="X244" t="str">
        <f t="shared" si="139"/>
        <v>N</v>
      </c>
      <c r="Y244" t="str">
        <f t="shared" si="140"/>
        <v>N</v>
      </c>
      <c r="Z244" t="str">
        <f t="shared" si="141"/>
        <v>N</v>
      </c>
      <c r="AA244" t="str">
        <f t="shared" si="142"/>
        <v>N</v>
      </c>
      <c r="AB244" t="str">
        <f t="shared" si="144"/>
        <v>N</v>
      </c>
      <c r="AC244" t="str">
        <f t="shared" si="143"/>
        <v>N</v>
      </c>
    </row>
    <row r="245" spans="1:29">
      <c r="A245" s="3" t="s">
        <v>273</v>
      </c>
      <c r="B245" s="3" t="s">
        <v>275</v>
      </c>
      <c r="C245" s="15" t="str">
        <f t="shared" si="145"/>
        <v>NW</v>
      </c>
      <c r="D245" s="15" t="str">
        <f t="shared" si="146"/>
        <v>NW</v>
      </c>
      <c r="E245" s="15" t="str">
        <f t="shared" si="147"/>
        <v>NNW</v>
      </c>
      <c r="F245" s="15" t="str">
        <f t="shared" si="148"/>
        <v>NNW</v>
      </c>
      <c r="G245" s="15" t="str">
        <f t="shared" si="149"/>
        <v>NW</v>
      </c>
      <c r="H245" s="15" t="str">
        <f t="shared" si="150"/>
        <v>NW</v>
      </c>
      <c r="I245" s="15" t="str">
        <f t="shared" si="151"/>
        <v>N</v>
      </c>
      <c r="J245" s="15" t="str">
        <f t="shared" si="152"/>
        <v>N</v>
      </c>
      <c r="K245" s="15" t="str">
        <f t="shared" si="153"/>
        <v>SSE</v>
      </c>
      <c r="L245" s="15" t="str">
        <f t="shared" si="154"/>
        <v>SSE</v>
      </c>
      <c r="M245" s="15" t="str">
        <f t="shared" si="155"/>
        <v>SSE</v>
      </c>
      <c r="N245" s="15" t="str">
        <f t="shared" si="156"/>
        <v>SSE</v>
      </c>
      <c r="O245" s="15" t="str">
        <f t="shared" si="157"/>
        <v>SSE</v>
      </c>
      <c r="Q245" t="str">
        <f t="shared" si="132"/>
        <v>N</v>
      </c>
      <c r="R245" t="str">
        <f t="shared" si="133"/>
        <v>N</v>
      </c>
      <c r="S245" t="str">
        <f t="shared" si="134"/>
        <v>NE</v>
      </c>
      <c r="T245" t="str">
        <f t="shared" si="135"/>
        <v>S</v>
      </c>
      <c r="U245" t="str">
        <f t="shared" si="136"/>
        <v>S</v>
      </c>
      <c r="V245" t="str">
        <f t="shared" si="137"/>
        <v>SW</v>
      </c>
      <c r="W245" t="str">
        <f t="shared" si="138"/>
        <v>SW</v>
      </c>
      <c r="X245" t="str">
        <f t="shared" si="139"/>
        <v>SW</v>
      </c>
      <c r="Y245" t="str">
        <f t="shared" si="140"/>
        <v>NE</v>
      </c>
      <c r="Z245" t="str">
        <f t="shared" si="141"/>
        <v>NE</v>
      </c>
      <c r="AA245" t="str">
        <f t="shared" si="142"/>
        <v>SW</v>
      </c>
      <c r="AB245" t="str">
        <f t="shared" si="144"/>
        <v>N</v>
      </c>
      <c r="AC245" t="str">
        <f t="shared" si="143"/>
        <v>SW</v>
      </c>
    </row>
    <row r="246" spans="1:29">
      <c r="A246" s="3" t="s">
        <v>273</v>
      </c>
      <c r="B246" s="3" t="s">
        <v>276</v>
      </c>
      <c r="C246" s="15" t="str">
        <f t="shared" si="145"/>
        <v>NNW</v>
      </c>
      <c r="D246" s="15" t="str">
        <f t="shared" si="146"/>
        <v>NNW</v>
      </c>
      <c r="E246" s="15" t="str">
        <f t="shared" si="147"/>
        <v>NNW</v>
      </c>
      <c r="F246" s="15" t="str">
        <f t="shared" si="148"/>
        <v>NNW</v>
      </c>
      <c r="G246" s="15" t="str">
        <f t="shared" si="149"/>
        <v>NNW</v>
      </c>
      <c r="H246" s="15" t="str">
        <f t="shared" si="150"/>
        <v>NNW</v>
      </c>
      <c r="I246" s="15" t="str">
        <f t="shared" si="151"/>
        <v>NNW</v>
      </c>
      <c r="J246" s="15" t="str">
        <f t="shared" si="152"/>
        <v>NNW</v>
      </c>
      <c r="K246" s="15" t="str">
        <f t="shared" si="153"/>
        <v>NNW</v>
      </c>
      <c r="L246" s="15" t="str">
        <f t="shared" si="154"/>
        <v>NNW</v>
      </c>
      <c r="M246" s="15" t="str">
        <f t="shared" si="155"/>
        <v>NNW</v>
      </c>
      <c r="N246" s="15" t="str">
        <f t="shared" si="156"/>
        <v>NNW</v>
      </c>
      <c r="O246" s="15" t="str">
        <f t="shared" si="157"/>
        <v>NNW</v>
      </c>
      <c r="Q246" t="str">
        <f t="shared" si="132"/>
        <v>NW</v>
      </c>
      <c r="R246" t="str">
        <f t="shared" si="133"/>
        <v>NW</v>
      </c>
      <c r="S246" t="str">
        <f t="shared" si="134"/>
        <v>NW</v>
      </c>
      <c r="T246" t="str">
        <f t="shared" si="135"/>
        <v>NW</v>
      </c>
      <c r="U246" t="str">
        <f t="shared" si="136"/>
        <v>N</v>
      </c>
      <c r="V246" t="str">
        <f t="shared" si="137"/>
        <v>N</v>
      </c>
      <c r="W246" t="str">
        <f t="shared" si="138"/>
        <v>N</v>
      </c>
      <c r="X246" t="str">
        <f t="shared" si="139"/>
        <v>N</v>
      </c>
      <c r="Y246" t="str">
        <f t="shared" si="140"/>
        <v>SE</v>
      </c>
      <c r="Z246" t="str">
        <f t="shared" si="141"/>
        <v>SE</v>
      </c>
      <c r="AA246" t="str">
        <f t="shared" si="142"/>
        <v>S</v>
      </c>
      <c r="AB246" t="str">
        <f t="shared" si="144"/>
        <v>S</v>
      </c>
      <c r="AC246" t="str">
        <f t="shared" si="143"/>
        <v>NW</v>
      </c>
    </row>
    <row r="247" spans="1:29">
      <c r="A247" s="3" t="s">
        <v>273</v>
      </c>
      <c r="B247" s="3" t="s">
        <v>277</v>
      </c>
      <c r="C247" s="15" t="str">
        <f t="shared" si="145"/>
        <v>NW</v>
      </c>
      <c r="D247" s="15" t="str">
        <f t="shared" si="146"/>
        <v>NW</v>
      </c>
      <c r="E247" s="15" t="str">
        <f t="shared" si="147"/>
        <v>WNW</v>
      </c>
      <c r="F247" s="15" t="str">
        <f t="shared" si="148"/>
        <v>WNW</v>
      </c>
      <c r="G247" s="15" t="str">
        <f t="shared" si="149"/>
        <v>NNW</v>
      </c>
      <c r="H247" s="15" t="str">
        <f t="shared" si="150"/>
        <v>NNW</v>
      </c>
      <c r="I247" s="15" t="str">
        <f t="shared" si="151"/>
        <v>N</v>
      </c>
      <c r="J247" s="15" t="str">
        <f t="shared" si="152"/>
        <v>N</v>
      </c>
      <c r="K247" s="15" t="str">
        <f t="shared" si="153"/>
        <v>S</v>
      </c>
      <c r="L247" s="15" t="str">
        <f t="shared" si="154"/>
        <v>S</v>
      </c>
      <c r="M247" s="15" t="str">
        <f t="shared" si="155"/>
        <v>S</v>
      </c>
      <c r="N247" s="15" t="str">
        <f t="shared" si="156"/>
        <v>S</v>
      </c>
      <c r="O247" s="15" t="str">
        <f t="shared" si="157"/>
        <v>S</v>
      </c>
      <c r="Q247" t="str">
        <f t="shared" si="132"/>
        <v>NW</v>
      </c>
      <c r="R247" t="str">
        <f t="shared" si="133"/>
        <v>NW</v>
      </c>
      <c r="S247" t="str">
        <f t="shared" si="134"/>
        <v>N</v>
      </c>
      <c r="T247" t="str">
        <f t="shared" si="135"/>
        <v>N</v>
      </c>
      <c r="U247" t="str">
        <f t="shared" si="136"/>
        <v>NW</v>
      </c>
      <c r="V247" t="str">
        <f t="shared" si="137"/>
        <v>NW</v>
      </c>
      <c r="W247" t="str">
        <f t="shared" si="138"/>
        <v>SE</v>
      </c>
      <c r="X247" t="str">
        <f t="shared" si="139"/>
        <v>SE</v>
      </c>
      <c r="Y247" t="str">
        <f t="shared" si="140"/>
        <v>S</v>
      </c>
      <c r="Z247" t="str">
        <f t="shared" si="141"/>
        <v>S</v>
      </c>
      <c r="AA247" t="str">
        <f t="shared" si="142"/>
        <v>S</v>
      </c>
      <c r="AB247" t="str">
        <f t="shared" si="144"/>
        <v>S</v>
      </c>
      <c r="AC247" t="str">
        <f t="shared" si="143"/>
        <v>SE</v>
      </c>
    </row>
    <row r="248" spans="1:29">
      <c r="A248" s="3" t="s">
        <v>278</v>
      </c>
      <c r="B248" s="1" t="s">
        <v>279</v>
      </c>
      <c r="C248" s="15" t="str">
        <f t="shared" si="145"/>
        <v>WSW</v>
      </c>
      <c r="D248" s="15" t="str">
        <f t="shared" si="146"/>
        <v>W</v>
      </c>
      <c r="E248" s="15" t="str">
        <f t="shared" si="147"/>
        <v>WSW</v>
      </c>
      <c r="F248" s="15" t="str">
        <f t="shared" si="148"/>
        <v>WSW</v>
      </c>
      <c r="G248" s="15" t="str">
        <f t="shared" si="149"/>
        <v>WSW</v>
      </c>
      <c r="H248" s="15" t="str">
        <f t="shared" si="150"/>
        <v>WSW</v>
      </c>
      <c r="I248" s="15" t="str">
        <f t="shared" si="151"/>
        <v>WSW</v>
      </c>
      <c r="J248" s="15" t="str">
        <f t="shared" si="152"/>
        <v>ENE</v>
      </c>
      <c r="K248" s="15" t="str">
        <f t="shared" si="153"/>
        <v>ENE</v>
      </c>
      <c r="L248" s="15" t="str">
        <f t="shared" si="154"/>
        <v>ENE</v>
      </c>
      <c r="M248" s="15" t="str">
        <f t="shared" si="155"/>
        <v>WSW</v>
      </c>
      <c r="N248" s="15" t="str">
        <f t="shared" si="156"/>
        <v>WSW</v>
      </c>
      <c r="O248" s="15" t="str">
        <f t="shared" si="157"/>
        <v>WSW</v>
      </c>
      <c r="Q248" t="str">
        <f t="shared" si="132"/>
        <v>NW</v>
      </c>
      <c r="R248" t="str">
        <f t="shared" si="133"/>
        <v>NW</v>
      </c>
      <c r="S248" t="str">
        <f t="shared" si="134"/>
        <v>NW</v>
      </c>
      <c r="T248" t="str">
        <f t="shared" si="135"/>
        <v>NW</v>
      </c>
      <c r="U248" t="str">
        <f t="shared" si="136"/>
        <v>NW</v>
      </c>
      <c r="V248" t="str">
        <f t="shared" si="137"/>
        <v>NW</v>
      </c>
      <c r="W248" t="str">
        <f t="shared" si="138"/>
        <v>NW</v>
      </c>
      <c r="X248" t="str">
        <f t="shared" si="139"/>
        <v>NW</v>
      </c>
      <c r="Y248" t="str">
        <f t="shared" si="140"/>
        <v>NW</v>
      </c>
      <c r="Z248" t="str">
        <f t="shared" si="141"/>
        <v>NW</v>
      </c>
      <c r="AA248" t="str">
        <f t="shared" si="142"/>
        <v>SE</v>
      </c>
      <c r="AB248" t="str">
        <f t="shared" si="144"/>
        <v>SE</v>
      </c>
      <c r="AC248" t="str">
        <f t="shared" si="143"/>
        <v>NW</v>
      </c>
    </row>
    <row r="249" spans="1:29">
      <c r="A249" s="3" t="s">
        <v>278</v>
      </c>
      <c r="B249" s="3" t="s">
        <v>280</v>
      </c>
      <c r="C249" s="15" t="str">
        <f t="shared" si="145"/>
        <v>N</v>
      </c>
      <c r="D249" s="15" t="str">
        <f t="shared" si="146"/>
        <v>N</v>
      </c>
      <c r="E249" s="15" t="str">
        <f t="shared" si="147"/>
        <v>S</v>
      </c>
      <c r="F249" s="15" t="str">
        <f t="shared" si="148"/>
        <v>S</v>
      </c>
      <c r="G249" s="15" t="str">
        <f t="shared" si="149"/>
        <v>S</v>
      </c>
      <c r="H249" s="15" t="str">
        <f t="shared" si="150"/>
        <v>S</v>
      </c>
      <c r="I249" s="15" t="str">
        <f t="shared" si="151"/>
        <v>S</v>
      </c>
      <c r="J249" s="15" t="str">
        <f t="shared" si="152"/>
        <v>S</v>
      </c>
      <c r="K249" s="15" t="str">
        <f t="shared" si="153"/>
        <v>S</v>
      </c>
      <c r="L249" s="15" t="str">
        <f t="shared" si="154"/>
        <v>N</v>
      </c>
      <c r="M249" s="15" t="str">
        <f t="shared" si="155"/>
        <v>S</v>
      </c>
      <c r="N249" s="15" t="str">
        <f t="shared" si="156"/>
        <v>S</v>
      </c>
      <c r="O249" s="15" t="str">
        <f t="shared" si="157"/>
        <v>S</v>
      </c>
      <c r="Q249" t="str">
        <f t="shared" si="132"/>
        <v>NW</v>
      </c>
      <c r="R249" t="str">
        <f t="shared" si="133"/>
        <v>NW</v>
      </c>
      <c r="S249" t="str">
        <f t="shared" si="134"/>
        <v>NW</v>
      </c>
      <c r="T249" t="str">
        <f t="shared" si="135"/>
        <v>NW</v>
      </c>
      <c r="U249" t="str">
        <f t="shared" si="136"/>
        <v>S</v>
      </c>
      <c r="V249" t="str">
        <f t="shared" si="137"/>
        <v>SE</v>
      </c>
      <c r="W249" t="str">
        <f t="shared" si="138"/>
        <v>SE</v>
      </c>
      <c r="X249" t="str">
        <f t="shared" si="139"/>
        <v>S</v>
      </c>
      <c r="Y249" t="str">
        <f t="shared" si="140"/>
        <v>S</v>
      </c>
      <c r="Z249" t="str">
        <f t="shared" si="141"/>
        <v>NW</v>
      </c>
      <c r="AA249" t="str">
        <f t="shared" si="142"/>
        <v>NW</v>
      </c>
      <c r="AB249" t="str">
        <f t="shared" si="144"/>
        <v>NW</v>
      </c>
      <c r="AC249" t="str">
        <f t="shared" si="143"/>
        <v>NW</v>
      </c>
    </row>
    <row r="250" spans="1:29">
      <c r="A250" s="3" t="s">
        <v>278</v>
      </c>
      <c r="B250" s="3" t="s">
        <v>281</v>
      </c>
      <c r="C250" s="15" t="str">
        <f t="shared" ref="C250:C281" si="158">INDEX(tablewind,MATCH($B250,citywind,0),2)</f>
        <v>WSW</v>
      </c>
      <c r="D250" s="15" t="str">
        <f t="shared" ref="D250:D281" si="159">INDEX(tablewind,MATCH($B250,citywind,0),3)</f>
        <v>WSW</v>
      </c>
      <c r="E250" s="15" t="str">
        <f t="shared" ref="E250:E281" si="160">INDEX(tablewind,MATCH($B250,citywind,0),4)</f>
        <v>WSW</v>
      </c>
      <c r="F250" s="15" t="str">
        <f t="shared" ref="F250:F281" si="161">INDEX(tablewind,MATCH($B250,citywind,0),5)</f>
        <v>SW</v>
      </c>
      <c r="G250" s="15" t="str">
        <f t="shared" ref="G250:G281" si="162">INDEX(tablewind,MATCH($B250,citywind,0),6)</f>
        <v>WSW</v>
      </c>
      <c r="H250" s="15" t="str">
        <f t="shared" ref="H250:H281" si="163">INDEX(tablewind,MATCH($B250,citywind,0),7)</f>
        <v>SW</v>
      </c>
      <c r="I250" s="15" t="str">
        <f t="shared" ref="I250:I281" si="164">INDEX(tablewind,MATCH($B250,citywind,0),8)</f>
        <v>WSW</v>
      </c>
      <c r="J250" s="15" t="str">
        <f t="shared" ref="J250:J281" si="165">INDEX(tablewind,MATCH($B250,citywind,0),9)</f>
        <v>WSW</v>
      </c>
      <c r="K250" s="15" t="str">
        <f t="shared" ref="K250:K281" si="166">INDEX(tablewind,MATCH($B250,citywind,0),10)</f>
        <v>NE</v>
      </c>
      <c r="L250" s="15" t="str">
        <f t="shared" ref="L250:L281" si="167">INDEX(tablewind,MATCH($B250,citywind,0),11)</f>
        <v>NE</v>
      </c>
      <c r="M250" s="15" t="str">
        <f t="shared" ref="M250:M281" si="168">INDEX(tablewind,MATCH($B250,citywind,0),12)</f>
        <v>NE</v>
      </c>
      <c r="N250" s="15" t="str">
        <f t="shared" ref="N250:N281" si="169">INDEX(tablewind,MATCH($B250,citywind,0),13)</f>
        <v>WSW</v>
      </c>
      <c r="O250" s="15" t="str">
        <f t="shared" ref="O250:O281" si="170">INDEX(tablewind,MATCH($B250,citywind,0),14)</f>
        <v>WSW</v>
      </c>
      <c r="Q250" t="str">
        <f t="shared" si="132"/>
        <v>SW</v>
      </c>
      <c r="R250" t="str">
        <f t="shared" si="133"/>
        <v>SW</v>
      </c>
      <c r="S250" t="str">
        <f t="shared" si="134"/>
        <v>SW</v>
      </c>
      <c r="T250" t="str">
        <f t="shared" si="135"/>
        <v>SW</v>
      </c>
      <c r="U250" t="str">
        <f t="shared" si="136"/>
        <v>SW</v>
      </c>
      <c r="V250" t="str">
        <f t="shared" si="137"/>
        <v>SW</v>
      </c>
      <c r="W250" t="str">
        <f t="shared" si="138"/>
        <v>SW</v>
      </c>
      <c r="X250" t="str">
        <f t="shared" si="139"/>
        <v>SW</v>
      </c>
      <c r="Y250" t="str">
        <f t="shared" si="140"/>
        <v>SW</v>
      </c>
      <c r="Z250" t="str">
        <f t="shared" si="141"/>
        <v>SW</v>
      </c>
      <c r="AA250" t="str">
        <f t="shared" si="142"/>
        <v>SW</v>
      </c>
      <c r="AB250" t="str">
        <f t="shared" si="144"/>
        <v>SW</v>
      </c>
      <c r="AC250" t="str">
        <f t="shared" si="143"/>
        <v>SW</v>
      </c>
    </row>
    <row r="251" spans="1:29">
      <c r="A251" s="3" t="s">
        <v>278</v>
      </c>
      <c r="B251" s="3" t="s">
        <v>282</v>
      </c>
      <c r="C251" s="15" t="str">
        <f t="shared" si="158"/>
        <v>N</v>
      </c>
      <c r="D251" s="15" t="str">
        <f t="shared" si="159"/>
        <v>N</v>
      </c>
      <c r="E251" s="15" t="str">
        <f t="shared" si="160"/>
        <v>S</v>
      </c>
      <c r="F251" s="15" t="str">
        <f t="shared" si="161"/>
        <v>SSW</v>
      </c>
      <c r="G251" s="15" t="str">
        <f t="shared" si="162"/>
        <v>S</v>
      </c>
      <c r="H251" s="15" t="str">
        <f t="shared" si="163"/>
        <v>SSW</v>
      </c>
      <c r="I251" s="15" t="str">
        <f t="shared" si="164"/>
        <v>SW</v>
      </c>
      <c r="J251" s="15" t="str">
        <f t="shared" si="165"/>
        <v>SSW</v>
      </c>
      <c r="K251" s="15" t="str">
        <f t="shared" si="166"/>
        <v>N</v>
      </c>
      <c r="L251" s="15" t="str">
        <f t="shared" si="167"/>
        <v>SSE</v>
      </c>
      <c r="M251" s="15" t="str">
        <f t="shared" si="168"/>
        <v>S</v>
      </c>
      <c r="N251" s="15" t="str">
        <f t="shared" si="169"/>
        <v>S</v>
      </c>
      <c r="O251" s="15" t="str">
        <f t="shared" si="170"/>
        <v>S</v>
      </c>
      <c r="Q251" t="str">
        <f t="shared" si="132"/>
        <v>S</v>
      </c>
      <c r="R251" t="str">
        <f t="shared" si="133"/>
        <v>S</v>
      </c>
      <c r="S251" t="str">
        <f t="shared" si="134"/>
        <v>S</v>
      </c>
      <c r="T251" t="str">
        <f t="shared" si="135"/>
        <v>S</v>
      </c>
      <c r="U251" t="str">
        <f t="shared" si="136"/>
        <v>S</v>
      </c>
      <c r="V251" t="str">
        <f t="shared" si="137"/>
        <v>S</v>
      </c>
      <c r="W251" t="str">
        <f t="shared" si="138"/>
        <v>S</v>
      </c>
      <c r="X251" t="str">
        <f t="shared" si="139"/>
        <v>S</v>
      </c>
      <c r="Y251" t="str">
        <f t="shared" si="140"/>
        <v>S</v>
      </c>
      <c r="Z251" t="str">
        <f t="shared" si="141"/>
        <v>S</v>
      </c>
      <c r="AA251" t="str">
        <f t="shared" si="142"/>
        <v>S</v>
      </c>
      <c r="AB251" t="str">
        <f t="shared" si="144"/>
        <v>S</v>
      </c>
      <c r="AC251" t="str">
        <f t="shared" si="143"/>
        <v>S</v>
      </c>
    </row>
    <row r="252" spans="1:29">
      <c r="A252" s="3" t="s">
        <v>278</v>
      </c>
      <c r="B252" s="3" t="s">
        <v>283</v>
      </c>
      <c r="C252" s="15" t="str">
        <f t="shared" si="158"/>
        <v>S</v>
      </c>
      <c r="D252" s="15" t="str">
        <f t="shared" si="159"/>
        <v>S</v>
      </c>
      <c r="E252" s="15" t="str">
        <f t="shared" si="160"/>
        <v>S</v>
      </c>
      <c r="F252" s="15" t="str">
        <f t="shared" si="161"/>
        <v>S</v>
      </c>
      <c r="G252" s="15" t="str">
        <f t="shared" si="162"/>
        <v>S</v>
      </c>
      <c r="H252" s="15" t="str">
        <f t="shared" si="163"/>
        <v>S</v>
      </c>
      <c r="I252" s="15" t="str">
        <f t="shared" si="164"/>
        <v>S</v>
      </c>
      <c r="J252" s="15" t="str">
        <f t="shared" si="165"/>
        <v>S</v>
      </c>
      <c r="K252" s="15" t="str">
        <f t="shared" si="166"/>
        <v>S</v>
      </c>
      <c r="L252" s="15" t="str">
        <f t="shared" si="167"/>
        <v>S</v>
      </c>
      <c r="M252" s="15" t="str">
        <f t="shared" si="168"/>
        <v>S</v>
      </c>
      <c r="N252" s="15" t="str">
        <f t="shared" si="169"/>
        <v>S</v>
      </c>
      <c r="O252" s="15" t="str">
        <f t="shared" si="170"/>
        <v>S</v>
      </c>
      <c r="Q252" t="str">
        <f t="shared" si="132"/>
        <v>SW</v>
      </c>
      <c r="R252" t="str">
        <f t="shared" si="133"/>
        <v>SW</v>
      </c>
      <c r="S252" t="str">
        <f t="shared" si="134"/>
        <v>SW</v>
      </c>
      <c r="T252" t="str">
        <f t="shared" si="135"/>
        <v>SW</v>
      </c>
      <c r="U252" t="str">
        <f t="shared" si="136"/>
        <v>SW</v>
      </c>
      <c r="V252" t="str">
        <f t="shared" si="137"/>
        <v>S</v>
      </c>
      <c r="W252" t="str">
        <f t="shared" si="138"/>
        <v>S</v>
      </c>
      <c r="X252" t="str">
        <f t="shared" si="139"/>
        <v>S</v>
      </c>
      <c r="Y252" t="str">
        <f t="shared" si="140"/>
        <v>SW</v>
      </c>
      <c r="Z252" t="str">
        <f t="shared" si="141"/>
        <v>SW</v>
      </c>
      <c r="AA252" t="str">
        <f t="shared" si="142"/>
        <v>SW</v>
      </c>
      <c r="AB252" t="str">
        <f t="shared" si="144"/>
        <v>SW</v>
      </c>
      <c r="AC252" t="str">
        <f t="shared" si="143"/>
        <v>SW</v>
      </c>
    </row>
    <row r="253" spans="1:29">
      <c r="A253" s="3" t="s">
        <v>278</v>
      </c>
      <c r="B253" s="3" t="s">
        <v>284</v>
      </c>
      <c r="C253" s="15" t="str">
        <f t="shared" si="158"/>
        <v>SW</v>
      </c>
      <c r="D253" s="15" t="str">
        <f t="shared" si="159"/>
        <v>ENE</v>
      </c>
      <c r="E253" s="15" t="str">
        <f t="shared" si="160"/>
        <v>SW</v>
      </c>
      <c r="F253" s="15" t="str">
        <f t="shared" si="161"/>
        <v>SW</v>
      </c>
      <c r="G253" s="15" t="str">
        <f t="shared" si="162"/>
        <v>SW</v>
      </c>
      <c r="H253" s="15" t="str">
        <f t="shared" si="163"/>
        <v>SW</v>
      </c>
      <c r="I253" s="15" t="str">
        <f t="shared" si="164"/>
        <v>SW</v>
      </c>
      <c r="J253" s="15" t="str">
        <f t="shared" si="165"/>
        <v>E</v>
      </c>
      <c r="K253" s="15" t="str">
        <f t="shared" si="166"/>
        <v>E</v>
      </c>
      <c r="L253" s="15" t="str">
        <f t="shared" si="167"/>
        <v>E</v>
      </c>
      <c r="M253" s="15" t="str">
        <f t="shared" si="168"/>
        <v>E</v>
      </c>
      <c r="N253" s="15" t="str">
        <f t="shared" si="169"/>
        <v>SW</v>
      </c>
      <c r="O253" s="15" t="str">
        <f t="shared" si="170"/>
        <v>SW</v>
      </c>
      <c r="Q253" t="str">
        <f t="shared" si="132"/>
        <v>S</v>
      </c>
      <c r="R253" t="str">
        <f t="shared" si="133"/>
        <v>S</v>
      </c>
      <c r="S253" t="str">
        <f t="shared" si="134"/>
        <v>S</v>
      </c>
      <c r="T253" t="str">
        <f t="shared" si="135"/>
        <v>S</v>
      </c>
      <c r="U253" t="str">
        <f t="shared" si="136"/>
        <v>NW</v>
      </c>
      <c r="V253" t="str">
        <f t="shared" si="137"/>
        <v>NW</v>
      </c>
      <c r="W253" t="str">
        <f t="shared" si="138"/>
        <v>NW</v>
      </c>
      <c r="X253" t="str">
        <f t="shared" si="139"/>
        <v>NW</v>
      </c>
      <c r="Y253" t="str">
        <f t="shared" si="140"/>
        <v>NW</v>
      </c>
      <c r="Z253" t="str">
        <f t="shared" si="141"/>
        <v>NW</v>
      </c>
      <c r="AA253" t="str">
        <f t="shared" si="142"/>
        <v>NW</v>
      </c>
      <c r="AB253" t="str">
        <f t="shared" si="144"/>
        <v>NW</v>
      </c>
      <c r="AC253" t="str">
        <f t="shared" si="143"/>
        <v>NW</v>
      </c>
    </row>
    <row r="254" spans="1:29">
      <c r="A254" s="3" t="s">
        <v>285</v>
      </c>
      <c r="B254" s="3" t="s">
        <v>286</v>
      </c>
      <c r="C254" s="15" t="str">
        <f t="shared" si="158"/>
        <v>N</v>
      </c>
      <c r="D254" s="15" t="str">
        <f t="shared" si="159"/>
        <v>N</v>
      </c>
      <c r="E254" s="15" t="str">
        <f t="shared" si="160"/>
        <v>S</v>
      </c>
      <c r="F254" s="15" t="str">
        <f t="shared" si="161"/>
        <v>S</v>
      </c>
      <c r="G254" s="15" t="str">
        <f t="shared" si="162"/>
        <v>SSE</v>
      </c>
      <c r="H254" s="15" t="str">
        <f t="shared" si="163"/>
        <v>S</v>
      </c>
      <c r="I254" s="15" t="str">
        <f t="shared" si="164"/>
        <v>S</v>
      </c>
      <c r="J254" s="15" t="str">
        <f t="shared" si="165"/>
        <v>S</v>
      </c>
      <c r="K254" s="15" t="str">
        <f t="shared" si="166"/>
        <v>S</v>
      </c>
      <c r="L254" s="15" t="str">
        <f t="shared" si="167"/>
        <v>S</v>
      </c>
      <c r="M254" s="15" t="str">
        <f t="shared" si="168"/>
        <v>S</v>
      </c>
      <c r="N254" s="15" t="str">
        <f t="shared" si="169"/>
        <v>S</v>
      </c>
      <c r="O254" s="15" t="str">
        <f t="shared" si="170"/>
        <v>S</v>
      </c>
      <c r="Q254" t="str">
        <f t="shared" si="132"/>
        <v>S</v>
      </c>
      <c r="R254" t="str">
        <f t="shared" si="133"/>
        <v>S</v>
      </c>
      <c r="S254" t="str">
        <f t="shared" si="134"/>
        <v>S</v>
      </c>
      <c r="T254" t="str">
        <f t="shared" si="135"/>
        <v>S</v>
      </c>
      <c r="U254" t="str">
        <f t="shared" si="136"/>
        <v>S</v>
      </c>
      <c r="V254" t="str">
        <f t="shared" si="137"/>
        <v>S</v>
      </c>
      <c r="W254" t="str">
        <f t="shared" si="138"/>
        <v>S</v>
      </c>
      <c r="X254" t="str">
        <f t="shared" si="139"/>
        <v>S</v>
      </c>
      <c r="Y254" t="str">
        <f t="shared" si="140"/>
        <v>W</v>
      </c>
      <c r="Z254" t="str">
        <f t="shared" si="141"/>
        <v>W</v>
      </c>
      <c r="AA254" t="str">
        <f t="shared" si="142"/>
        <v>W</v>
      </c>
      <c r="AB254" t="str">
        <f t="shared" si="144"/>
        <v>W</v>
      </c>
      <c r="AC254" t="str">
        <f t="shared" si="143"/>
        <v>S</v>
      </c>
    </row>
    <row r="255" spans="1:29">
      <c r="A255" s="3" t="s">
        <v>285</v>
      </c>
      <c r="B255" s="3" t="s">
        <v>287</v>
      </c>
      <c r="C255" s="15" t="str">
        <f t="shared" si="158"/>
        <v>SW</v>
      </c>
      <c r="D255" s="15" t="str">
        <f t="shared" si="159"/>
        <v>SW</v>
      </c>
      <c r="E255" s="15" t="str">
        <f t="shared" si="160"/>
        <v>SW</v>
      </c>
      <c r="F255" s="15" t="str">
        <f t="shared" si="161"/>
        <v>N</v>
      </c>
      <c r="G255" s="15" t="str">
        <f t="shared" si="162"/>
        <v>N</v>
      </c>
      <c r="H255" s="15" t="str">
        <f t="shared" si="163"/>
        <v>N</v>
      </c>
      <c r="I255" s="15" t="str">
        <f t="shared" si="164"/>
        <v>SSW</v>
      </c>
      <c r="J255" s="15" t="str">
        <f t="shared" si="165"/>
        <v>SSW</v>
      </c>
      <c r="K255" s="15" t="str">
        <f t="shared" si="166"/>
        <v>SSW</v>
      </c>
      <c r="L255" s="15" t="str">
        <f t="shared" si="167"/>
        <v>S</v>
      </c>
      <c r="M255" s="15" t="str">
        <f t="shared" si="168"/>
        <v>S</v>
      </c>
      <c r="N255" s="15" t="str">
        <f t="shared" si="169"/>
        <v>S</v>
      </c>
      <c r="O255" s="15" t="str">
        <f t="shared" si="170"/>
        <v>SW</v>
      </c>
      <c r="Q255" t="str">
        <f t="shared" si="132"/>
        <v>NW</v>
      </c>
      <c r="R255" t="str">
        <f t="shared" si="133"/>
        <v>NW</v>
      </c>
      <c r="S255" t="str">
        <f t="shared" si="134"/>
        <v>NW</v>
      </c>
      <c r="T255" t="str">
        <f t="shared" si="135"/>
        <v>NW</v>
      </c>
      <c r="U255" t="str">
        <f t="shared" si="136"/>
        <v>NW</v>
      </c>
      <c r="V255" t="str">
        <f t="shared" si="137"/>
        <v>S</v>
      </c>
      <c r="W255" t="str">
        <f t="shared" si="138"/>
        <v>S</v>
      </c>
      <c r="X255" t="str">
        <f t="shared" si="139"/>
        <v>S</v>
      </c>
      <c r="Y255" t="str">
        <f t="shared" si="140"/>
        <v>S</v>
      </c>
      <c r="Z255" t="str">
        <f t="shared" si="141"/>
        <v>NW</v>
      </c>
      <c r="AA255" t="str">
        <f t="shared" si="142"/>
        <v>NW</v>
      </c>
      <c r="AB255" t="str">
        <f t="shared" si="144"/>
        <v>NW</v>
      </c>
      <c r="AC255" t="str">
        <f t="shared" si="143"/>
        <v>NW</v>
      </c>
    </row>
    <row r="256" spans="1:29">
      <c r="A256" s="3" t="s">
        <v>285</v>
      </c>
      <c r="B256" s="4" t="s">
        <v>288</v>
      </c>
      <c r="C256" s="15" t="str">
        <f t="shared" si="158"/>
        <v>S</v>
      </c>
      <c r="D256" s="15" t="str">
        <f t="shared" si="159"/>
        <v>S</v>
      </c>
      <c r="E256" s="15" t="str">
        <f t="shared" si="160"/>
        <v>S</v>
      </c>
      <c r="F256" s="15" t="str">
        <f t="shared" si="161"/>
        <v>S</v>
      </c>
      <c r="G256" s="15" t="str">
        <f t="shared" si="162"/>
        <v>S</v>
      </c>
      <c r="H256" s="15" t="str">
        <f t="shared" si="163"/>
        <v>S</v>
      </c>
      <c r="I256" s="15" t="str">
        <f t="shared" si="164"/>
        <v>S</v>
      </c>
      <c r="J256" s="15" t="str">
        <f t="shared" si="165"/>
        <v>S</v>
      </c>
      <c r="K256" s="15" t="str">
        <f t="shared" si="166"/>
        <v>S</v>
      </c>
      <c r="L256" s="15" t="str">
        <f t="shared" si="167"/>
        <v>S</v>
      </c>
      <c r="M256" s="15" t="str">
        <f t="shared" si="168"/>
        <v>S</v>
      </c>
      <c r="N256" s="15" t="str">
        <f t="shared" si="169"/>
        <v>S</v>
      </c>
      <c r="O256" s="15" t="str">
        <f t="shared" si="170"/>
        <v>S</v>
      </c>
      <c r="Q256" t="str">
        <f t="shared" si="132"/>
        <v>NW</v>
      </c>
      <c r="R256" t="str">
        <f t="shared" si="133"/>
        <v>NW</v>
      </c>
      <c r="S256" t="str">
        <f t="shared" si="134"/>
        <v>NW</v>
      </c>
      <c r="T256" t="str">
        <f t="shared" si="135"/>
        <v>NW</v>
      </c>
      <c r="U256" t="str">
        <f t="shared" si="136"/>
        <v>NW</v>
      </c>
      <c r="V256" t="str">
        <f t="shared" si="137"/>
        <v>NW</v>
      </c>
      <c r="W256" t="str">
        <f t="shared" si="138"/>
        <v>NW</v>
      </c>
      <c r="X256" t="str">
        <f t="shared" si="139"/>
        <v>NW</v>
      </c>
      <c r="Y256" t="str">
        <f t="shared" si="140"/>
        <v>NW</v>
      </c>
      <c r="Z256" t="str">
        <f t="shared" si="141"/>
        <v>NW</v>
      </c>
      <c r="AA256" t="str">
        <f t="shared" si="142"/>
        <v>NW</v>
      </c>
      <c r="AB256" t="str">
        <f t="shared" si="144"/>
        <v>NW</v>
      </c>
      <c r="AC256" t="str">
        <f t="shared" si="143"/>
        <v>NW</v>
      </c>
    </row>
    <row r="257" spans="1:29" ht="22.8">
      <c r="A257" s="3" t="s">
        <v>285</v>
      </c>
      <c r="B257" s="2" t="s">
        <v>289</v>
      </c>
      <c r="C257" s="15" t="str">
        <f t="shared" si="158"/>
        <v>NNW</v>
      </c>
      <c r="D257" s="15" t="str">
        <f t="shared" si="159"/>
        <v>NNW</v>
      </c>
      <c r="E257" s="15" t="str">
        <f t="shared" si="160"/>
        <v>NNW</v>
      </c>
      <c r="F257" s="15" t="str">
        <f t="shared" si="161"/>
        <v>NNW</v>
      </c>
      <c r="G257" s="15" t="str">
        <f t="shared" si="162"/>
        <v>NNW</v>
      </c>
      <c r="H257" s="15" t="str">
        <f t="shared" si="163"/>
        <v>NNW</v>
      </c>
      <c r="I257" s="15" t="str">
        <f t="shared" si="164"/>
        <v>NNW</v>
      </c>
      <c r="J257" s="15" t="str">
        <f t="shared" si="165"/>
        <v>NNW</v>
      </c>
      <c r="K257" s="15" t="str">
        <f t="shared" si="166"/>
        <v>SSE</v>
      </c>
      <c r="L257" s="15" t="str">
        <f t="shared" si="167"/>
        <v>SSE</v>
      </c>
      <c r="M257" s="15" t="str">
        <f t="shared" si="168"/>
        <v>SSE</v>
      </c>
      <c r="N257" s="15" t="str">
        <f t="shared" si="169"/>
        <v>SSE</v>
      </c>
      <c r="O257" s="15" t="str">
        <f t="shared" si="170"/>
        <v>NNW</v>
      </c>
      <c r="Q257" t="str">
        <f t="shared" si="132"/>
        <v>W</v>
      </c>
      <c r="R257" t="str">
        <f t="shared" si="133"/>
        <v>W</v>
      </c>
      <c r="S257" t="str">
        <f t="shared" si="134"/>
        <v>W</v>
      </c>
      <c r="T257" t="str">
        <f t="shared" si="135"/>
        <v>W</v>
      </c>
      <c r="U257" t="str">
        <f t="shared" si="136"/>
        <v>W</v>
      </c>
      <c r="V257" t="str">
        <f t="shared" si="137"/>
        <v>W</v>
      </c>
      <c r="W257" t="str">
        <f t="shared" si="138"/>
        <v>W</v>
      </c>
      <c r="X257" t="str">
        <f t="shared" si="139"/>
        <v>W</v>
      </c>
      <c r="Y257" t="str">
        <f t="shared" si="140"/>
        <v>W</v>
      </c>
      <c r="Z257" t="str">
        <f t="shared" si="141"/>
        <v>W</v>
      </c>
      <c r="AA257" t="str">
        <f t="shared" si="142"/>
        <v>W</v>
      </c>
      <c r="AB257" t="str">
        <f t="shared" si="144"/>
        <v>W</v>
      </c>
      <c r="AC257" t="str">
        <f t="shared" si="143"/>
        <v>W</v>
      </c>
    </row>
    <row r="258" spans="1:29" ht="22.8">
      <c r="A258" s="3" t="s">
        <v>285</v>
      </c>
      <c r="B258" s="2" t="s">
        <v>290</v>
      </c>
      <c r="C258" s="15" t="str">
        <f t="shared" si="158"/>
        <v>N</v>
      </c>
      <c r="D258" s="15" t="str">
        <f t="shared" si="159"/>
        <v>SE</v>
      </c>
      <c r="E258" s="15" t="str">
        <f t="shared" si="160"/>
        <v>SE</v>
      </c>
      <c r="F258" s="15" t="str">
        <f t="shared" si="161"/>
        <v>SE</v>
      </c>
      <c r="G258" s="15" t="str">
        <f t="shared" si="162"/>
        <v>SE</v>
      </c>
      <c r="H258" s="15" t="str">
        <f t="shared" si="163"/>
        <v>SE</v>
      </c>
      <c r="I258" s="15" t="str">
        <f t="shared" si="164"/>
        <v>SE</v>
      </c>
      <c r="J258" s="15" t="str">
        <f t="shared" si="165"/>
        <v>SE</v>
      </c>
      <c r="K258" s="15" t="str">
        <f t="shared" si="166"/>
        <v>SE</v>
      </c>
      <c r="L258" s="15" t="str">
        <f t="shared" si="167"/>
        <v>SE</v>
      </c>
      <c r="M258" s="15" t="str">
        <f t="shared" si="168"/>
        <v>SE</v>
      </c>
      <c r="N258" s="15" t="str">
        <f t="shared" si="169"/>
        <v>N</v>
      </c>
      <c r="O258" s="15" t="str">
        <f t="shared" si="170"/>
        <v>SE</v>
      </c>
      <c r="Q258" t="str">
        <f t="shared" si="132"/>
        <v>W</v>
      </c>
      <c r="R258" t="str">
        <f t="shared" si="133"/>
        <v>W</v>
      </c>
      <c r="S258" t="str">
        <f t="shared" si="134"/>
        <v>W</v>
      </c>
      <c r="T258" t="str">
        <f t="shared" si="135"/>
        <v>W</v>
      </c>
      <c r="U258" t="str">
        <f t="shared" si="136"/>
        <v>W</v>
      </c>
      <c r="V258" t="str">
        <f t="shared" si="137"/>
        <v>W</v>
      </c>
      <c r="W258" t="str">
        <f t="shared" si="138"/>
        <v>W</v>
      </c>
      <c r="X258" t="str">
        <f t="shared" si="139"/>
        <v>W</v>
      </c>
      <c r="Y258" t="str">
        <f t="shared" si="140"/>
        <v>W</v>
      </c>
      <c r="Z258" t="str">
        <f t="shared" si="141"/>
        <v>W</v>
      </c>
      <c r="AA258" t="str">
        <f t="shared" si="142"/>
        <v>W</v>
      </c>
      <c r="AB258" t="str">
        <f t="shared" si="144"/>
        <v>W</v>
      </c>
      <c r="AC258" t="str">
        <f t="shared" si="143"/>
        <v>W</v>
      </c>
    </row>
    <row r="259" spans="1:29">
      <c r="A259" s="3" t="s">
        <v>285</v>
      </c>
      <c r="B259" s="2" t="s">
        <v>291</v>
      </c>
      <c r="C259" s="15" t="str">
        <f t="shared" si="158"/>
        <v>S</v>
      </c>
      <c r="D259" s="15" t="str">
        <f t="shared" si="159"/>
        <v>S</v>
      </c>
      <c r="E259" s="15" t="str">
        <f t="shared" si="160"/>
        <v>S</v>
      </c>
      <c r="F259" s="15" t="str">
        <f t="shared" si="161"/>
        <v>S</v>
      </c>
      <c r="G259" s="15" t="str">
        <f t="shared" si="162"/>
        <v>S</v>
      </c>
      <c r="H259" s="15" t="str">
        <f t="shared" si="163"/>
        <v>S</v>
      </c>
      <c r="I259" s="15" t="str">
        <f t="shared" si="164"/>
        <v>S</v>
      </c>
      <c r="J259" s="15" t="str">
        <f t="shared" si="165"/>
        <v>S</v>
      </c>
      <c r="K259" s="15" t="str">
        <f t="shared" si="166"/>
        <v>S</v>
      </c>
      <c r="L259" s="15" t="str">
        <f t="shared" si="167"/>
        <v>S</v>
      </c>
      <c r="M259" s="15" t="str">
        <f t="shared" si="168"/>
        <v>S</v>
      </c>
      <c r="N259" s="15" t="str">
        <f t="shared" si="169"/>
        <v>S</v>
      </c>
      <c r="O259" s="15" t="str">
        <f t="shared" si="170"/>
        <v>S</v>
      </c>
      <c r="Q259" t="str">
        <f t="shared" si="132"/>
        <v>NW</v>
      </c>
      <c r="R259" t="str">
        <f t="shared" si="133"/>
        <v>NW</v>
      </c>
      <c r="S259" t="str">
        <f t="shared" si="134"/>
        <v>NW</v>
      </c>
      <c r="T259" t="str">
        <f t="shared" si="135"/>
        <v>S</v>
      </c>
      <c r="U259" t="str">
        <f t="shared" si="136"/>
        <v>S</v>
      </c>
      <c r="V259" t="str">
        <f t="shared" si="137"/>
        <v>S</v>
      </c>
      <c r="W259" t="str">
        <f t="shared" si="138"/>
        <v>S</v>
      </c>
      <c r="X259" t="str">
        <f t="shared" si="139"/>
        <v>S</v>
      </c>
      <c r="Y259" t="str">
        <f t="shared" si="140"/>
        <v>S</v>
      </c>
      <c r="Z259" t="str">
        <f t="shared" si="141"/>
        <v>NW</v>
      </c>
      <c r="AA259" t="str">
        <f t="shared" si="142"/>
        <v>NW</v>
      </c>
      <c r="AB259" t="str">
        <f t="shared" si="144"/>
        <v>NW</v>
      </c>
      <c r="AC259" t="str">
        <f t="shared" si="143"/>
        <v>NW</v>
      </c>
    </row>
    <row r="260" spans="1:29">
      <c r="A260" s="3" t="s">
        <v>285</v>
      </c>
      <c r="B260" s="2" t="s">
        <v>292</v>
      </c>
      <c r="C260" s="15" t="str">
        <f t="shared" si="158"/>
        <v>NNE</v>
      </c>
      <c r="D260" s="15" t="str">
        <f t="shared" si="159"/>
        <v>W</v>
      </c>
      <c r="E260" s="15" t="str">
        <f t="shared" si="160"/>
        <v>W</v>
      </c>
      <c r="F260" s="15" t="str">
        <f t="shared" si="161"/>
        <v>W</v>
      </c>
      <c r="G260" s="15" t="str">
        <f t="shared" si="162"/>
        <v>W</v>
      </c>
      <c r="H260" s="15" t="str">
        <f t="shared" si="163"/>
        <v>SE</v>
      </c>
      <c r="I260" s="15" t="str">
        <f t="shared" si="164"/>
        <v>ESE</v>
      </c>
      <c r="J260" s="15" t="str">
        <f t="shared" si="165"/>
        <v>N</v>
      </c>
      <c r="K260" s="15" t="str">
        <f t="shared" si="166"/>
        <v>S</v>
      </c>
      <c r="L260" s="15" t="str">
        <f t="shared" si="167"/>
        <v>N</v>
      </c>
      <c r="M260" s="15" t="str">
        <f t="shared" si="168"/>
        <v>NNE</v>
      </c>
      <c r="N260" s="15" t="str">
        <f t="shared" si="169"/>
        <v>N</v>
      </c>
      <c r="O260" s="15" t="str">
        <f t="shared" si="170"/>
        <v>N</v>
      </c>
      <c r="Q260" t="str">
        <f t="shared" si="132"/>
        <v>NW</v>
      </c>
      <c r="R260" t="str">
        <f t="shared" si="133"/>
        <v>NW</v>
      </c>
      <c r="S260" t="str">
        <f t="shared" si="134"/>
        <v>NW</v>
      </c>
      <c r="T260" t="str">
        <f t="shared" si="135"/>
        <v>S</v>
      </c>
      <c r="U260" t="str">
        <f t="shared" si="136"/>
        <v>S</v>
      </c>
      <c r="V260" t="str">
        <f t="shared" si="137"/>
        <v>S</v>
      </c>
      <c r="W260" t="str">
        <f t="shared" si="138"/>
        <v>S</v>
      </c>
      <c r="X260" t="str">
        <f t="shared" si="139"/>
        <v>S</v>
      </c>
      <c r="Y260" t="str">
        <f t="shared" si="140"/>
        <v>S</v>
      </c>
      <c r="Z260" t="str">
        <f t="shared" si="141"/>
        <v>N</v>
      </c>
      <c r="AA260" t="str">
        <f t="shared" si="142"/>
        <v>NW</v>
      </c>
      <c r="AB260" t="str">
        <f t="shared" si="144"/>
        <v>NW</v>
      </c>
      <c r="AC260" t="str">
        <f t="shared" si="143"/>
        <v>S</v>
      </c>
    </row>
    <row r="261" spans="1:29">
      <c r="A261" s="3" t="s">
        <v>285</v>
      </c>
      <c r="B261" s="2" t="s">
        <v>293</v>
      </c>
      <c r="C261" s="15" t="str">
        <f t="shared" si="158"/>
        <v>N</v>
      </c>
      <c r="D261" s="15" t="str">
        <f t="shared" si="159"/>
        <v>N</v>
      </c>
      <c r="E261" s="15" t="str">
        <f t="shared" si="160"/>
        <v>N</v>
      </c>
      <c r="F261" s="15" t="str">
        <f t="shared" si="161"/>
        <v>N</v>
      </c>
      <c r="G261" s="15" t="str">
        <f t="shared" si="162"/>
        <v>SE</v>
      </c>
      <c r="H261" s="15" t="str">
        <f t="shared" si="163"/>
        <v>SE</v>
      </c>
      <c r="I261" s="15" t="str">
        <f t="shared" si="164"/>
        <v>SE</v>
      </c>
      <c r="J261" s="15" t="str">
        <f t="shared" si="165"/>
        <v>SE</v>
      </c>
      <c r="K261" s="15" t="str">
        <f t="shared" si="166"/>
        <v>SE</v>
      </c>
      <c r="L261" s="15" t="str">
        <f t="shared" si="167"/>
        <v>SE</v>
      </c>
      <c r="M261" s="15" t="str">
        <f t="shared" si="168"/>
        <v>SE</v>
      </c>
      <c r="N261" s="15" t="str">
        <f t="shared" si="169"/>
        <v>SE</v>
      </c>
      <c r="O261" s="15" t="str">
        <f t="shared" si="170"/>
        <v>SE</v>
      </c>
      <c r="Q261" t="str">
        <f t="shared" si="132"/>
        <v>NW</v>
      </c>
      <c r="R261" t="str">
        <f t="shared" si="133"/>
        <v>NW</v>
      </c>
      <c r="S261" t="str">
        <f t="shared" si="134"/>
        <v>NW</v>
      </c>
      <c r="T261" t="str">
        <f t="shared" si="135"/>
        <v>NW</v>
      </c>
      <c r="U261" t="str">
        <f t="shared" si="136"/>
        <v>NW</v>
      </c>
      <c r="V261" t="str">
        <f t="shared" si="137"/>
        <v>NW</v>
      </c>
      <c r="W261" t="str">
        <f t="shared" si="138"/>
        <v>NW</v>
      </c>
      <c r="X261" t="str">
        <f t="shared" si="139"/>
        <v>NW</v>
      </c>
      <c r="Y261" t="str">
        <f t="shared" si="140"/>
        <v>NW</v>
      </c>
      <c r="Z261" t="str">
        <f t="shared" si="141"/>
        <v>NW</v>
      </c>
      <c r="AA261" t="str">
        <f t="shared" si="142"/>
        <v>NW</v>
      </c>
      <c r="AB261" t="str">
        <f t="shared" si="144"/>
        <v>NW</v>
      </c>
      <c r="AC261" t="str">
        <f t="shared" si="143"/>
        <v>NW</v>
      </c>
    </row>
    <row r="262" spans="1:29">
      <c r="A262" s="3" t="s">
        <v>285</v>
      </c>
      <c r="B262" s="2" t="s">
        <v>294</v>
      </c>
      <c r="C262" s="15" t="str">
        <f t="shared" si="158"/>
        <v>SE</v>
      </c>
      <c r="D262" s="15" t="str">
        <f t="shared" si="159"/>
        <v>SE</v>
      </c>
      <c r="E262" s="15" t="str">
        <f t="shared" si="160"/>
        <v>SE</v>
      </c>
      <c r="F262" s="15" t="str">
        <f t="shared" si="161"/>
        <v>SE</v>
      </c>
      <c r="G262" s="15" t="str">
        <f t="shared" si="162"/>
        <v>SE</v>
      </c>
      <c r="H262" s="15" t="str">
        <f t="shared" si="163"/>
        <v>SE</v>
      </c>
      <c r="I262" s="15" t="str">
        <f t="shared" si="164"/>
        <v>SE</v>
      </c>
      <c r="J262" s="15" t="str">
        <f t="shared" si="165"/>
        <v>SE</v>
      </c>
      <c r="K262" s="15" t="str">
        <f t="shared" si="166"/>
        <v>SE</v>
      </c>
      <c r="L262" s="15" t="str">
        <f t="shared" si="167"/>
        <v>SE</v>
      </c>
      <c r="M262" s="15" t="str">
        <f t="shared" si="168"/>
        <v>SE</v>
      </c>
      <c r="N262" s="15" t="str">
        <f t="shared" si="169"/>
        <v>SE</v>
      </c>
      <c r="O262" s="15" t="str">
        <f t="shared" si="170"/>
        <v>SE</v>
      </c>
      <c r="Q262" t="str">
        <f t="shared" si="132"/>
        <v>N</v>
      </c>
      <c r="R262" t="str">
        <f t="shared" si="133"/>
        <v>SE</v>
      </c>
      <c r="S262" t="str">
        <f t="shared" si="134"/>
        <v>SE</v>
      </c>
      <c r="T262" t="str">
        <f t="shared" si="135"/>
        <v>SW</v>
      </c>
      <c r="U262" t="str">
        <f t="shared" si="136"/>
        <v>S</v>
      </c>
      <c r="V262" t="str">
        <f t="shared" si="137"/>
        <v>S</v>
      </c>
      <c r="W262" t="str">
        <f t="shared" si="138"/>
        <v>SE</v>
      </c>
      <c r="X262" t="str">
        <f t="shared" si="139"/>
        <v>S</v>
      </c>
      <c r="Y262" t="str">
        <f t="shared" si="140"/>
        <v>S</v>
      </c>
      <c r="Z262" t="str">
        <f t="shared" si="141"/>
        <v>S</v>
      </c>
      <c r="AA262" t="str">
        <f t="shared" si="142"/>
        <v>SE</v>
      </c>
      <c r="AB262" t="str">
        <f t="shared" si="144"/>
        <v>SE</v>
      </c>
      <c r="AC262" t="str">
        <f t="shared" si="143"/>
        <v>SE</v>
      </c>
    </row>
    <row r="263" spans="1:29">
      <c r="A263" s="3" t="s">
        <v>285</v>
      </c>
      <c r="B263" s="2" t="s">
        <v>295</v>
      </c>
      <c r="C263" s="15" t="str">
        <f t="shared" si="158"/>
        <v>SW</v>
      </c>
      <c r="D263" s="15" t="str">
        <f t="shared" si="159"/>
        <v>WSW</v>
      </c>
      <c r="E263" s="15" t="str">
        <f t="shared" si="160"/>
        <v>S</v>
      </c>
      <c r="F263" s="15" t="str">
        <f t="shared" si="161"/>
        <v>S</v>
      </c>
      <c r="G263" s="15" t="str">
        <f t="shared" si="162"/>
        <v>S</v>
      </c>
      <c r="H263" s="15" t="str">
        <f t="shared" si="163"/>
        <v>S</v>
      </c>
      <c r="I263" s="15" t="str">
        <f t="shared" si="164"/>
        <v>S</v>
      </c>
      <c r="J263" s="15" t="str">
        <f t="shared" si="165"/>
        <v>S</v>
      </c>
      <c r="K263" s="15" t="str">
        <f t="shared" si="166"/>
        <v>S</v>
      </c>
      <c r="L263" s="15" t="str">
        <f t="shared" si="167"/>
        <v>S</v>
      </c>
      <c r="M263" s="15" t="str">
        <f t="shared" si="168"/>
        <v>S</v>
      </c>
      <c r="N263" s="15" t="str">
        <f t="shared" si="169"/>
        <v>WSW</v>
      </c>
      <c r="O263" s="15" t="str">
        <f t="shared" si="170"/>
        <v>S</v>
      </c>
      <c r="Q263" t="str">
        <f t="shared" si="132"/>
        <v>N</v>
      </c>
      <c r="R263" t="str">
        <f t="shared" si="133"/>
        <v>N</v>
      </c>
      <c r="S263" t="str">
        <f t="shared" si="134"/>
        <v>N</v>
      </c>
      <c r="T263" t="str">
        <f t="shared" si="135"/>
        <v>SW</v>
      </c>
      <c r="U263" t="str">
        <f t="shared" si="136"/>
        <v>S</v>
      </c>
      <c r="V263" t="str">
        <f t="shared" si="137"/>
        <v>E</v>
      </c>
      <c r="W263" t="str">
        <f t="shared" si="138"/>
        <v>E</v>
      </c>
      <c r="X263" t="str">
        <f t="shared" si="139"/>
        <v>E</v>
      </c>
      <c r="Y263" t="str">
        <f t="shared" si="140"/>
        <v>SE</v>
      </c>
      <c r="Z263" t="str">
        <f t="shared" si="141"/>
        <v>N</v>
      </c>
      <c r="AA263" t="str">
        <f t="shared" si="142"/>
        <v>N</v>
      </c>
      <c r="AB263" t="str">
        <f t="shared" si="144"/>
        <v>N</v>
      </c>
      <c r="AC263" t="str">
        <f t="shared" si="143"/>
        <v>N</v>
      </c>
    </row>
    <row r="264" spans="1:29">
      <c r="A264" s="3" t="s">
        <v>285</v>
      </c>
      <c r="B264" s="2" t="s">
        <v>296</v>
      </c>
      <c r="C264" s="15" t="str">
        <f t="shared" si="158"/>
        <v>S</v>
      </c>
      <c r="D264" s="15" t="str">
        <f t="shared" si="159"/>
        <v>S</v>
      </c>
      <c r="E264" s="15" t="str">
        <f t="shared" si="160"/>
        <v>S</v>
      </c>
      <c r="F264" s="15" t="str">
        <f t="shared" si="161"/>
        <v>S</v>
      </c>
      <c r="G264" s="15" t="str">
        <f t="shared" si="162"/>
        <v>S</v>
      </c>
      <c r="H264" s="15" t="str">
        <f t="shared" si="163"/>
        <v>SSE</v>
      </c>
      <c r="I264" s="15" t="str">
        <f t="shared" si="164"/>
        <v>SSE</v>
      </c>
      <c r="J264" s="15" t="str">
        <f t="shared" si="165"/>
        <v>SSE</v>
      </c>
      <c r="K264" s="15" t="str">
        <f t="shared" si="166"/>
        <v>SSE</v>
      </c>
      <c r="L264" s="15" t="str">
        <f t="shared" si="167"/>
        <v>S</v>
      </c>
      <c r="M264" s="15" t="str">
        <f t="shared" si="168"/>
        <v>S</v>
      </c>
      <c r="N264" s="15" t="str">
        <f t="shared" si="169"/>
        <v>S</v>
      </c>
      <c r="O264" s="15" t="str">
        <f t="shared" si="170"/>
        <v>S</v>
      </c>
      <c r="Q264" t="str">
        <f t="shared" si="132"/>
        <v>W</v>
      </c>
      <c r="R264" t="str">
        <f t="shared" si="133"/>
        <v>W</v>
      </c>
      <c r="S264" t="str">
        <f t="shared" si="134"/>
        <v>W</v>
      </c>
      <c r="T264" t="str">
        <f t="shared" si="135"/>
        <v>SW</v>
      </c>
      <c r="U264" t="str">
        <f t="shared" si="136"/>
        <v>SW</v>
      </c>
      <c r="V264" t="str">
        <f t="shared" si="137"/>
        <v>SW</v>
      </c>
      <c r="W264" t="str">
        <f t="shared" si="138"/>
        <v>SW</v>
      </c>
      <c r="X264" t="str">
        <f t="shared" si="139"/>
        <v>SW</v>
      </c>
      <c r="Y264" t="str">
        <f t="shared" si="140"/>
        <v>SW</v>
      </c>
      <c r="Z264" t="str">
        <f t="shared" si="141"/>
        <v>SW</v>
      </c>
      <c r="AA264" t="str">
        <f t="shared" si="142"/>
        <v>W</v>
      </c>
      <c r="AB264" t="str">
        <f t="shared" si="144"/>
        <v>SW</v>
      </c>
      <c r="AC264" t="str">
        <f t="shared" si="143"/>
        <v>SW</v>
      </c>
    </row>
    <row r="265" spans="1:29">
      <c r="A265" s="3" t="s">
        <v>285</v>
      </c>
      <c r="B265" s="2" t="s">
        <v>297</v>
      </c>
      <c r="C265" s="15" t="str">
        <f t="shared" si="158"/>
        <v>N</v>
      </c>
      <c r="D265" s="15" t="str">
        <f t="shared" si="159"/>
        <v>N</v>
      </c>
      <c r="E265" s="15" t="str">
        <f t="shared" si="160"/>
        <v>N</v>
      </c>
      <c r="F265" s="15" t="str">
        <f t="shared" si="161"/>
        <v>N</v>
      </c>
      <c r="G265" s="15" t="str">
        <f t="shared" si="162"/>
        <v>N</v>
      </c>
      <c r="H265" s="15" t="str">
        <f t="shared" si="163"/>
        <v>N</v>
      </c>
      <c r="I265" s="15" t="str">
        <f t="shared" si="164"/>
        <v>N</v>
      </c>
      <c r="J265" s="15" t="str">
        <f t="shared" si="165"/>
        <v>N</v>
      </c>
      <c r="K265" s="15" t="str">
        <f t="shared" si="166"/>
        <v>S</v>
      </c>
      <c r="L265" s="15" t="str">
        <f t="shared" si="167"/>
        <v>S</v>
      </c>
      <c r="M265" s="15" t="str">
        <f t="shared" si="168"/>
        <v>S</v>
      </c>
      <c r="N265" s="15" t="str">
        <f t="shared" si="169"/>
        <v>S</v>
      </c>
      <c r="O265" s="15" t="str">
        <f t="shared" si="170"/>
        <v>N</v>
      </c>
      <c r="Q265" t="str">
        <f t="shared" si="132"/>
        <v>W</v>
      </c>
      <c r="R265" t="str">
        <f t="shared" si="133"/>
        <v>W</v>
      </c>
      <c r="S265" t="str">
        <f t="shared" si="134"/>
        <v>W</v>
      </c>
      <c r="T265" t="str">
        <f t="shared" si="135"/>
        <v>W</v>
      </c>
      <c r="U265" t="str">
        <f t="shared" si="136"/>
        <v>W</v>
      </c>
      <c r="V265" t="str">
        <f t="shared" si="137"/>
        <v>S</v>
      </c>
      <c r="W265" t="str">
        <f t="shared" si="138"/>
        <v>S</v>
      </c>
      <c r="X265" t="str">
        <f t="shared" si="139"/>
        <v>SE</v>
      </c>
      <c r="Y265" t="str">
        <f t="shared" si="140"/>
        <v>SW</v>
      </c>
      <c r="Z265" t="str">
        <f t="shared" si="141"/>
        <v>SW</v>
      </c>
      <c r="AA265" t="str">
        <f t="shared" si="142"/>
        <v>W</v>
      </c>
      <c r="AB265" t="str">
        <f t="shared" si="144"/>
        <v>W</v>
      </c>
      <c r="AC265" t="str">
        <f t="shared" si="143"/>
        <v>W</v>
      </c>
    </row>
    <row r="266" spans="1:29" ht="22.8">
      <c r="A266" s="3" t="s">
        <v>285</v>
      </c>
      <c r="B266" s="2" t="s">
        <v>298</v>
      </c>
      <c r="C266" s="15" t="str">
        <f t="shared" si="158"/>
        <v>SSW</v>
      </c>
      <c r="D266" s="15" t="str">
        <f t="shared" si="159"/>
        <v>SSW</v>
      </c>
      <c r="E266" s="15" t="str">
        <f t="shared" si="160"/>
        <v>S</v>
      </c>
      <c r="F266" s="15" t="str">
        <f t="shared" si="161"/>
        <v>S</v>
      </c>
      <c r="G266" s="15" t="str">
        <f t="shared" si="162"/>
        <v>S</v>
      </c>
      <c r="H266" s="15" t="str">
        <f t="shared" si="163"/>
        <v>S</v>
      </c>
      <c r="I266" s="15" t="str">
        <f t="shared" si="164"/>
        <v>S</v>
      </c>
      <c r="J266" s="15" t="str">
        <f t="shared" si="165"/>
        <v>S</v>
      </c>
      <c r="K266" s="15" t="str">
        <f t="shared" si="166"/>
        <v>S</v>
      </c>
      <c r="L266" s="15" t="str">
        <f t="shared" si="167"/>
        <v>S</v>
      </c>
      <c r="M266" s="15" t="str">
        <f t="shared" si="168"/>
        <v>S</v>
      </c>
      <c r="N266" s="15" t="str">
        <f t="shared" si="169"/>
        <v>SSW</v>
      </c>
      <c r="O266" s="15" t="str">
        <f t="shared" si="170"/>
        <v>S</v>
      </c>
      <c r="Q266" t="str">
        <f t="shared" si="132"/>
        <v>S</v>
      </c>
      <c r="R266" t="str">
        <f t="shared" si="133"/>
        <v>S</v>
      </c>
      <c r="S266" t="str">
        <f t="shared" si="134"/>
        <v>S</v>
      </c>
      <c r="T266" t="str">
        <f t="shared" si="135"/>
        <v>S</v>
      </c>
      <c r="U266" t="str">
        <f t="shared" si="136"/>
        <v>S</v>
      </c>
      <c r="V266" t="str">
        <f t="shared" si="137"/>
        <v>SE</v>
      </c>
      <c r="W266" t="str">
        <f t="shared" si="138"/>
        <v>SE</v>
      </c>
      <c r="X266" t="str">
        <f t="shared" si="139"/>
        <v>SE</v>
      </c>
      <c r="Y266" t="str">
        <f t="shared" si="140"/>
        <v>S</v>
      </c>
      <c r="Z266" t="str">
        <f t="shared" si="141"/>
        <v>SE</v>
      </c>
      <c r="AA266" t="str">
        <f t="shared" si="142"/>
        <v>S</v>
      </c>
      <c r="AB266" t="str">
        <f t="shared" si="144"/>
        <v>S</v>
      </c>
      <c r="AC266" t="str">
        <f t="shared" si="143"/>
        <v>S</v>
      </c>
    </row>
    <row r="267" spans="1:29" ht="22.8">
      <c r="A267" s="3" t="s">
        <v>285</v>
      </c>
      <c r="B267" s="2" t="s">
        <v>299</v>
      </c>
      <c r="C267" s="15" t="str">
        <f t="shared" si="158"/>
        <v>N</v>
      </c>
      <c r="D267" s="15" t="str">
        <f t="shared" si="159"/>
        <v>N</v>
      </c>
      <c r="E267" s="15" t="str">
        <f t="shared" si="160"/>
        <v>SE</v>
      </c>
      <c r="F267" s="15" t="str">
        <f t="shared" si="161"/>
        <v>SE</v>
      </c>
      <c r="G267" s="15" t="str">
        <f t="shared" si="162"/>
        <v>SE</v>
      </c>
      <c r="H267" s="15" t="str">
        <f t="shared" si="163"/>
        <v>SE</v>
      </c>
      <c r="I267" s="15" t="str">
        <f t="shared" si="164"/>
        <v>SSE</v>
      </c>
      <c r="J267" s="15" t="str">
        <f t="shared" si="165"/>
        <v>SSE</v>
      </c>
      <c r="K267" s="15" t="str">
        <f t="shared" si="166"/>
        <v>SE</v>
      </c>
      <c r="L267" s="15" t="str">
        <f t="shared" si="167"/>
        <v>SSE</v>
      </c>
      <c r="M267" s="15" t="str">
        <f t="shared" si="168"/>
        <v>N</v>
      </c>
      <c r="N267" s="15" t="str">
        <f t="shared" si="169"/>
        <v>N</v>
      </c>
      <c r="O267" s="15" t="str">
        <f t="shared" si="170"/>
        <v>SSE</v>
      </c>
      <c r="Q267" t="str">
        <f t="shared" si="132"/>
        <v>NW</v>
      </c>
      <c r="R267" t="str">
        <f t="shared" si="133"/>
        <v>NW</v>
      </c>
      <c r="S267" t="str">
        <f t="shared" si="134"/>
        <v>NW</v>
      </c>
      <c r="T267" t="str">
        <f t="shared" si="135"/>
        <v>NW</v>
      </c>
      <c r="U267" t="str">
        <f t="shared" si="136"/>
        <v>S</v>
      </c>
      <c r="V267" t="str">
        <f t="shared" si="137"/>
        <v>S</v>
      </c>
      <c r="W267" t="str">
        <f t="shared" si="138"/>
        <v>S</v>
      </c>
      <c r="X267" t="str">
        <f t="shared" si="139"/>
        <v>S</v>
      </c>
      <c r="Y267" t="str">
        <f t="shared" si="140"/>
        <v>S</v>
      </c>
      <c r="Z267" t="str">
        <f t="shared" si="141"/>
        <v>S</v>
      </c>
      <c r="AA267" t="str">
        <f t="shared" si="142"/>
        <v>S</v>
      </c>
      <c r="AB267" t="str">
        <f t="shared" si="144"/>
        <v>NW</v>
      </c>
      <c r="AC267" t="str">
        <f t="shared" si="143"/>
        <v>S</v>
      </c>
    </row>
    <row r="268" spans="1:29">
      <c r="A268" s="3" t="s">
        <v>285</v>
      </c>
      <c r="B268" s="2" t="s">
        <v>300</v>
      </c>
      <c r="C268" s="15" t="str">
        <f t="shared" si="158"/>
        <v>S</v>
      </c>
      <c r="D268" s="15" t="str">
        <f t="shared" si="159"/>
        <v>S</v>
      </c>
      <c r="E268" s="15" t="str">
        <f t="shared" si="160"/>
        <v>SSE</v>
      </c>
      <c r="F268" s="15" t="str">
        <f t="shared" si="161"/>
        <v>SSE</v>
      </c>
      <c r="G268" s="15" t="str">
        <f t="shared" si="162"/>
        <v>SSE</v>
      </c>
      <c r="H268" s="15" t="str">
        <f t="shared" si="163"/>
        <v>SSE</v>
      </c>
      <c r="I268" s="15" t="str">
        <f t="shared" si="164"/>
        <v>S</v>
      </c>
      <c r="J268" s="15" t="str">
        <f t="shared" si="165"/>
        <v>SSE</v>
      </c>
      <c r="K268" s="15" t="str">
        <f t="shared" si="166"/>
        <v>SSE</v>
      </c>
      <c r="L268" s="15" t="str">
        <f t="shared" si="167"/>
        <v>SSE</v>
      </c>
      <c r="M268" s="15" t="str">
        <f t="shared" si="168"/>
        <v>S</v>
      </c>
      <c r="N268" s="15" t="str">
        <f t="shared" si="169"/>
        <v>S</v>
      </c>
      <c r="O268" s="15" t="str">
        <f t="shared" si="170"/>
        <v>SSE</v>
      </c>
      <c r="Q268" t="str">
        <f t="shared" si="132"/>
        <v>NW</v>
      </c>
      <c r="R268" t="str">
        <f t="shared" si="133"/>
        <v>NW</v>
      </c>
      <c r="S268" t="str">
        <f t="shared" si="134"/>
        <v>NW</v>
      </c>
      <c r="T268" t="str">
        <f t="shared" si="135"/>
        <v>NW</v>
      </c>
      <c r="U268" t="str">
        <f t="shared" si="136"/>
        <v>NW</v>
      </c>
      <c r="V268" t="str">
        <f t="shared" si="137"/>
        <v>SW</v>
      </c>
      <c r="W268" t="str">
        <f t="shared" si="138"/>
        <v>SW</v>
      </c>
      <c r="X268" t="str">
        <f t="shared" si="139"/>
        <v>SW</v>
      </c>
      <c r="Y268" t="str">
        <f t="shared" si="140"/>
        <v>S</v>
      </c>
      <c r="Z268" t="str">
        <f t="shared" si="141"/>
        <v>S</v>
      </c>
      <c r="AA268" t="str">
        <f t="shared" si="142"/>
        <v>NW</v>
      </c>
      <c r="AB268" t="str">
        <f t="shared" si="144"/>
        <v>NW</v>
      </c>
      <c r="AC268" t="str">
        <f t="shared" si="143"/>
        <v>NW</v>
      </c>
    </row>
    <row r="269" spans="1:29">
      <c r="A269" s="3" t="s">
        <v>285</v>
      </c>
      <c r="B269" s="2" t="s">
        <v>301</v>
      </c>
      <c r="C269" s="15" t="str">
        <f t="shared" si="158"/>
        <v>S</v>
      </c>
      <c r="D269" s="15" t="str">
        <f t="shared" si="159"/>
        <v>S</v>
      </c>
      <c r="E269" s="15" t="str">
        <f t="shared" si="160"/>
        <v>S</v>
      </c>
      <c r="F269" s="15" t="str">
        <f t="shared" si="161"/>
        <v>S</v>
      </c>
      <c r="G269" s="15" t="str">
        <f t="shared" si="162"/>
        <v>S</v>
      </c>
      <c r="H269" s="15" t="str">
        <f t="shared" si="163"/>
        <v>S</v>
      </c>
      <c r="I269" s="15" t="str">
        <f t="shared" si="164"/>
        <v>S</v>
      </c>
      <c r="J269" s="15" t="str">
        <f t="shared" si="165"/>
        <v>S</v>
      </c>
      <c r="K269" s="15" t="str">
        <f t="shared" si="166"/>
        <v>S</v>
      </c>
      <c r="L269" s="15" t="str">
        <f t="shared" si="167"/>
        <v>S</v>
      </c>
      <c r="M269" s="15" t="str">
        <f t="shared" si="168"/>
        <v>S</v>
      </c>
      <c r="N269" s="15" t="str">
        <f t="shared" si="169"/>
        <v>S</v>
      </c>
      <c r="O269" s="15" t="str">
        <f t="shared" si="170"/>
        <v>S</v>
      </c>
      <c r="Q269" t="str">
        <f t="shared" si="132"/>
        <v>W</v>
      </c>
      <c r="R269" t="str">
        <f t="shared" si="133"/>
        <v>SW</v>
      </c>
      <c r="S269" t="str">
        <f t="shared" si="134"/>
        <v>SW</v>
      </c>
      <c r="T269" t="str">
        <f t="shared" si="135"/>
        <v>SW</v>
      </c>
      <c r="U269" t="str">
        <f t="shared" si="136"/>
        <v>SW</v>
      </c>
      <c r="V269" t="str">
        <f t="shared" si="137"/>
        <v>SW</v>
      </c>
      <c r="W269" t="str">
        <f t="shared" si="138"/>
        <v>SW</v>
      </c>
      <c r="X269" t="str">
        <f t="shared" si="139"/>
        <v>SW</v>
      </c>
      <c r="Y269" t="str">
        <f t="shared" si="140"/>
        <v>SW</v>
      </c>
      <c r="Z269" t="str">
        <f t="shared" si="141"/>
        <v>SW</v>
      </c>
      <c r="AA269" t="str">
        <f t="shared" si="142"/>
        <v>W</v>
      </c>
      <c r="AB269" t="str">
        <f t="shared" si="144"/>
        <v>W</v>
      </c>
      <c r="AC269" t="str">
        <f t="shared" si="143"/>
        <v>SW</v>
      </c>
    </row>
    <row r="270" spans="1:29" ht="22.8">
      <c r="A270" s="3" t="s">
        <v>285</v>
      </c>
      <c r="B270" s="4" t="s">
        <v>302</v>
      </c>
      <c r="C270" s="15" t="str">
        <f t="shared" si="158"/>
        <v>N</v>
      </c>
      <c r="D270" s="15" t="str">
        <f t="shared" si="159"/>
        <v>N</v>
      </c>
      <c r="E270" s="15" t="str">
        <f t="shared" si="160"/>
        <v>N</v>
      </c>
      <c r="F270" s="15" t="str">
        <f t="shared" si="161"/>
        <v>N</v>
      </c>
      <c r="G270" s="15" t="str">
        <f t="shared" si="162"/>
        <v>S</v>
      </c>
      <c r="H270" s="15" t="str">
        <f t="shared" si="163"/>
        <v>S</v>
      </c>
      <c r="I270" s="15" t="str">
        <f t="shared" si="164"/>
        <v>S</v>
      </c>
      <c r="J270" s="15" t="str">
        <f t="shared" si="165"/>
        <v>S</v>
      </c>
      <c r="K270" s="15" t="str">
        <f t="shared" si="166"/>
        <v>SE</v>
      </c>
      <c r="L270" s="15" t="str">
        <f t="shared" si="167"/>
        <v>SE</v>
      </c>
      <c r="M270" s="15" t="str">
        <f t="shared" si="168"/>
        <v>S</v>
      </c>
      <c r="N270" s="15" t="str">
        <f t="shared" si="169"/>
        <v>S</v>
      </c>
      <c r="O270" s="15" t="str">
        <f t="shared" si="170"/>
        <v>S</v>
      </c>
      <c r="Q270" t="str">
        <f t="shared" si="132"/>
        <v>NW</v>
      </c>
      <c r="R270" t="str">
        <f t="shared" si="133"/>
        <v>NW</v>
      </c>
      <c r="S270" t="str">
        <f t="shared" si="134"/>
        <v>NW</v>
      </c>
      <c r="T270" t="str">
        <f t="shared" si="135"/>
        <v>NW</v>
      </c>
      <c r="U270" t="str">
        <f t="shared" si="136"/>
        <v>NW</v>
      </c>
      <c r="V270" t="str">
        <f t="shared" si="137"/>
        <v>NW</v>
      </c>
      <c r="W270" t="str">
        <f t="shared" si="138"/>
        <v>NW</v>
      </c>
      <c r="X270" t="str">
        <f t="shared" si="139"/>
        <v>NW</v>
      </c>
      <c r="Y270" t="str">
        <f t="shared" si="140"/>
        <v>NW</v>
      </c>
      <c r="Z270" t="str">
        <f t="shared" si="141"/>
        <v>SW</v>
      </c>
      <c r="AA270" t="str">
        <f t="shared" si="142"/>
        <v>SW</v>
      </c>
      <c r="AB270" t="str">
        <f t="shared" si="144"/>
        <v>SW</v>
      </c>
      <c r="AC270" t="str">
        <f t="shared" si="143"/>
        <v>NW</v>
      </c>
    </row>
    <row r="271" spans="1:29" ht="22.8">
      <c r="A271" s="2" t="s">
        <v>303</v>
      </c>
      <c r="B271" s="2" t="s">
        <v>304</v>
      </c>
      <c r="C271" s="15" t="str">
        <f t="shared" si="158"/>
        <v>SE</v>
      </c>
      <c r="D271" s="15" t="str">
        <f t="shared" si="159"/>
        <v>SE</v>
      </c>
      <c r="E271" s="15" t="str">
        <f t="shared" si="160"/>
        <v>SE</v>
      </c>
      <c r="F271" s="15" t="str">
        <f t="shared" si="161"/>
        <v>SE</v>
      </c>
      <c r="G271" s="15" t="str">
        <f t="shared" si="162"/>
        <v>SSE</v>
      </c>
      <c r="H271" s="15" t="str">
        <f t="shared" si="163"/>
        <v>SSE</v>
      </c>
      <c r="I271" s="15" t="str">
        <f t="shared" si="164"/>
        <v>SSE</v>
      </c>
      <c r="J271" s="15" t="str">
        <f t="shared" si="165"/>
        <v>SSE</v>
      </c>
      <c r="K271" s="15" t="str">
        <f t="shared" si="166"/>
        <v>SSE</v>
      </c>
      <c r="L271" s="15" t="str">
        <f t="shared" si="167"/>
        <v>SSE</v>
      </c>
      <c r="M271" s="15" t="str">
        <f t="shared" si="168"/>
        <v>SSE</v>
      </c>
      <c r="N271" s="15" t="str">
        <f t="shared" si="169"/>
        <v>SSE</v>
      </c>
      <c r="O271" s="15" t="str">
        <f t="shared" si="170"/>
        <v>SSE</v>
      </c>
      <c r="Q271" t="str">
        <f t="shared" si="132"/>
        <v>W</v>
      </c>
      <c r="R271" t="str">
        <f t="shared" si="133"/>
        <v>W</v>
      </c>
      <c r="S271" t="str">
        <f t="shared" si="134"/>
        <v>NW</v>
      </c>
      <c r="T271" t="str">
        <f t="shared" si="135"/>
        <v>W</v>
      </c>
      <c r="U271" t="str">
        <f t="shared" si="136"/>
        <v>SW</v>
      </c>
      <c r="V271" t="str">
        <f t="shared" si="137"/>
        <v>SW</v>
      </c>
      <c r="W271" t="str">
        <f t="shared" si="138"/>
        <v>SW</v>
      </c>
      <c r="X271" t="str">
        <f t="shared" si="139"/>
        <v>SW</v>
      </c>
      <c r="Y271" t="str">
        <f t="shared" si="140"/>
        <v>SW</v>
      </c>
      <c r="Z271" t="str">
        <f t="shared" si="141"/>
        <v>W</v>
      </c>
      <c r="AA271" t="str">
        <f t="shared" si="142"/>
        <v>W</v>
      </c>
      <c r="AB271" t="str">
        <f t="shared" si="144"/>
        <v>W</v>
      </c>
      <c r="AC271" t="str">
        <f t="shared" si="143"/>
        <v>W</v>
      </c>
    </row>
    <row r="272" spans="1:29">
      <c r="A272" s="2" t="s">
        <v>303</v>
      </c>
      <c r="B272" s="2" t="s">
        <v>305</v>
      </c>
      <c r="C272" s="15" t="str">
        <f t="shared" si="158"/>
        <v>ENE</v>
      </c>
      <c r="D272" s="15" t="str">
        <f t="shared" si="159"/>
        <v>ENE</v>
      </c>
      <c r="E272" s="15" t="str">
        <f t="shared" si="160"/>
        <v>WNW</v>
      </c>
      <c r="F272" s="15" t="str">
        <f t="shared" si="161"/>
        <v>WNW</v>
      </c>
      <c r="G272" s="15" t="str">
        <f t="shared" si="162"/>
        <v>WNW</v>
      </c>
      <c r="H272" s="15" t="str">
        <f t="shared" si="163"/>
        <v>E</v>
      </c>
      <c r="I272" s="15" t="str">
        <f t="shared" si="164"/>
        <v>ESE</v>
      </c>
      <c r="J272" s="15" t="str">
        <f t="shared" si="165"/>
        <v>ESE</v>
      </c>
      <c r="K272" s="15" t="str">
        <f t="shared" si="166"/>
        <v>ESE</v>
      </c>
      <c r="L272" s="15" t="str">
        <f t="shared" si="167"/>
        <v>ESE</v>
      </c>
      <c r="M272" s="15" t="str">
        <f t="shared" si="168"/>
        <v>W</v>
      </c>
      <c r="N272" s="15" t="str">
        <f t="shared" si="169"/>
        <v>ENE</v>
      </c>
      <c r="O272" s="15" t="str">
        <f t="shared" si="170"/>
        <v>E</v>
      </c>
      <c r="Q272" t="str">
        <f t="shared" si="132"/>
        <v>NW</v>
      </c>
      <c r="R272" t="str">
        <f t="shared" si="133"/>
        <v>NW</v>
      </c>
      <c r="S272" t="str">
        <f t="shared" si="134"/>
        <v>NW</v>
      </c>
      <c r="T272" t="str">
        <f t="shared" si="135"/>
        <v>NW</v>
      </c>
      <c r="U272" t="str">
        <f t="shared" si="136"/>
        <v>SW</v>
      </c>
      <c r="V272" t="str">
        <f t="shared" si="137"/>
        <v>SW</v>
      </c>
      <c r="W272" t="str">
        <f t="shared" si="138"/>
        <v>SW</v>
      </c>
      <c r="X272" t="str">
        <f t="shared" si="139"/>
        <v>SW</v>
      </c>
      <c r="Y272" t="str">
        <f t="shared" si="140"/>
        <v>SW</v>
      </c>
      <c r="Z272" t="str">
        <f t="shared" si="141"/>
        <v>W</v>
      </c>
      <c r="AA272" t="str">
        <f t="shared" si="142"/>
        <v>W</v>
      </c>
      <c r="AB272" t="str">
        <f t="shared" si="144"/>
        <v>NW</v>
      </c>
      <c r="AC272" t="str">
        <f t="shared" si="143"/>
        <v>NW</v>
      </c>
    </row>
    <row r="273" spans="1:29">
      <c r="A273" s="3" t="s">
        <v>306</v>
      </c>
      <c r="B273" s="4" t="s">
        <v>307</v>
      </c>
      <c r="C273" s="15" t="str">
        <f t="shared" si="158"/>
        <v>S</v>
      </c>
      <c r="D273" s="15" t="str">
        <f t="shared" si="159"/>
        <v>S</v>
      </c>
      <c r="E273" s="15" t="str">
        <f t="shared" si="160"/>
        <v>S</v>
      </c>
      <c r="F273" s="15" t="str">
        <f t="shared" si="161"/>
        <v>S</v>
      </c>
      <c r="G273" s="15" t="str">
        <f t="shared" si="162"/>
        <v>S</v>
      </c>
      <c r="H273" s="15" t="str">
        <f t="shared" si="163"/>
        <v>S</v>
      </c>
      <c r="I273" s="15" t="str">
        <f t="shared" si="164"/>
        <v>S</v>
      </c>
      <c r="J273" s="15" t="str">
        <f t="shared" si="165"/>
        <v>S</v>
      </c>
      <c r="K273" s="15" t="str">
        <f t="shared" si="166"/>
        <v>S</v>
      </c>
      <c r="L273" s="15" t="str">
        <f t="shared" si="167"/>
        <v>S</v>
      </c>
      <c r="M273" s="15" t="str">
        <f t="shared" si="168"/>
        <v>S</v>
      </c>
      <c r="N273" s="15" t="str">
        <f t="shared" si="169"/>
        <v>S</v>
      </c>
      <c r="O273" s="15" t="str">
        <f t="shared" si="170"/>
        <v>S</v>
      </c>
      <c r="Q273" t="str">
        <f t="shared" si="132"/>
        <v>W</v>
      </c>
      <c r="R273" t="str">
        <f t="shared" si="133"/>
        <v>SW</v>
      </c>
      <c r="S273" t="str">
        <f t="shared" si="134"/>
        <v>SW</v>
      </c>
      <c r="T273" t="str">
        <f t="shared" si="135"/>
        <v>SW</v>
      </c>
      <c r="U273" t="str">
        <f t="shared" si="136"/>
        <v>SW</v>
      </c>
      <c r="V273" t="str">
        <f t="shared" si="137"/>
        <v>SW</v>
      </c>
      <c r="W273" t="str">
        <f t="shared" si="138"/>
        <v>SW</v>
      </c>
      <c r="X273" t="str">
        <f t="shared" si="139"/>
        <v>SW</v>
      </c>
      <c r="Y273" t="str">
        <f t="shared" si="140"/>
        <v>SW</v>
      </c>
      <c r="Z273" t="str">
        <f t="shared" si="141"/>
        <v>W</v>
      </c>
      <c r="AA273" t="str">
        <f t="shared" si="142"/>
        <v>W</v>
      </c>
      <c r="AB273" t="str">
        <f t="shared" si="144"/>
        <v>W</v>
      </c>
      <c r="AC273" t="str">
        <f t="shared" si="143"/>
        <v>SW</v>
      </c>
    </row>
    <row r="274" spans="1:29">
      <c r="A274" s="3" t="s">
        <v>308</v>
      </c>
      <c r="B274" s="4" t="s">
        <v>309</v>
      </c>
      <c r="C274" s="15" t="str">
        <f t="shared" si="158"/>
        <v>N</v>
      </c>
      <c r="D274" s="15" t="str">
        <f t="shared" si="159"/>
        <v>N</v>
      </c>
      <c r="E274" s="15" t="str">
        <f t="shared" si="160"/>
        <v>N</v>
      </c>
      <c r="F274" s="15" t="str">
        <f t="shared" si="161"/>
        <v>SSW</v>
      </c>
      <c r="G274" s="15" t="str">
        <f t="shared" si="162"/>
        <v>SSW</v>
      </c>
      <c r="H274" s="15" t="str">
        <f t="shared" si="163"/>
        <v>SSW</v>
      </c>
      <c r="I274" s="15" t="str">
        <f t="shared" si="164"/>
        <v>SW</v>
      </c>
      <c r="J274" s="15" t="str">
        <f t="shared" si="165"/>
        <v>SW</v>
      </c>
      <c r="K274" s="15" t="str">
        <f t="shared" si="166"/>
        <v>N</v>
      </c>
      <c r="L274" s="15" t="str">
        <f t="shared" si="167"/>
        <v>N</v>
      </c>
      <c r="M274" s="15" t="str">
        <f t="shared" si="168"/>
        <v>SSW</v>
      </c>
      <c r="N274" s="15" t="str">
        <f t="shared" si="169"/>
        <v>N</v>
      </c>
      <c r="O274" s="15" t="str">
        <f t="shared" si="170"/>
        <v>SSW</v>
      </c>
      <c r="Q274" t="str">
        <f t="shared" si="132"/>
        <v>W</v>
      </c>
      <c r="R274" t="str">
        <f t="shared" si="133"/>
        <v>SW</v>
      </c>
      <c r="S274" t="str">
        <f t="shared" si="134"/>
        <v>SW</v>
      </c>
      <c r="T274" t="str">
        <f t="shared" si="135"/>
        <v>SW</v>
      </c>
      <c r="U274" t="str">
        <f t="shared" si="136"/>
        <v>SW</v>
      </c>
      <c r="V274" t="str">
        <f t="shared" si="137"/>
        <v>SW</v>
      </c>
      <c r="W274" t="str">
        <f t="shared" si="138"/>
        <v>SW</v>
      </c>
      <c r="X274" t="str">
        <f t="shared" si="139"/>
        <v>SW</v>
      </c>
      <c r="Y274" t="str">
        <f t="shared" si="140"/>
        <v>SW</v>
      </c>
      <c r="Z274" t="str">
        <f t="shared" si="141"/>
        <v>W</v>
      </c>
      <c r="AA274" t="str">
        <f t="shared" si="142"/>
        <v>W</v>
      </c>
      <c r="AB274" t="str">
        <f t="shared" si="144"/>
        <v>W</v>
      </c>
      <c r="AC274" t="str">
        <f t="shared" si="143"/>
        <v>SW</v>
      </c>
    </row>
    <row r="275" spans="1:29">
      <c r="A275" s="3" t="s">
        <v>308</v>
      </c>
      <c r="B275" s="2" t="s">
        <v>310</v>
      </c>
      <c r="C275" s="15" t="str">
        <f t="shared" si="158"/>
        <v>SW</v>
      </c>
      <c r="D275" s="15" t="str">
        <f t="shared" si="159"/>
        <v>W</v>
      </c>
      <c r="E275" s="15" t="str">
        <f t="shared" si="160"/>
        <v>SW</v>
      </c>
      <c r="F275" s="15" t="str">
        <f t="shared" si="161"/>
        <v>SW</v>
      </c>
      <c r="G275" s="15" t="str">
        <f t="shared" si="162"/>
        <v>SW</v>
      </c>
      <c r="H275" s="15" t="str">
        <f t="shared" si="163"/>
        <v>SW</v>
      </c>
      <c r="I275" s="15" t="str">
        <f t="shared" si="164"/>
        <v>SW</v>
      </c>
      <c r="J275" s="15" t="str">
        <f t="shared" si="165"/>
        <v>SW</v>
      </c>
      <c r="K275" s="15" t="str">
        <f t="shared" si="166"/>
        <v>N</v>
      </c>
      <c r="L275" s="15" t="str">
        <f t="shared" si="167"/>
        <v>NE</v>
      </c>
      <c r="M275" s="15" t="str">
        <f t="shared" si="168"/>
        <v>SW</v>
      </c>
      <c r="N275" s="15" t="str">
        <f t="shared" si="169"/>
        <v>SW</v>
      </c>
      <c r="O275" s="15" t="str">
        <f t="shared" si="170"/>
        <v>SW</v>
      </c>
      <c r="Q275" t="str">
        <f t="shared" si="132"/>
        <v>NW</v>
      </c>
      <c r="R275" t="str">
        <f t="shared" si="133"/>
        <v>NW</v>
      </c>
      <c r="S275" t="str">
        <f t="shared" si="134"/>
        <v>NW</v>
      </c>
      <c r="T275" t="str">
        <f t="shared" si="135"/>
        <v>NW</v>
      </c>
      <c r="U275" t="str">
        <f t="shared" si="136"/>
        <v>NW</v>
      </c>
      <c r="V275" t="str">
        <f t="shared" si="137"/>
        <v>NW</v>
      </c>
      <c r="W275" t="str">
        <f t="shared" si="138"/>
        <v>NW</v>
      </c>
      <c r="X275" t="str">
        <f t="shared" si="139"/>
        <v>NW</v>
      </c>
      <c r="Y275" t="str">
        <f t="shared" si="140"/>
        <v>NW</v>
      </c>
      <c r="Z275" t="str">
        <f t="shared" si="141"/>
        <v>NW</v>
      </c>
      <c r="AA275" t="str">
        <f t="shared" si="142"/>
        <v>NW</v>
      </c>
      <c r="AB275" t="str">
        <f t="shared" si="144"/>
        <v>NW</v>
      </c>
      <c r="AC275" t="str">
        <f t="shared" si="143"/>
        <v>NW</v>
      </c>
    </row>
    <row r="276" spans="1:29">
      <c r="A276" s="3" t="s">
        <v>308</v>
      </c>
      <c r="B276" s="2" t="s">
        <v>186</v>
      </c>
      <c r="C276" s="15" t="str">
        <f t="shared" si="158"/>
        <v>N</v>
      </c>
      <c r="D276" s="15" t="str">
        <f t="shared" si="159"/>
        <v>N</v>
      </c>
      <c r="E276" s="15" t="str">
        <f t="shared" si="160"/>
        <v>NE</v>
      </c>
      <c r="F276" s="15" t="str">
        <f t="shared" si="161"/>
        <v>S</v>
      </c>
      <c r="G276" s="15" t="str">
        <f t="shared" si="162"/>
        <v>S</v>
      </c>
      <c r="H276" s="15" t="str">
        <f t="shared" si="163"/>
        <v>SSW</v>
      </c>
      <c r="I276" s="15" t="str">
        <f t="shared" si="164"/>
        <v>SW</v>
      </c>
      <c r="J276" s="15" t="str">
        <f t="shared" si="165"/>
        <v>SW</v>
      </c>
      <c r="K276" s="15" t="str">
        <f t="shared" si="166"/>
        <v>NE</v>
      </c>
      <c r="L276" s="15" t="str">
        <f t="shared" si="167"/>
        <v>NE</v>
      </c>
      <c r="M276" s="15" t="str">
        <f t="shared" si="168"/>
        <v>SW</v>
      </c>
      <c r="N276" s="15" t="str">
        <f t="shared" si="169"/>
        <v>N</v>
      </c>
      <c r="O276" s="15" t="str">
        <f t="shared" si="170"/>
        <v>SW</v>
      </c>
      <c r="Q276" t="str">
        <f t="shared" si="132"/>
        <v>NW</v>
      </c>
      <c r="R276" t="str">
        <f t="shared" si="133"/>
        <v>NW</v>
      </c>
      <c r="S276" t="str">
        <f t="shared" si="134"/>
        <v>NW</v>
      </c>
      <c r="T276" t="str">
        <f t="shared" si="135"/>
        <v>NW</v>
      </c>
      <c r="U276" t="str">
        <f t="shared" si="136"/>
        <v>NW</v>
      </c>
      <c r="V276" t="str">
        <f t="shared" si="137"/>
        <v>NW</v>
      </c>
      <c r="W276" t="str">
        <f t="shared" si="138"/>
        <v>NW</v>
      </c>
      <c r="X276" t="str">
        <f t="shared" si="139"/>
        <v>SE</v>
      </c>
      <c r="Y276" t="str">
        <f t="shared" si="140"/>
        <v>SE</v>
      </c>
      <c r="Z276" t="str">
        <f t="shared" si="141"/>
        <v>SE</v>
      </c>
      <c r="AA276" t="str">
        <f t="shared" si="142"/>
        <v>NW</v>
      </c>
      <c r="AB276" t="str">
        <f t="shared" si="144"/>
        <v>SE</v>
      </c>
      <c r="AC276" t="str">
        <f t="shared" si="143"/>
        <v>NW</v>
      </c>
    </row>
    <row r="277" spans="1:29">
      <c r="A277" s="3" t="s">
        <v>308</v>
      </c>
      <c r="B277" s="2" t="s">
        <v>311</v>
      </c>
      <c r="C277" s="15" t="str">
        <f t="shared" si="158"/>
        <v>NW</v>
      </c>
      <c r="D277" s="15" t="str">
        <f t="shared" si="159"/>
        <v>NW</v>
      </c>
      <c r="E277" s="15" t="str">
        <f t="shared" si="160"/>
        <v>NW</v>
      </c>
      <c r="F277" s="15" t="str">
        <f t="shared" si="161"/>
        <v>S</v>
      </c>
      <c r="G277" s="15" t="str">
        <f t="shared" si="162"/>
        <v>S</v>
      </c>
      <c r="H277" s="15" t="str">
        <f t="shared" si="163"/>
        <v>S</v>
      </c>
      <c r="I277" s="15" t="str">
        <f t="shared" si="164"/>
        <v>S</v>
      </c>
      <c r="J277" s="15" t="str">
        <f t="shared" si="165"/>
        <v>S</v>
      </c>
      <c r="K277" s="15" t="str">
        <f t="shared" si="166"/>
        <v>NW</v>
      </c>
      <c r="L277" s="15" t="str">
        <f t="shared" si="167"/>
        <v>NW</v>
      </c>
      <c r="M277" s="15" t="str">
        <f t="shared" si="168"/>
        <v>NW</v>
      </c>
      <c r="N277" s="15" t="str">
        <f t="shared" si="169"/>
        <v>NW</v>
      </c>
      <c r="O277" s="15" t="str">
        <f t="shared" si="170"/>
        <v>NW</v>
      </c>
      <c r="Q277" t="str">
        <f t="shared" si="132"/>
        <v>SW</v>
      </c>
      <c r="R277" t="str">
        <f t="shared" si="133"/>
        <v>SW</v>
      </c>
      <c r="S277" t="str">
        <f t="shared" si="134"/>
        <v>SW</v>
      </c>
      <c r="T277" t="str">
        <f t="shared" si="135"/>
        <v>SW</v>
      </c>
      <c r="U277" t="str">
        <f t="shared" si="136"/>
        <v>W</v>
      </c>
      <c r="V277" t="str">
        <f t="shared" si="137"/>
        <v>W</v>
      </c>
      <c r="W277" t="str">
        <f t="shared" si="138"/>
        <v>NW</v>
      </c>
      <c r="X277" t="str">
        <f t="shared" si="139"/>
        <v>NW</v>
      </c>
      <c r="Y277" t="str">
        <f t="shared" si="140"/>
        <v>NW</v>
      </c>
      <c r="Z277" t="str">
        <f t="shared" si="141"/>
        <v>NW</v>
      </c>
      <c r="AA277" t="str">
        <f t="shared" si="142"/>
        <v>NW</v>
      </c>
      <c r="AB277" t="str">
        <f t="shared" si="144"/>
        <v>NW</v>
      </c>
      <c r="AC277" t="str">
        <f t="shared" si="143"/>
        <v>SW</v>
      </c>
    </row>
    <row r="278" spans="1:29">
      <c r="A278" s="3" t="s">
        <v>308</v>
      </c>
      <c r="B278" s="2" t="s">
        <v>312</v>
      </c>
      <c r="C278" s="15" t="str">
        <f t="shared" si="158"/>
        <v>N</v>
      </c>
      <c r="D278" s="15" t="str">
        <f t="shared" si="159"/>
        <v>N</v>
      </c>
      <c r="E278" s="15" t="str">
        <f t="shared" si="160"/>
        <v>N</v>
      </c>
      <c r="F278" s="15" t="str">
        <f t="shared" si="161"/>
        <v>S</v>
      </c>
      <c r="G278" s="15" t="str">
        <f t="shared" si="162"/>
        <v>S</v>
      </c>
      <c r="H278" s="15" t="str">
        <f t="shared" si="163"/>
        <v>S</v>
      </c>
      <c r="I278" s="15" t="str">
        <f t="shared" si="164"/>
        <v>S</v>
      </c>
      <c r="J278" s="15" t="str">
        <f t="shared" si="165"/>
        <v>S</v>
      </c>
      <c r="K278" s="15" t="str">
        <f t="shared" si="166"/>
        <v>N</v>
      </c>
      <c r="L278" s="15" t="str">
        <f t="shared" si="167"/>
        <v>N</v>
      </c>
      <c r="M278" s="15" t="str">
        <f t="shared" si="168"/>
        <v>N</v>
      </c>
      <c r="N278" s="15" t="str">
        <f t="shared" si="169"/>
        <v>N</v>
      </c>
      <c r="O278" s="15" t="str">
        <f t="shared" si="170"/>
        <v>S</v>
      </c>
      <c r="Q278" t="str">
        <f t="shared" si="132"/>
        <v>NW</v>
      </c>
      <c r="R278" t="str">
        <f t="shared" si="133"/>
        <v>NW</v>
      </c>
      <c r="S278" t="str">
        <f t="shared" si="134"/>
        <v>NW</v>
      </c>
      <c r="T278" t="str">
        <f t="shared" si="135"/>
        <v>SW</v>
      </c>
      <c r="U278" t="str">
        <f t="shared" si="136"/>
        <v>SW</v>
      </c>
      <c r="V278" t="str">
        <f t="shared" si="137"/>
        <v>SW</v>
      </c>
      <c r="W278" t="str">
        <f t="shared" si="138"/>
        <v>SW</v>
      </c>
      <c r="X278" t="str">
        <f t="shared" si="139"/>
        <v>SW</v>
      </c>
      <c r="Y278" t="str">
        <f t="shared" si="140"/>
        <v>SW</v>
      </c>
      <c r="Z278" t="str">
        <f t="shared" si="141"/>
        <v>SW</v>
      </c>
      <c r="AA278" t="str">
        <f t="shared" si="142"/>
        <v>W</v>
      </c>
      <c r="AB278" t="str">
        <f t="shared" si="144"/>
        <v>W</v>
      </c>
      <c r="AC278" t="str">
        <f t="shared" si="143"/>
        <v>SW</v>
      </c>
    </row>
    <row r="279" spans="1:29">
      <c r="A279" s="3" t="s">
        <v>308</v>
      </c>
      <c r="B279" s="2" t="s">
        <v>703</v>
      </c>
      <c r="C279" s="15" t="str">
        <f t="shared" si="158"/>
        <v>WNW</v>
      </c>
      <c r="D279" s="15" t="str">
        <f t="shared" si="159"/>
        <v>WNW</v>
      </c>
      <c r="E279" s="15" t="str">
        <f t="shared" si="160"/>
        <v>WNW</v>
      </c>
      <c r="F279" s="15" t="str">
        <f t="shared" si="161"/>
        <v>WNW</v>
      </c>
      <c r="G279" s="15" t="str">
        <f t="shared" si="162"/>
        <v>WNW</v>
      </c>
      <c r="H279" s="15" t="str">
        <f t="shared" si="163"/>
        <v>WNW</v>
      </c>
      <c r="I279" s="15" t="str">
        <f t="shared" si="164"/>
        <v>WNW</v>
      </c>
      <c r="J279" s="15" t="str">
        <f t="shared" si="165"/>
        <v>WNW</v>
      </c>
      <c r="K279" s="15" t="str">
        <f t="shared" si="166"/>
        <v>WNW</v>
      </c>
      <c r="L279" s="15" t="str">
        <f t="shared" si="167"/>
        <v>WNW</v>
      </c>
      <c r="M279" s="15" t="str">
        <f t="shared" si="168"/>
        <v>WNW</v>
      </c>
      <c r="N279" s="15" t="str">
        <f t="shared" si="169"/>
        <v>WNW</v>
      </c>
      <c r="O279" s="15" t="str">
        <f t="shared" si="170"/>
        <v>WNW</v>
      </c>
      <c r="Q279" t="str">
        <f t="shared" ref="Q279:Q342" si="171">IF(OR(C198="ESE",C198="SSE"),"SE",IF(OR(C198="WSW",C198="SSW"),"SW",IF(OR(C198="WNW",C198="NNW"),"NW",IF(OR(C198="ENE",C198="NNE"),"NE",IF(OR(C198="N",C198="NE",C198="E",C198="SE",C198="S",C198="SW",C198="W",C198="NW"),C198)))))</f>
        <v>NW</v>
      </c>
      <c r="R279" t="str">
        <f t="shared" ref="R279:R342" si="172">IF(OR(D198="ESE",D198="SSE"),"SE",IF(OR(D198="WSW",D198="SSW"),"SW",IF(OR(D198="WNW",D198="NNW"),"NW",IF(OR(D198="ENE",D198="NNE"),"NE",IF(OR(D198="N",D198="NE",D198="E",D198="SE",D198="S",D198="SW",D198="W",D198="NW"),D198)))))</f>
        <v>NW</v>
      </c>
      <c r="S279" t="str">
        <f t="shared" ref="S279:S342" si="173">IF(OR(E198="ESE",E198="SSE"),"SE",IF(OR(E198="WSW",E198="SSW"),"SW",IF(OR(E198="WNW",E198="NNW"),"NW",IF(OR(E198="ENE",E198="NNE"),"NE",IF(OR(E198="N",E198="NE",E198="E",E198="SE",E198="S",E198="SW",E198="W",E198="NW"),E198)))))</f>
        <v>NW</v>
      </c>
      <c r="T279" t="str">
        <f t="shared" ref="T279:T342" si="174">IF(OR(F198="ESE",F198="SSE"),"SE",IF(OR(F198="WSW",F198="SSW"),"SW",IF(OR(F198="WNW",F198="NNW"),"NW",IF(OR(F198="ENE",F198="NNE"),"NE",IF(OR(F198="N",F198="NE",F198="E",F198="SE",F198="S",F198="SW",F198="W",F198="NW"),F198)))))</f>
        <v>NW</v>
      </c>
      <c r="U279" t="str">
        <f t="shared" ref="U279:U342" si="175">IF(OR(G198="ESE",G198="SSE"),"SE",IF(OR(G198="WSW",G198="SSW"),"SW",IF(OR(G198="WNW",G198="NNW"),"NW",IF(OR(G198="ENE",G198="NNE"),"NE",IF(OR(G198="N",G198="NE",G198="E",G198="SE",G198="S",G198="SW",G198="W",G198="NW"),G198)))))</f>
        <v>NW</v>
      </c>
      <c r="V279" t="str">
        <f t="shared" ref="V279:V342" si="176">IF(OR(H198="ESE",H198="SSE"),"SE",IF(OR(H198="WSW",H198="SSW"),"SW",IF(OR(H198="WNW",H198="NNW"),"NW",IF(OR(H198="ENE",H198="NNE"),"NE",IF(OR(H198="N",H198="NE",H198="E",H198="SE",H198="S",H198="SW",H198="W",H198="NW"),H198)))))</f>
        <v>NW</v>
      </c>
      <c r="W279" t="str">
        <f t="shared" ref="W279:W342" si="177">IF(OR(I198="ESE",I198="SSE"),"SE",IF(OR(I198="WSW",I198="SSW"),"SW",IF(OR(I198="WNW",I198="NNW"),"NW",IF(OR(I198="ENE",I198="NNE"),"NE",IF(OR(I198="N",I198="NE",I198="E",I198="SE",I198="S",I198="SW",I198="W",I198="NW"),I198)))))</f>
        <v>NW</v>
      </c>
      <c r="X279" t="str">
        <f t="shared" ref="X279:X342" si="178">IF(OR(J198="ESE",J198="SSE"),"SE",IF(OR(J198="WSW",J198="SSW"),"SW",IF(OR(J198="WNW",J198="NNW"),"NW",IF(OR(J198="ENE",J198="NNE"),"NE",IF(OR(J198="N",J198="NE",J198="E",J198="SE",J198="S",J198="SW",J198="W",J198="NW"),J198)))))</f>
        <v>NW</v>
      </c>
      <c r="Y279" t="str">
        <f t="shared" ref="Y279:Y342" si="179">IF(OR(K198="ESE",K198="SSE"),"SE",IF(OR(K198="WSW",K198="SSW"),"SW",IF(OR(K198="WNW",K198="NNW"),"NW",IF(OR(K198="ENE",K198="NNE"),"NE",IF(OR(K198="N",K198="NE",K198="E",K198="SE",K198="S",K198="SW",K198="W",K198="NW"),K198)))))</f>
        <v>NW</v>
      </c>
      <c r="Z279" t="str">
        <f t="shared" ref="Z279:Z342" si="180">IF(OR(L198="ESE",L198="SSE"),"SE",IF(OR(L198="WSW",L198="SSW"),"SW",IF(OR(L198="WNW",L198="NNW"),"NW",IF(OR(L198="ENE",L198="NNE"),"NE",IF(OR(L198="N",L198="NE",L198="E",L198="SE",L198="S",L198="SW",L198="W",L198="NW"),L198)))))</f>
        <v>NW</v>
      </c>
      <c r="AA279" t="str">
        <f t="shared" ref="AA279:AA342" si="181">IF(OR(M198="ESE",M198="SSE"),"SE",IF(OR(M198="WSW",M198="SSW"),"SW",IF(OR(M198="WNW",M198="NNW"),"NW",IF(OR(M198="ENE",M198="NNE"),"NE",IF(OR(M198="N",M198="NE",M198="E",M198="SE",M198="S",M198="SW",M198="W",M198="NW"),M198)))))</f>
        <v>NW</v>
      </c>
      <c r="AB279" t="str">
        <f t="shared" si="144"/>
        <v>NW</v>
      </c>
      <c r="AC279" t="str">
        <f t="shared" ref="AC279:AC342" si="182">IF(OR(O198="ESE",O198="SSE"),"SE",IF(OR(O198="WSW",O198="SSW"),"SW",IF(OR(O198="WNW",O198="NNW"),"NW",IF(OR(O198="ENE",O198="NNE"),"NE",IF(OR(O198="N",O198="NE",O198="E",O198="SE",O198="S",O198="SW",O198="W",O198="NW"),O198)))))</f>
        <v>NW</v>
      </c>
    </row>
    <row r="280" spans="1:29">
      <c r="A280" s="3" t="s">
        <v>313</v>
      </c>
      <c r="B280" s="4" t="s">
        <v>314</v>
      </c>
      <c r="C280" s="15" t="str">
        <f t="shared" si="158"/>
        <v>SE</v>
      </c>
      <c r="D280" s="15" t="str">
        <f t="shared" si="159"/>
        <v>SSE</v>
      </c>
      <c r="E280" s="15" t="str">
        <f t="shared" si="160"/>
        <v>SSE</v>
      </c>
      <c r="F280" s="15" t="str">
        <f t="shared" si="161"/>
        <v>SSE</v>
      </c>
      <c r="G280" s="15" t="str">
        <f t="shared" si="162"/>
        <v>N</v>
      </c>
      <c r="H280" s="15" t="str">
        <f t="shared" si="163"/>
        <v>N</v>
      </c>
      <c r="I280" s="15" t="str">
        <f t="shared" si="164"/>
        <v>N</v>
      </c>
      <c r="J280" s="15" t="str">
        <f t="shared" si="165"/>
        <v>N</v>
      </c>
      <c r="K280" s="15" t="str">
        <f t="shared" si="166"/>
        <v>N</v>
      </c>
      <c r="L280" s="15" t="str">
        <f t="shared" si="167"/>
        <v>SE</v>
      </c>
      <c r="M280" s="15" t="str">
        <f t="shared" si="168"/>
        <v>SE</v>
      </c>
      <c r="N280" s="15" t="str">
        <f t="shared" si="169"/>
        <v>SE</v>
      </c>
      <c r="O280" s="15" t="str">
        <f t="shared" si="170"/>
        <v>SSE</v>
      </c>
      <c r="Q280" t="str">
        <f t="shared" si="171"/>
        <v>SW</v>
      </c>
      <c r="R280" t="str">
        <f t="shared" si="172"/>
        <v>SW</v>
      </c>
      <c r="S280" t="str">
        <f t="shared" si="173"/>
        <v>S</v>
      </c>
      <c r="T280" t="str">
        <f t="shared" si="174"/>
        <v>SW</v>
      </c>
      <c r="U280" t="str">
        <f t="shared" si="175"/>
        <v>SW</v>
      </c>
      <c r="V280" t="str">
        <f t="shared" si="176"/>
        <v>S</v>
      </c>
      <c r="W280" t="str">
        <f t="shared" si="177"/>
        <v>SW</v>
      </c>
      <c r="X280" t="str">
        <f t="shared" si="178"/>
        <v>S</v>
      </c>
      <c r="Y280" t="str">
        <f t="shared" si="179"/>
        <v>NE</v>
      </c>
      <c r="Z280" t="str">
        <f t="shared" si="180"/>
        <v>NE</v>
      </c>
      <c r="AA280" t="str">
        <f t="shared" si="181"/>
        <v>SW</v>
      </c>
      <c r="AB280" t="str">
        <f t="shared" ref="AB280:AB343" si="183">IF(OR(N199="ESE",N199="SSE"),"SE",IF(OR(N199="WSW",N199="SSW"),"SW",IF(OR(N199="WNW",N199="NNW"),"NW",IF(OR(N199="ENE",N199="NNE"),"NE",IF(OR(N199="N",N199="NE",N199="E",N199="SE",N199="S",N199="SW",N199="W",N199="NW"),N199)))))</f>
        <v>SW</v>
      </c>
      <c r="AC280" t="str">
        <f t="shared" si="182"/>
        <v>SW</v>
      </c>
    </row>
    <row r="281" spans="1:29">
      <c r="A281" s="3" t="s">
        <v>313</v>
      </c>
      <c r="B281" s="2" t="s">
        <v>315</v>
      </c>
      <c r="C281" s="15" t="str">
        <f t="shared" si="158"/>
        <v>SSW</v>
      </c>
      <c r="D281" s="15" t="str">
        <f t="shared" si="159"/>
        <v>SSW</v>
      </c>
      <c r="E281" s="15" t="str">
        <f t="shared" si="160"/>
        <v>SSW</v>
      </c>
      <c r="F281" s="15" t="str">
        <f t="shared" si="161"/>
        <v>SSW</v>
      </c>
      <c r="G281" s="15" t="str">
        <f t="shared" si="162"/>
        <v>SSW</v>
      </c>
      <c r="H281" s="15" t="str">
        <f t="shared" si="163"/>
        <v>SSW</v>
      </c>
      <c r="I281" s="15" t="str">
        <f t="shared" si="164"/>
        <v>SSW</v>
      </c>
      <c r="J281" s="15" t="str">
        <f t="shared" si="165"/>
        <v>SSW</v>
      </c>
      <c r="K281" s="15" t="str">
        <f t="shared" si="166"/>
        <v>SSW</v>
      </c>
      <c r="L281" s="15" t="str">
        <f t="shared" si="167"/>
        <v>SSW</v>
      </c>
      <c r="M281" s="15" t="str">
        <f t="shared" si="168"/>
        <v>SSW</v>
      </c>
      <c r="N281" s="15" t="str">
        <f t="shared" si="169"/>
        <v>SSW</v>
      </c>
      <c r="O281" s="15" t="str">
        <f t="shared" si="170"/>
        <v>SSW</v>
      </c>
      <c r="Q281" t="str">
        <f t="shared" si="171"/>
        <v>N</v>
      </c>
      <c r="R281" t="str">
        <f t="shared" si="172"/>
        <v>N</v>
      </c>
      <c r="S281" t="str">
        <f t="shared" si="173"/>
        <v>S</v>
      </c>
      <c r="T281" t="str">
        <f t="shared" si="174"/>
        <v>SW</v>
      </c>
      <c r="U281" t="str">
        <f t="shared" si="175"/>
        <v>SW</v>
      </c>
      <c r="V281" t="str">
        <f t="shared" si="176"/>
        <v>SW</v>
      </c>
      <c r="W281" t="str">
        <f t="shared" si="177"/>
        <v>SW</v>
      </c>
      <c r="X281" t="str">
        <f t="shared" si="178"/>
        <v>SW</v>
      </c>
      <c r="Y281" t="str">
        <f t="shared" si="179"/>
        <v>NE</v>
      </c>
      <c r="Z281" t="str">
        <f t="shared" si="180"/>
        <v>NE</v>
      </c>
      <c r="AA281" t="str">
        <f t="shared" si="181"/>
        <v>N</v>
      </c>
      <c r="AB281" t="str">
        <f t="shared" si="183"/>
        <v>N</v>
      </c>
      <c r="AC281" t="str">
        <f t="shared" si="182"/>
        <v>SW</v>
      </c>
    </row>
    <row r="282" spans="1:29">
      <c r="A282" s="3" t="s">
        <v>313</v>
      </c>
      <c r="B282" s="2" t="s">
        <v>316</v>
      </c>
      <c r="C282" s="15" t="str">
        <f t="shared" ref="C282:C297" si="184">INDEX(tablewind,MATCH($B282,citywind,0),2)</f>
        <v>S</v>
      </c>
      <c r="D282" s="15" t="str">
        <f t="shared" ref="D282:D297" si="185">INDEX(tablewind,MATCH($B282,citywind,0),3)</f>
        <v>S</v>
      </c>
      <c r="E282" s="15" t="str">
        <f t="shared" ref="E282:E297" si="186">INDEX(tablewind,MATCH($B282,citywind,0),4)</f>
        <v>S</v>
      </c>
      <c r="F282" s="15" t="str">
        <f t="shared" ref="F282:F297" si="187">INDEX(tablewind,MATCH($B282,citywind,0),5)</f>
        <v>SSW</v>
      </c>
      <c r="G282" s="15" t="str">
        <f t="shared" ref="G282:G297" si="188">INDEX(tablewind,MATCH($B282,citywind,0),6)</f>
        <v>SSW</v>
      </c>
      <c r="H282" s="15" t="str">
        <f t="shared" ref="H282:H297" si="189">INDEX(tablewind,MATCH($B282,citywind,0),7)</f>
        <v>SSW</v>
      </c>
      <c r="I282" s="15" t="str">
        <f t="shared" ref="I282:I297" si="190">INDEX(tablewind,MATCH($B282,citywind,0),8)</f>
        <v>SSW</v>
      </c>
      <c r="J282" s="15" t="str">
        <f t="shared" ref="J282:J297" si="191">INDEX(tablewind,MATCH($B282,citywind,0),9)</f>
        <v>SSW</v>
      </c>
      <c r="K282" s="15" t="str">
        <f t="shared" ref="K282:K297" si="192">INDEX(tablewind,MATCH($B282,citywind,0),10)</f>
        <v>N</v>
      </c>
      <c r="L282" s="15" t="str">
        <f t="shared" ref="L282:L297" si="193">INDEX(tablewind,MATCH($B282,citywind,0),11)</f>
        <v>S</v>
      </c>
      <c r="M282" s="15" t="str">
        <f t="shared" ref="M282:M297" si="194">INDEX(tablewind,MATCH($B282,citywind,0),12)</f>
        <v>S</v>
      </c>
      <c r="N282" s="15" t="str">
        <f t="shared" ref="N282:N297" si="195">INDEX(tablewind,MATCH($B282,citywind,0),13)</f>
        <v>S</v>
      </c>
      <c r="O282" s="15" t="str">
        <f t="shared" ref="O282:O297" si="196">INDEX(tablewind,MATCH($B282,citywind,0),14)</f>
        <v>S</v>
      </c>
      <c r="Q282" t="str">
        <f t="shared" si="171"/>
        <v>SW</v>
      </c>
      <c r="R282" t="str">
        <f t="shared" si="172"/>
        <v>SW</v>
      </c>
      <c r="S282" t="str">
        <f t="shared" si="173"/>
        <v>W</v>
      </c>
      <c r="T282" t="str">
        <f t="shared" si="174"/>
        <v>SW</v>
      </c>
      <c r="U282" t="str">
        <f t="shared" si="175"/>
        <v>SW</v>
      </c>
      <c r="V282" t="str">
        <f t="shared" si="176"/>
        <v>SW</v>
      </c>
      <c r="W282" t="str">
        <f t="shared" si="177"/>
        <v>SW</v>
      </c>
      <c r="X282" t="str">
        <f t="shared" si="178"/>
        <v>SW</v>
      </c>
      <c r="Y282" t="str">
        <f t="shared" si="179"/>
        <v>NE</v>
      </c>
      <c r="Z282" t="str">
        <f t="shared" si="180"/>
        <v>N</v>
      </c>
      <c r="AA282" t="str">
        <f t="shared" si="181"/>
        <v>N</v>
      </c>
      <c r="AB282" t="str">
        <f t="shared" si="183"/>
        <v>SW</v>
      </c>
      <c r="AC282" t="str">
        <f t="shared" si="182"/>
        <v>SW</v>
      </c>
    </row>
    <row r="283" spans="1:29">
      <c r="A283" s="3" t="s">
        <v>313</v>
      </c>
      <c r="B283" s="2" t="s">
        <v>317</v>
      </c>
      <c r="C283" s="15" t="str">
        <f t="shared" si="184"/>
        <v>NE</v>
      </c>
      <c r="D283" s="15" t="str">
        <f t="shared" si="185"/>
        <v>NE</v>
      </c>
      <c r="E283" s="15" t="str">
        <f t="shared" si="186"/>
        <v>ENE</v>
      </c>
      <c r="F283" s="15" t="str">
        <f t="shared" si="187"/>
        <v>ENE</v>
      </c>
      <c r="G283" s="15" t="str">
        <f t="shared" si="188"/>
        <v>SW</v>
      </c>
      <c r="H283" s="15" t="str">
        <f t="shared" si="189"/>
        <v>SW</v>
      </c>
      <c r="I283" s="15" t="str">
        <f t="shared" si="190"/>
        <v>SW</v>
      </c>
      <c r="J283" s="15" t="str">
        <f t="shared" si="191"/>
        <v>SW</v>
      </c>
      <c r="K283" s="15" t="str">
        <f t="shared" si="192"/>
        <v>SW</v>
      </c>
      <c r="L283" s="15" t="str">
        <f t="shared" si="193"/>
        <v>SW</v>
      </c>
      <c r="M283" s="15" t="str">
        <f t="shared" si="194"/>
        <v>SW</v>
      </c>
      <c r="N283" s="15" t="str">
        <f t="shared" si="195"/>
        <v>SW</v>
      </c>
      <c r="O283" s="15" t="str">
        <f t="shared" si="196"/>
        <v>SW</v>
      </c>
      <c r="Q283" t="str">
        <f t="shared" si="171"/>
        <v>N</v>
      </c>
      <c r="R283" t="str">
        <f t="shared" si="172"/>
        <v>N</v>
      </c>
      <c r="S283" t="str">
        <f t="shared" si="173"/>
        <v>N</v>
      </c>
      <c r="T283" t="str">
        <f t="shared" si="174"/>
        <v>SW</v>
      </c>
      <c r="U283" t="str">
        <f t="shared" si="175"/>
        <v>S</v>
      </c>
      <c r="V283" t="str">
        <f t="shared" si="176"/>
        <v>S</v>
      </c>
      <c r="W283" t="str">
        <f t="shared" si="177"/>
        <v>S</v>
      </c>
      <c r="X283" t="str">
        <f t="shared" si="178"/>
        <v>S</v>
      </c>
      <c r="Y283" t="str">
        <f t="shared" si="179"/>
        <v>NE</v>
      </c>
      <c r="Z283" t="str">
        <f t="shared" si="180"/>
        <v>N</v>
      </c>
      <c r="AA283" t="str">
        <f t="shared" si="181"/>
        <v>N</v>
      </c>
      <c r="AB283" t="str">
        <f t="shared" si="183"/>
        <v>W</v>
      </c>
      <c r="AC283" t="str">
        <f t="shared" si="182"/>
        <v>N</v>
      </c>
    </row>
    <row r="284" spans="1:29" ht="22.8">
      <c r="A284" s="3" t="s">
        <v>313</v>
      </c>
      <c r="B284" s="2" t="s">
        <v>318</v>
      </c>
      <c r="C284" s="15" t="str">
        <f t="shared" si="184"/>
        <v>S</v>
      </c>
      <c r="D284" s="15" t="str">
        <f t="shared" si="185"/>
        <v>S</v>
      </c>
      <c r="E284" s="15" t="str">
        <f t="shared" si="186"/>
        <v>S</v>
      </c>
      <c r="F284" s="15" t="str">
        <f t="shared" si="187"/>
        <v>S</v>
      </c>
      <c r="G284" s="15" t="str">
        <f t="shared" si="188"/>
        <v>S</v>
      </c>
      <c r="H284" s="15" t="str">
        <f t="shared" si="189"/>
        <v>S</v>
      </c>
      <c r="I284" s="15" t="str">
        <f t="shared" si="190"/>
        <v>S</v>
      </c>
      <c r="J284" s="15" t="str">
        <f t="shared" si="191"/>
        <v>S</v>
      </c>
      <c r="K284" s="15" t="str">
        <f t="shared" si="192"/>
        <v>S</v>
      </c>
      <c r="L284" s="15" t="str">
        <f t="shared" si="193"/>
        <v>S</v>
      </c>
      <c r="M284" s="15" t="str">
        <f t="shared" si="194"/>
        <v>S</v>
      </c>
      <c r="N284" s="15" t="str">
        <f t="shared" si="195"/>
        <v>S</v>
      </c>
      <c r="O284" s="15" t="str">
        <f t="shared" si="196"/>
        <v>S</v>
      </c>
      <c r="Q284" t="str">
        <f t="shared" si="171"/>
        <v>SW</v>
      </c>
      <c r="R284" t="str">
        <f t="shared" si="172"/>
        <v>SW</v>
      </c>
      <c r="S284" t="str">
        <f t="shared" si="173"/>
        <v>SW</v>
      </c>
      <c r="T284" t="str">
        <f t="shared" si="174"/>
        <v>SW</v>
      </c>
      <c r="U284" t="str">
        <f t="shared" si="175"/>
        <v>SW</v>
      </c>
      <c r="V284" t="str">
        <f t="shared" si="176"/>
        <v>SW</v>
      </c>
      <c r="W284" t="str">
        <f t="shared" si="177"/>
        <v>SW</v>
      </c>
      <c r="X284" t="str">
        <f t="shared" si="178"/>
        <v>SW</v>
      </c>
      <c r="Y284" t="str">
        <f t="shared" si="179"/>
        <v>NE</v>
      </c>
      <c r="Z284" t="str">
        <f t="shared" si="180"/>
        <v>NE</v>
      </c>
      <c r="AA284" t="str">
        <f t="shared" si="181"/>
        <v>SW</v>
      </c>
      <c r="AB284" t="str">
        <f t="shared" si="183"/>
        <v>SW</v>
      </c>
      <c r="AC284" t="str">
        <f t="shared" si="182"/>
        <v>SW</v>
      </c>
    </row>
    <row r="285" spans="1:29">
      <c r="A285" s="3" t="s">
        <v>313</v>
      </c>
      <c r="B285" s="2" t="s">
        <v>319</v>
      </c>
      <c r="C285" s="15" t="str">
        <f t="shared" si="184"/>
        <v>W</v>
      </c>
      <c r="D285" s="15" t="str">
        <f t="shared" si="185"/>
        <v>W</v>
      </c>
      <c r="E285" s="15" t="str">
        <f t="shared" si="186"/>
        <v>W</v>
      </c>
      <c r="F285" s="15" t="str">
        <f t="shared" si="187"/>
        <v>W</v>
      </c>
      <c r="G285" s="15" t="str">
        <f t="shared" si="188"/>
        <v>W</v>
      </c>
      <c r="H285" s="15" t="str">
        <f t="shared" si="189"/>
        <v>W</v>
      </c>
      <c r="I285" s="15" t="str">
        <f t="shared" si="190"/>
        <v>W</v>
      </c>
      <c r="J285" s="15" t="str">
        <f t="shared" si="191"/>
        <v>W</v>
      </c>
      <c r="K285" s="15" t="str">
        <f t="shared" si="192"/>
        <v>W</v>
      </c>
      <c r="L285" s="15" t="str">
        <f t="shared" si="193"/>
        <v>W</v>
      </c>
      <c r="M285" s="15" t="str">
        <f t="shared" si="194"/>
        <v>W</v>
      </c>
      <c r="N285" s="15" t="str">
        <f t="shared" si="195"/>
        <v>W</v>
      </c>
      <c r="O285" s="15" t="str">
        <f t="shared" si="196"/>
        <v>W</v>
      </c>
      <c r="Q285" t="str">
        <f t="shared" si="171"/>
        <v>SW</v>
      </c>
      <c r="R285" t="str">
        <f t="shared" si="172"/>
        <v>SW</v>
      </c>
      <c r="S285" t="str">
        <f t="shared" si="173"/>
        <v>SW</v>
      </c>
      <c r="T285" t="str">
        <f t="shared" si="174"/>
        <v>SW</v>
      </c>
      <c r="U285" t="str">
        <f t="shared" si="175"/>
        <v>SW</v>
      </c>
      <c r="V285" t="str">
        <f t="shared" si="176"/>
        <v>SW</v>
      </c>
      <c r="W285" t="str">
        <f t="shared" si="177"/>
        <v>SW</v>
      </c>
      <c r="X285" t="str">
        <f t="shared" si="178"/>
        <v>SW</v>
      </c>
      <c r="Y285" t="str">
        <f t="shared" si="179"/>
        <v>SW</v>
      </c>
      <c r="Z285" t="str">
        <f t="shared" si="180"/>
        <v>SW</v>
      </c>
      <c r="AA285" t="str">
        <f t="shared" si="181"/>
        <v>SW</v>
      </c>
      <c r="AB285" t="str">
        <f t="shared" si="183"/>
        <v>SW</v>
      </c>
      <c r="AC285" t="str">
        <f t="shared" si="182"/>
        <v>SW</v>
      </c>
    </row>
    <row r="286" spans="1:29" ht="22.8">
      <c r="A286" s="4" t="s">
        <v>320</v>
      </c>
      <c r="B286" s="2" t="s">
        <v>321</v>
      </c>
      <c r="C286" s="15" t="str">
        <f t="shared" si="184"/>
        <v>WNW</v>
      </c>
      <c r="D286" s="15" t="str">
        <f t="shared" si="185"/>
        <v>WNW</v>
      </c>
      <c r="E286" s="15" t="str">
        <f t="shared" si="186"/>
        <v>SE</v>
      </c>
      <c r="F286" s="15" t="str">
        <f t="shared" si="187"/>
        <v>WNW</v>
      </c>
      <c r="G286" s="15" t="str">
        <f t="shared" si="188"/>
        <v>SE</v>
      </c>
      <c r="H286" s="15" t="str">
        <f t="shared" si="189"/>
        <v>WSW</v>
      </c>
      <c r="I286" s="15" t="str">
        <f t="shared" si="190"/>
        <v>WSW</v>
      </c>
      <c r="J286" s="15" t="str">
        <f t="shared" si="191"/>
        <v>SE</v>
      </c>
      <c r="K286" s="15" t="str">
        <f t="shared" si="192"/>
        <v>SE</v>
      </c>
      <c r="L286" s="15" t="str">
        <f t="shared" si="193"/>
        <v>SE</v>
      </c>
      <c r="M286" s="15" t="str">
        <f t="shared" si="194"/>
        <v>SE</v>
      </c>
      <c r="N286" s="15" t="str">
        <f t="shared" si="195"/>
        <v>SE</v>
      </c>
      <c r="O286" s="15" t="str">
        <f t="shared" si="196"/>
        <v>SE</v>
      </c>
      <c r="Q286" t="str">
        <f t="shared" si="171"/>
        <v>NW</v>
      </c>
      <c r="R286" t="str">
        <f t="shared" si="172"/>
        <v>NW</v>
      </c>
      <c r="S286" t="str">
        <f t="shared" si="173"/>
        <v>NW</v>
      </c>
      <c r="T286" t="str">
        <f t="shared" si="174"/>
        <v>NW</v>
      </c>
      <c r="U286" t="str">
        <f t="shared" si="175"/>
        <v>NW</v>
      </c>
      <c r="V286" t="str">
        <f t="shared" si="176"/>
        <v>S</v>
      </c>
      <c r="W286" t="str">
        <f t="shared" si="177"/>
        <v>S</v>
      </c>
      <c r="X286" t="str">
        <f t="shared" si="178"/>
        <v>S</v>
      </c>
      <c r="Y286" t="str">
        <f t="shared" si="179"/>
        <v>NW</v>
      </c>
      <c r="Z286" t="str">
        <f t="shared" si="180"/>
        <v>NW</v>
      </c>
      <c r="AA286" t="str">
        <f t="shared" si="181"/>
        <v>NW</v>
      </c>
      <c r="AB286" t="str">
        <f t="shared" si="183"/>
        <v>NW</v>
      </c>
      <c r="AC286" t="str">
        <f t="shared" si="182"/>
        <v>NW</v>
      </c>
    </row>
    <row r="287" spans="1:29" ht="22.8">
      <c r="A287" s="4" t="s">
        <v>320</v>
      </c>
      <c r="B287" s="2" t="s">
        <v>270</v>
      </c>
      <c r="C287" s="15" t="str">
        <f t="shared" si="184"/>
        <v>W</v>
      </c>
      <c r="D287" s="15" t="str">
        <f t="shared" si="185"/>
        <v>N</v>
      </c>
      <c r="E287" s="15" t="str">
        <f t="shared" si="186"/>
        <v>W</v>
      </c>
      <c r="F287" s="15" t="str">
        <f t="shared" si="187"/>
        <v>W</v>
      </c>
      <c r="G287" s="15" t="str">
        <f t="shared" si="188"/>
        <v>S</v>
      </c>
      <c r="H287" s="15" t="str">
        <f t="shared" si="189"/>
        <v>S</v>
      </c>
      <c r="I287" s="15" t="str">
        <f t="shared" si="190"/>
        <v>SSW</v>
      </c>
      <c r="J287" s="15" t="str">
        <f t="shared" si="191"/>
        <v>S</v>
      </c>
      <c r="K287" s="15" t="str">
        <f t="shared" si="192"/>
        <v>N</v>
      </c>
      <c r="L287" s="15" t="str">
        <f t="shared" si="193"/>
        <v>N</v>
      </c>
      <c r="M287" s="15" t="str">
        <f t="shared" si="194"/>
        <v>N</v>
      </c>
      <c r="N287" s="15" t="str">
        <f t="shared" si="195"/>
        <v>W</v>
      </c>
      <c r="O287" s="15" t="str">
        <f t="shared" si="196"/>
        <v>W</v>
      </c>
      <c r="Q287" t="str">
        <f t="shared" si="171"/>
        <v>NW</v>
      </c>
      <c r="R287" t="str">
        <f t="shared" si="172"/>
        <v>NW</v>
      </c>
      <c r="S287" t="str">
        <f t="shared" si="173"/>
        <v>NW</v>
      </c>
      <c r="T287" t="str">
        <f t="shared" si="174"/>
        <v>NW</v>
      </c>
      <c r="U287" t="str">
        <f t="shared" si="175"/>
        <v>NW</v>
      </c>
      <c r="V287" t="str">
        <f t="shared" si="176"/>
        <v>NW</v>
      </c>
      <c r="W287" t="str">
        <f t="shared" si="177"/>
        <v>NW</v>
      </c>
      <c r="X287" t="str">
        <f t="shared" si="178"/>
        <v>NW</v>
      </c>
      <c r="Y287" t="str">
        <f t="shared" si="179"/>
        <v>NW</v>
      </c>
      <c r="Z287" t="str">
        <f t="shared" si="180"/>
        <v>NW</v>
      </c>
      <c r="AA287" t="str">
        <f t="shared" si="181"/>
        <v>NW</v>
      </c>
      <c r="AB287" t="str">
        <f t="shared" si="183"/>
        <v>NW</v>
      </c>
      <c r="AC287" t="str">
        <f t="shared" si="182"/>
        <v>NW</v>
      </c>
    </row>
    <row r="288" spans="1:29" ht="22.8">
      <c r="A288" s="4" t="s">
        <v>320</v>
      </c>
      <c r="B288" s="2" t="s">
        <v>322</v>
      </c>
      <c r="C288" s="15" t="str">
        <f t="shared" si="184"/>
        <v>WNW</v>
      </c>
      <c r="D288" s="15" t="str">
        <f t="shared" si="185"/>
        <v>WNW</v>
      </c>
      <c r="E288" s="15" t="str">
        <f t="shared" si="186"/>
        <v>WNW</v>
      </c>
      <c r="F288" s="15" t="str">
        <f t="shared" si="187"/>
        <v>NW</v>
      </c>
      <c r="G288" s="15" t="str">
        <f t="shared" si="188"/>
        <v>NW</v>
      </c>
      <c r="H288" s="15" t="str">
        <f t="shared" si="189"/>
        <v>WNW</v>
      </c>
      <c r="I288" s="15" t="str">
        <f t="shared" si="190"/>
        <v>WNW</v>
      </c>
      <c r="J288" s="15" t="str">
        <f t="shared" si="191"/>
        <v>WNW</v>
      </c>
      <c r="K288" s="15" t="str">
        <f t="shared" si="192"/>
        <v>WNW</v>
      </c>
      <c r="L288" s="15" t="str">
        <f t="shared" si="193"/>
        <v>WNW</v>
      </c>
      <c r="M288" s="15" t="str">
        <f t="shared" si="194"/>
        <v>WNW</v>
      </c>
      <c r="N288" s="15" t="str">
        <f t="shared" si="195"/>
        <v>W</v>
      </c>
      <c r="O288" s="15" t="str">
        <f t="shared" si="196"/>
        <v>WNW</v>
      </c>
      <c r="Q288" t="str">
        <f t="shared" si="171"/>
        <v>N</v>
      </c>
      <c r="R288" t="str">
        <f t="shared" si="172"/>
        <v>SE</v>
      </c>
      <c r="S288" t="str">
        <f t="shared" si="173"/>
        <v>N</v>
      </c>
      <c r="T288" t="str">
        <f t="shared" si="174"/>
        <v>N</v>
      </c>
      <c r="U288" t="str">
        <f t="shared" si="175"/>
        <v>SE</v>
      </c>
      <c r="V288" t="str">
        <f t="shared" si="176"/>
        <v>SE</v>
      </c>
      <c r="W288" t="str">
        <f t="shared" si="177"/>
        <v>SE</v>
      </c>
      <c r="X288" t="str">
        <f t="shared" si="178"/>
        <v>SE</v>
      </c>
      <c r="Y288" t="str">
        <f t="shared" si="179"/>
        <v>SE</v>
      </c>
      <c r="Z288" t="str">
        <f t="shared" si="180"/>
        <v>SE</v>
      </c>
      <c r="AA288" t="str">
        <f t="shared" si="181"/>
        <v>SE</v>
      </c>
      <c r="AB288" t="str">
        <f t="shared" si="183"/>
        <v>S</v>
      </c>
      <c r="AC288" t="str">
        <f t="shared" si="182"/>
        <v>SE</v>
      </c>
    </row>
    <row r="289" spans="1:29" ht="22.8">
      <c r="A289" s="4" t="s">
        <v>320</v>
      </c>
      <c r="B289" s="2" t="s">
        <v>323</v>
      </c>
      <c r="C289" s="15" t="str">
        <f t="shared" si="184"/>
        <v>WSW</v>
      </c>
      <c r="D289" s="15" t="str">
        <f t="shared" si="185"/>
        <v>WSW</v>
      </c>
      <c r="E289" s="15" t="str">
        <f t="shared" si="186"/>
        <v>WSW</v>
      </c>
      <c r="F289" s="15" t="str">
        <f t="shared" si="187"/>
        <v>WSW</v>
      </c>
      <c r="G289" s="15" t="str">
        <f t="shared" si="188"/>
        <v>WSW</v>
      </c>
      <c r="H289" s="15" t="str">
        <f t="shared" si="189"/>
        <v>WSW</v>
      </c>
      <c r="I289" s="15" t="str">
        <f t="shared" si="190"/>
        <v>WSW</v>
      </c>
      <c r="J289" s="15" t="str">
        <f t="shared" si="191"/>
        <v>WSW</v>
      </c>
      <c r="K289" s="15" t="str">
        <f t="shared" si="192"/>
        <v>WSW</v>
      </c>
      <c r="L289" s="15" t="str">
        <f t="shared" si="193"/>
        <v>WSW</v>
      </c>
      <c r="M289" s="15" t="str">
        <f t="shared" si="194"/>
        <v>SW</v>
      </c>
      <c r="N289" s="15" t="str">
        <f t="shared" si="195"/>
        <v>SW</v>
      </c>
      <c r="O289" s="15" t="str">
        <f t="shared" si="196"/>
        <v>WSW</v>
      </c>
      <c r="Q289" t="str">
        <f t="shared" si="171"/>
        <v>N</v>
      </c>
      <c r="R289" t="str">
        <f t="shared" si="172"/>
        <v>N</v>
      </c>
      <c r="S289" t="str">
        <f t="shared" si="173"/>
        <v>N</v>
      </c>
      <c r="T289" t="str">
        <f t="shared" si="174"/>
        <v>N</v>
      </c>
      <c r="U289" t="str">
        <f t="shared" si="175"/>
        <v>N</v>
      </c>
      <c r="V289" t="str">
        <f t="shared" si="176"/>
        <v>N</v>
      </c>
      <c r="W289" t="str">
        <f t="shared" si="177"/>
        <v>S</v>
      </c>
      <c r="X289" t="str">
        <f t="shared" si="178"/>
        <v>N</v>
      </c>
      <c r="Y289" t="str">
        <f t="shared" si="179"/>
        <v>N</v>
      </c>
      <c r="Z289" t="str">
        <f t="shared" si="180"/>
        <v>N</v>
      </c>
      <c r="AA289" t="str">
        <f t="shared" si="181"/>
        <v>N</v>
      </c>
      <c r="AB289" t="str">
        <f t="shared" si="183"/>
        <v>N</v>
      </c>
      <c r="AC289" t="str">
        <f t="shared" si="182"/>
        <v>N</v>
      </c>
    </row>
    <row r="290" spans="1:29" ht="22.8">
      <c r="A290" s="2" t="s">
        <v>324</v>
      </c>
      <c r="B290" s="2" t="s">
        <v>325</v>
      </c>
      <c r="C290" s="15" t="str">
        <f t="shared" si="184"/>
        <v>W</v>
      </c>
      <c r="D290" s="15" t="str">
        <f t="shared" si="185"/>
        <v>W</v>
      </c>
      <c r="E290" s="15" t="str">
        <f t="shared" si="186"/>
        <v>SSW</v>
      </c>
      <c r="F290" s="15" t="str">
        <f t="shared" si="187"/>
        <v>SSW</v>
      </c>
      <c r="G290" s="15" t="str">
        <f t="shared" si="188"/>
        <v>NNE</v>
      </c>
      <c r="H290" s="15" t="str">
        <f t="shared" si="189"/>
        <v>NNE</v>
      </c>
      <c r="I290" s="15" t="str">
        <f t="shared" si="190"/>
        <v>NNE</v>
      </c>
      <c r="J290" s="15" t="str">
        <f t="shared" si="191"/>
        <v>NNE</v>
      </c>
      <c r="K290" s="15" t="str">
        <f t="shared" si="192"/>
        <v>NNE</v>
      </c>
      <c r="L290" s="15" t="str">
        <f t="shared" si="193"/>
        <v>NNE</v>
      </c>
      <c r="M290" s="15" t="str">
        <f t="shared" si="194"/>
        <v>SSW</v>
      </c>
      <c r="N290" s="15" t="str">
        <f t="shared" si="195"/>
        <v>SSW</v>
      </c>
      <c r="O290" s="15" t="str">
        <f t="shared" si="196"/>
        <v>SSW</v>
      </c>
      <c r="Q290" t="str">
        <f t="shared" si="171"/>
        <v>NW</v>
      </c>
      <c r="R290" t="str">
        <f t="shared" si="172"/>
        <v>NW</v>
      </c>
      <c r="S290" t="str">
        <f t="shared" si="173"/>
        <v>NW</v>
      </c>
      <c r="T290" t="str">
        <f t="shared" si="174"/>
        <v>N</v>
      </c>
      <c r="U290" t="str">
        <f t="shared" si="175"/>
        <v>N</v>
      </c>
      <c r="V290" t="str">
        <f t="shared" si="176"/>
        <v>W</v>
      </c>
      <c r="W290" t="str">
        <f t="shared" si="177"/>
        <v>W</v>
      </c>
      <c r="X290" t="str">
        <f t="shared" si="178"/>
        <v>W</v>
      </c>
      <c r="Y290" t="str">
        <f t="shared" si="179"/>
        <v>W</v>
      </c>
      <c r="Z290" t="str">
        <f t="shared" si="180"/>
        <v>NW</v>
      </c>
      <c r="AA290" t="str">
        <f t="shared" si="181"/>
        <v>NW</v>
      </c>
      <c r="AB290" t="str">
        <f t="shared" si="183"/>
        <v>NW</v>
      </c>
      <c r="AC290" t="str">
        <f t="shared" si="182"/>
        <v>NW</v>
      </c>
    </row>
    <row r="291" spans="1:29" ht="22.8">
      <c r="A291" s="2" t="s">
        <v>324</v>
      </c>
      <c r="B291" s="2" t="s">
        <v>326</v>
      </c>
      <c r="C291" s="15" t="str">
        <f t="shared" si="184"/>
        <v>NW</v>
      </c>
      <c r="D291" s="15" t="str">
        <f t="shared" si="185"/>
        <v>NW</v>
      </c>
      <c r="E291" s="15" t="str">
        <f t="shared" si="186"/>
        <v>NW</v>
      </c>
      <c r="F291" s="15" t="str">
        <f t="shared" si="187"/>
        <v>S</v>
      </c>
      <c r="G291" s="15" t="str">
        <f t="shared" si="188"/>
        <v>S</v>
      </c>
      <c r="H291" s="15" t="str">
        <f t="shared" si="189"/>
        <v>S</v>
      </c>
      <c r="I291" s="15" t="str">
        <f t="shared" si="190"/>
        <v>S</v>
      </c>
      <c r="J291" s="15" t="str">
        <f t="shared" si="191"/>
        <v>S</v>
      </c>
      <c r="K291" s="15" t="str">
        <f t="shared" si="192"/>
        <v>S</v>
      </c>
      <c r="L291" s="15" t="str">
        <f t="shared" si="193"/>
        <v>S</v>
      </c>
      <c r="M291" s="15" t="str">
        <f t="shared" si="194"/>
        <v>S</v>
      </c>
      <c r="N291" s="15" t="str">
        <f t="shared" si="195"/>
        <v>S</v>
      </c>
      <c r="O291" s="15" t="str">
        <f t="shared" si="196"/>
        <v>S</v>
      </c>
      <c r="Q291" t="str">
        <f t="shared" si="171"/>
        <v>SW</v>
      </c>
      <c r="R291" t="str">
        <f t="shared" si="172"/>
        <v>SW</v>
      </c>
      <c r="S291" t="str">
        <f t="shared" si="173"/>
        <v>SW</v>
      </c>
      <c r="T291" t="str">
        <f t="shared" si="174"/>
        <v>SW</v>
      </c>
      <c r="U291" t="str">
        <f t="shared" si="175"/>
        <v>N</v>
      </c>
      <c r="V291" t="str">
        <f t="shared" si="176"/>
        <v>N</v>
      </c>
      <c r="W291" t="str">
        <f t="shared" si="177"/>
        <v>N</v>
      </c>
      <c r="X291" t="str">
        <f t="shared" si="178"/>
        <v>N</v>
      </c>
      <c r="Y291" t="str">
        <f t="shared" si="179"/>
        <v>N</v>
      </c>
      <c r="Z291" t="str">
        <f t="shared" si="180"/>
        <v>N</v>
      </c>
      <c r="AA291" t="str">
        <f t="shared" si="181"/>
        <v>N</v>
      </c>
      <c r="AB291" t="str">
        <f t="shared" si="183"/>
        <v>N</v>
      </c>
      <c r="AC291" t="str">
        <f t="shared" si="182"/>
        <v>N</v>
      </c>
    </row>
    <row r="292" spans="1:29" ht="22.8">
      <c r="A292" s="2" t="s">
        <v>324</v>
      </c>
      <c r="B292" s="2" t="s">
        <v>327</v>
      </c>
      <c r="C292" s="15" t="str">
        <f t="shared" si="184"/>
        <v>WNW</v>
      </c>
      <c r="D292" s="15" t="str">
        <f t="shared" si="185"/>
        <v>WNW</v>
      </c>
      <c r="E292" s="15" t="str">
        <f t="shared" si="186"/>
        <v>WNW</v>
      </c>
      <c r="F292" s="15" t="str">
        <f t="shared" si="187"/>
        <v>S</v>
      </c>
      <c r="G292" s="15" t="str">
        <f t="shared" si="188"/>
        <v>S</v>
      </c>
      <c r="H292" s="15" t="str">
        <f t="shared" si="189"/>
        <v>S</v>
      </c>
      <c r="I292" s="15" t="str">
        <f t="shared" si="190"/>
        <v>S</v>
      </c>
      <c r="J292" s="15" t="str">
        <f t="shared" si="191"/>
        <v>S</v>
      </c>
      <c r="K292" s="15" t="str">
        <f t="shared" si="192"/>
        <v>S</v>
      </c>
      <c r="L292" s="15" t="str">
        <f t="shared" si="193"/>
        <v>S</v>
      </c>
      <c r="M292" s="15" t="str">
        <f t="shared" si="194"/>
        <v>S</v>
      </c>
      <c r="N292" s="15" t="str">
        <f t="shared" si="195"/>
        <v>WNW</v>
      </c>
      <c r="O292" s="15" t="str">
        <f t="shared" si="196"/>
        <v>S</v>
      </c>
      <c r="Q292" t="str">
        <f t="shared" si="171"/>
        <v>SW</v>
      </c>
      <c r="R292" t="str">
        <f t="shared" si="172"/>
        <v>SW</v>
      </c>
      <c r="S292" t="str">
        <f t="shared" si="173"/>
        <v>W</v>
      </c>
      <c r="T292" t="str">
        <f t="shared" si="174"/>
        <v>SW</v>
      </c>
      <c r="U292" t="str">
        <f t="shared" si="175"/>
        <v>S</v>
      </c>
      <c r="V292" t="str">
        <f t="shared" si="176"/>
        <v>SW</v>
      </c>
      <c r="W292" t="str">
        <f t="shared" si="177"/>
        <v>SW</v>
      </c>
      <c r="X292" t="str">
        <f t="shared" si="178"/>
        <v>SW</v>
      </c>
      <c r="Y292" t="str">
        <f t="shared" si="179"/>
        <v>S</v>
      </c>
      <c r="Z292" t="str">
        <f t="shared" si="180"/>
        <v>S</v>
      </c>
      <c r="AA292" t="str">
        <f t="shared" si="181"/>
        <v>SW</v>
      </c>
      <c r="AB292" t="str">
        <f t="shared" si="183"/>
        <v>SW</v>
      </c>
      <c r="AC292" t="str">
        <f t="shared" si="182"/>
        <v>SW</v>
      </c>
    </row>
    <row r="293" spans="1:29" ht="22.8">
      <c r="A293" s="2" t="s">
        <v>324</v>
      </c>
      <c r="B293" s="2" t="s">
        <v>328</v>
      </c>
      <c r="C293" s="15" t="str">
        <f t="shared" si="184"/>
        <v>WNW</v>
      </c>
      <c r="D293" s="15" t="str">
        <f t="shared" si="185"/>
        <v>WNW</v>
      </c>
      <c r="E293" s="15" t="str">
        <f t="shared" si="186"/>
        <v>WNW</v>
      </c>
      <c r="F293" s="15" t="str">
        <f t="shared" si="187"/>
        <v>N</v>
      </c>
      <c r="G293" s="15" t="str">
        <f t="shared" si="188"/>
        <v>NNE</v>
      </c>
      <c r="H293" s="15" t="str">
        <f t="shared" si="189"/>
        <v>NNE</v>
      </c>
      <c r="I293" s="15" t="str">
        <f t="shared" si="190"/>
        <v>SW</v>
      </c>
      <c r="J293" s="15" t="str">
        <f t="shared" si="191"/>
        <v>SW</v>
      </c>
      <c r="K293" s="15" t="str">
        <f t="shared" si="192"/>
        <v>SSW</v>
      </c>
      <c r="L293" s="15" t="str">
        <f t="shared" si="193"/>
        <v>SSW</v>
      </c>
      <c r="M293" s="15" t="str">
        <f t="shared" si="194"/>
        <v>WNW</v>
      </c>
      <c r="N293" s="15" t="str">
        <f t="shared" si="195"/>
        <v>WNW</v>
      </c>
      <c r="O293" s="15" t="str">
        <f t="shared" si="196"/>
        <v>WSW</v>
      </c>
      <c r="Q293" t="str">
        <f t="shared" si="171"/>
        <v>SW</v>
      </c>
      <c r="R293" t="str">
        <f t="shared" si="172"/>
        <v>SW</v>
      </c>
      <c r="S293" t="str">
        <f t="shared" si="173"/>
        <v>SW</v>
      </c>
      <c r="T293" t="str">
        <f t="shared" si="174"/>
        <v>SW</v>
      </c>
      <c r="U293" t="str">
        <f t="shared" si="175"/>
        <v>SW</v>
      </c>
      <c r="V293" t="str">
        <f t="shared" si="176"/>
        <v>SW</v>
      </c>
      <c r="W293" t="str">
        <f t="shared" si="177"/>
        <v>SW</v>
      </c>
      <c r="X293" t="str">
        <f t="shared" si="178"/>
        <v>SW</v>
      </c>
      <c r="Y293" t="str">
        <f t="shared" si="179"/>
        <v>SW</v>
      </c>
      <c r="Z293" t="str">
        <f t="shared" si="180"/>
        <v>SW</v>
      </c>
      <c r="AA293" t="str">
        <f t="shared" si="181"/>
        <v>SW</v>
      </c>
      <c r="AB293" t="str">
        <f t="shared" si="183"/>
        <v>SW</v>
      </c>
      <c r="AC293" t="str">
        <f t="shared" si="182"/>
        <v>SW</v>
      </c>
    </row>
    <row r="294" spans="1:29">
      <c r="A294" s="2" t="s">
        <v>329</v>
      </c>
      <c r="B294" s="2" t="s">
        <v>330</v>
      </c>
      <c r="C294" s="15" t="str">
        <f t="shared" si="184"/>
        <v>SW</v>
      </c>
      <c r="D294" s="15" t="str">
        <f t="shared" si="185"/>
        <v>SW</v>
      </c>
      <c r="E294" s="15" t="str">
        <f t="shared" si="186"/>
        <v>SW</v>
      </c>
      <c r="F294" s="15" t="str">
        <f t="shared" si="187"/>
        <v>WSW</v>
      </c>
      <c r="G294" s="15" t="str">
        <f t="shared" si="188"/>
        <v>WSW</v>
      </c>
      <c r="H294" s="15" t="str">
        <f t="shared" si="189"/>
        <v>WSW</v>
      </c>
      <c r="I294" s="15" t="str">
        <f t="shared" si="190"/>
        <v>WSW</v>
      </c>
      <c r="J294" s="15" t="str">
        <f t="shared" si="191"/>
        <v>WSW</v>
      </c>
      <c r="K294" s="15" t="str">
        <f t="shared" si="192"/>
        <v>WSW</v>
      </c>
      <c r="L294" s="15" t="str">
        <f t="shared" si="193"/>
        <v>SW</v>
      </c>
      <c r="M294" s="15" t="str">
        <f t="shared" si="194"/>
        <v>SW</v>
      </c>
      <c r="N294" s="15" t="str">
        <f t="shared" si="195"/>
        <v>SW</v>
      </c>
      <c r="O294" s="15" t="str">
        <f t="shared" si="196"/>
        <v>SW</v>
      </c>
      <c r="Q294" t="str">
        <f t="shared" si="171"/>
        <v>SW</v>
      </c>
      <c r="R294" t="str">
        <f t="shared" si="172"/>
        <v>SW</v>
      </c>
      <c r="S294" t="str">
        <f t="shared" si="173"/>
        <v>SW</v>
      </c>
      <c r="T294" t="str">
        <f t="shared" si="174"/>
        <v>N</v>
      </c>
      <c r="U294" t="str">
        <f t="shared" si="175"/>
        <v>N</v>
      </c>
      <c r="V294" t="str">
        <f t="shared" si="176"/>
        <v>SW</v>
      </c>
      <c r="W294" t="str">
        <f t="shared" si="177"/>
        <v>SW</v>
      </c>
      <c r="X294" t="str">
        <f t="shared" si="178"/>
        <v>SW</v>
      </c>
      <c r="Y294" t="str">
        <f t="shared" si="179"/>
        <v>SW</v>
      </c>
      <c r="Z294" t="str">
        <f t="shared" si="180"/>
        <v>SW</v>
      </c>
      <c r="AA294" t="str">
        <f t="shared" si="181"/>
        <v>SW</v>
      </c>
      <c r="AB294" t="str">
        <f t="shared" si="183"/>
        <v>SW</v>
      </c>
      <c r="AC294" t="str">
        <f t="shared" si="182"/>
        <v>SW</v>
      </c>
    </row>
    <row r="295" spans="1:29">
      <c r="A295" s="2" t="s">
        <v>329</v>
      </c>
      <c r="B295" s="2" t="s">
        <v>331</v>
      </c>
      <c r="C295" s="15" t="str">
        <f t="shared" si="184"/>
        <v>WNW</v>
      </c>
      <c r="D295" s="15" t="str">
        <f t="shared" si="185"/>
        <v>WNW</v>
      </c>
      <c r="E295" s="15" t="str">
        <f t="shared" si="186"/>
        <v>WNW</v>
      </c>
      <c r="F295" s="15" t="str">
        <f t="shared" si="187"/>
        <v>WNW</v>
      </c>
      <c r="G295" s="15" t="str">
        <f t="shared" si="188"/>
        <v>WNW</v>
      </c>
      <c r="H295" s="15" t="str">
        <f t="shared" si="189"/>
        <v>WNW</v>
      </c>
      <c r="I295" s="15" t="str">
        <f t="shared" si="190"/>
        <v>WNW</v>
      </c>
      <c r="J295" s="15" t="str">
        <f t="shared" si="191"/>
        <v>WNW</v>
      </c>
      <c r="K295" s="15" t="str">
        <f t="shared" si="192"/>
        <v>WNW</v>
      </c>
      <c r="L295" s="15" t="str">
        <f t="shared" si="193"/>
        <v>W</v>
      </c>
      <c r="M295" s="15" t="str">
        <f t="shared" si="194"/>
        <v>WNW</v>
      </c>
      <c r="N295" s="15" t="str">
        <f t="shared" si="195"/>
        <v>WNW</v>
      </c>
      <c r="O295" s="15" t="str">
        <f t="shared" si="196"/>
        <v>WNW</v>
      </c>
      <c r="Q295" t="str">
        <f t="shared" si="171"/>
        <v>NE</v>
      </c>
      <c r="R295" t="str">
        <f t="shared" si="172"/>
        <v>NE</v>
      </c>
      <c r="S295" t="str">
        <f t="shared" si="173"/>
        <v>NW</v>
      </c>
      <c r="T295" t="str">
        <f t="shared" si="174"/>
        <v>NW</v>
      </c>
      <c r="U295" t="str">
        <f t="shared" si="175"/>
        <v>NW</v>
      </c>
      <c r="V295" t="str">
        <f t="shared" si="176"/>
        <v>NW</v>
      </c>
      <c r="W295" t="str">
        <f t="shared" si="177"/>
        <v>S</v>
      </c>
      <c r="X295" t="str">
        <f t="shared" si="178"/>
        <v>S</v>
      </c>
      <c r="Y295" t="str">
        <f t="shared" si="179"/>
        <v>E</v>
      </c>
      <c r="Z295" t="str">
        <f t="shared" si="180"/>
        <v>E</v>
      </c>
      <c r="AA295" t="str">
        <f t="shared" si="181"/>
        <v>NE</v>
      </c>
      <c r="AB295" t="str">
        <f t="shared" si="183"/>
        <v>NE</v>
      </c>
      <c r="AC295" t="str">
        <f t="shared" si="182"/>
        <v>NE</v>
      </c>
    </row>
    <row r="296" spans="1:29">
      <c r="A296" s="2" t="s">
        <v>329</v>
      </c>
      <c r="B296" s="2" t="s">
        <v>332</v>
      </c>
      <c r="C296" s="15" t="str">
        <f t="shared" si="184"/>
        <v>WSW</v>
      </c>
      <c r="D296" s="15" t="str">
        <f t="shared" si="185"/>
        <v>WSW</v>
      </c>
      <c r="E296" s="15" t="str">
        <f t="shared" si="186"/>
        <v>WSW</v>
      </c>
      <c r="F296" s="15" t="str">
        <f t="shared" si="187"/>
        <v>WSW</v>
      </c>
      <c r="G296" s="15" t="str">
        <f t="shared" si="188"/>
        <v>WSW</v>
      </c>
      <c r="H296" s="15" t="str">
        <f t="shared" si="189"/>
        <v>WSW</v>
      </c>
      <c r="I296" s="15" t="str">
        <f t="shared" si="190"/>
        <v>WSW</v>
      </c>
      <c r="J296" s="15" t="str">
        <f t="shared" si="191"/>
        <v>WSW</v>
      </c>
      <c r="K296" s="15" t="str">
        <f t="shared" si="192"/>
        <v>WSW</v>
      </c>
      <c r="L296" s="15" t="str">
        <f t="shared" si="193"/>
        <v>WSW</v>
      </c>
      <c r="M296" s="15" t="str">
        <f t="shared" si="194"/>
        <v>WSW</v>
      </c>
      <c r="N296" s="15" t="str">
        <f t="shared" si="195"/>
        <v>WSW</v>
      </c>
      <c r="O296" s="15" t="str">
        <f t="shared" si="196"/>
        <v>WSW</v>
      </c>
      <c r="Q296" t="str">
        <f t="shared" si="171"/>
        <v>W</v>
      </c>
      <c r="R296" t="str">
        <f t="shared" si="172"/>
        <v>SW</v>
      </c>
      <c r="S296" t="str">
        <f t="shared" si="173"/>
        <v>NW</v>
      </c>
      <c r="T296" t="str">
        <f t="shared" si="174"/>
        <v>S</v>
      </c>
      <c r="U296" t="str">
        <f t="shared" si="175"/>
        <v>SW</v>
      </c>
      <c r="V296" t="str">
        <f t="shared" si="176"/>
        <v>SW</v>
      </c>
      <c r="W296" t="str">
        <f t="shared" si="177"/>
        <v>SW</v>
      </c>
      <c r="X296" t="str">
        <f t="shared" si="178"/>
        <v>SW</v>
      </c>
      <c r="Y296" t="str">
        <f t="shared" si="179"/>
        <v>S</v>
      </c>
      <c r="Z296" t="str">
        <f t="shared" si="180"/>
        <v>S</v>
      </c>
      <c r="AA296" t="str">
        <f t="shared" si="181"/>
        <v>SW</v>
      </c>
      <c r="AB296" t="str">
        <f t="shared" si="183"/>
        <v>S</v>
      </c>
      <c r="AC296" t="str">
        <f t="shared" si="182"/>
        <v>SW</v>
      </c>
    </row>
    <row r="297" spans="1:29">
      <c r="A297" s="2" t="s">
        <v>329</v>
      </c>
      <c r="B297" s="2" t="s">
        <v>333</v>
      </c>
      <c r="C297" s="15" t="str">
        <f t="shared" si="184"/>
        <v>NW</v>
      </c>
      <c r="D297" s="15" t="str">
        <f t="shared" si="185"/>
        <v>NW</v>
      </c>
      <c r="E297" s="15" t="str">
        <f t="shared" si="186"/>
        <v>NW</v>
      </c>
      <c r="F297" s="15" t="str">
        <f t="shared" si="187"/>
        <v>NW</v>
      </c>
      <c r="G297" s="15" t="str">
        <f t="shared" si="188"/>
        <v>NW</v>
      </c>
      <c r="H297" s="15" t="str">
        <f t="shared" si="189"/>
        <v>NW</v>
      </c>
      <c r="I297" s="15" t="str">
        <f t="shared" si="190"/>
        <v>NW</v>
      </c>
      <c r="J297" s="15" t="str">
        <f t="shared" si="191"/>
        <v>NW</v>
      </c>
      <c r="K297" s="15" t="str">
        <f t="shared" si="192"/>
        <v>NW</v>
      </c>
      <c r="L297" s="15" t="str">
        <f t="shared" si="193"/>
        <v>NW</v>
      </c>
      <c r="M297" s="15" t="str">
        <f t="shared" si="194"/>
        <v>NW</v>
      </c>
      <c r="N297" s="15" t="str">
        <f t="shared" si="195"/>
        <v>NW</v>
      </c>
      <c r="O297" s="15" t="str">
        <f t="shared" si="196"/>
        <v>NW</v>
      </c>
      <c r="Q297" t="str">
        <f t="shared" si="171"/>
        <v>SW</v>
      </c>
      <c r="R297" t="str">
        <f t="shared" si="172"/>
        <v>SW</v>
      </c>
      <c r="S297" t="str">
        <f t="shared" si="173"/>
        <v>SW</v>
      </c>
      <c r="T297" t="str">
        <f t="shared" si="174"/>
        <v>SW</v>
      </c>
      <c r="U297" t="str">
        <f t="shared" si="175"/>
        <v>W</v>
      </c>
      <c r="V297" t="str">
        <f t="shared" si="176"/>
        <v>W</v>
      </c>
      <c r="W297" t="str">
        <f t="shared" si="177"/>
        <v>SW</v>
      </c>
      <c r="X297" t="str">
        <f t="shared" si="178"/>
        <v>SW</v>
      </c>
      <c r="Y297" t="str">
        <f t="shared" si="179"/>
        <v>SW</v>
      </c>
      <c r="Z297" t="str">
        <f t="shared" si="180"/>
        <v>SW</v>
      </c>
      <c r="AA297" t="str">
        <f t="shared" si="181"/>
        <v>SW</v>
      </c>
      <c r="AB297" t="str">
        <f t="shared" si="183"/>
        <v>SW</v>
      </c>
      <c r="AC297" t="str">
        <f t="shared" si="182"/>
        <v>SW</v>
      </c>
    </row>
    <row r="298" spans="1:29">
      <c r="Q298" t="str">
        <f t="shared" si="171"/>
        <v>SW</v>
      </c>
      <c r="R298" t="str">
        <f t="shared" si="172"/>
        <v>SW</v>
      </c>
      <c r="S298" t="str">
        <f t="shared" si="173"/>
        <v>NE</v>
      </c>
      <c r="T298" t="str">
        <f t="shared" si="174"/>
        <v>NE</v>
      </c>
      <c r="U298" t="str">
        <f t="shared" si="175"/>
        <v>NE</v>
      </c>
      <c r="V298" t="str">
        <f t="shared" si="176"/>
        <v>SW</v>
      </c>
      <c r="W298" t="str">
        <f t="shared" si="177"/>
        <v>SW</v>
      </c>
      <c r="X298" t="str">
        <f t="shared" si="178"/>
        <v>SW</v>
      </c>
      <c r="Y298" t="str">
        <f t="shared" si="179"/>
        <v>SW</v>
      </c>
      <c r="Z298" t="str">
        <f t="shared" si="180"/>
        <v>SW</v>
      </c>
      <c r="AA298" t="str">
        <f t="shared" si="181"/>
        <v>SW</v>
      </c>
      <c r="AB298" t="str">
        <f t="shared" si="183"/>
        <v>SW</v>
      </c>
      <c r="AC298" t="str">
        <f t="shared" si="182"/>
        <v>SW</v>
      </c>
    </row>
    <row r="299" spans="1:29">
      <c r="Q299" t="str">
        <f t="shared" si="171"/>
        <v>SW</v>
      </c>
      <c r="R299" t="str">
        <f t="shared" si="172"/>
        <v>SW</v>
      </c>
      <c r="S299" t="str">
        <f t="shared" si="173"/>
        <v>SW</v>
      </c>
      <c r="T299" t="str">
        <f t="shared" si="174"/>
        <v>SW</v>
      </c>
      <c r="U299" t="str">
        <f t="shared" si="175"/>
        <v>SW</v>
      </c>
      <c r="V299" t="str">
        <f t="shared" si="176"/>
        <v>SW</v>
      </c>
      <c r="W299" t="str">
        <f t="shared" si="177"/>
        <v>W</v>
      </c>
      <c r="X299" t="str">
        <f t="shared" si="178"/>
        <v>W</v>
      </c>
      <c r="Y299" t="str">
        <f t="shared" si="179"/>
        <v>W</v>
      </c>
      <c r="Z299" t="str">
        <f t="shared" si="180"/>
        <v>SW</v>
      </c>
      <c r="AA299" t="str">
        <f t="shared" si="181"/>
        <v>SW</v>
      </c>
      <c r="AB299" t="str">
        <f t="shared" si="183"/>
        <v>SW</v>
      </c>
      <c r="AC299" t="str">
        <f t="shared" si="182"/>
        <v>SW</v>
      </c>
    </row>
    <row r="300" spans="1:29">
      <c r="Q300" t="str">
        <f t="shared" si="171"/>
        <v>N</v>
      </c>
      <c r="R300" t="str">
        <f t="shared" si="172"/>
        <v>NE</v>
      </c>
      <c r="S300" t="str">
        <f t="shared" si="173"/>
        <v>SE</v>
      </c>
      <c r="T300" t="str">
        <f t="shared" si="174"/>
        <v>SE</v>
      </c>
      <c r="U300" t="str">
        <f t="shared" si="175"/>
        <v>SE</v>
      </c>
      <c r="V300" t="str">
        <f t="shared" si="176"/>
        <v>SE</v>
      </c>
      <c r="W300" t="str">
        <f t="shared" si="177"/>
        <v>SE</v>
      </c>
      <c r="X300" t="str">
        <f t="shared" si="178"/>
        <v>SE</v>
      </c>
      <c r="Y300" t="str">
        <f t="shared" si="179"/>
        <v>SE</v>
      </c>
      <c r="Z300" t="str">
        <f t="shared" si="180"/>
        <v>SE</v>
      </c>
      <c r="AA300" t="str">
        <f t="shared" si="181"/>
        <v>N</v>
      </c>
      <c r="AB300" t="str">
        <f t="shared" si="183"/>
        <v>N</v>
      </c>
      <c r="AC300" t="str">
        <f t="shared" si="182"/>
        <v>SE</v>
      </c>
    </row>
    <row r="301" spans="1:29">
      <c r="Q301" t="str">
        <f t="shared" si="171"/>
        <v>S</v>
      </c>
      <c r="R301" t="str">
        <f t="shared" si="172"/>
        <v>N</v>
      </c>
      <c r="S301" t="str">
        <f t="shared" si="173"/>
        <v>S</v>
      </c>
      <c r="T301" t="str">
        <f t="shared" si="174"/>
        <v>S</v>
      </c>
      <c r="U301" t="str">
        <f t="shared" si="175"/>
        <v>S</v>
      </c>
      <c r="V301" t="str">
        <f t="shared" si="176"/>
        <v>S</v>
      </c>
      <c r="W301" t="str">
        <f t="shared" si="177"/>
        <v>S</v>
      </c>
      <c r="X301" t="str">
        <f t="shared" si="178"/>
        <v>S</v>
      </c>
      <c r="Y301" t="str">
        <f t="shared" si="179"/>
        <v>S</v>
      </c>
      <c r="Z301" t="str">
        <f t="shared" si="180"/>
        <v>S</v>
      </c>
      <c r="AA301" t="str">
        <f t="shared" si="181"/>
        <v>S</v>
      </c>
      <c r="AB301" t="str">
        <f t="shared" si="183"/>
        <v>S</v>
      </c>
      <c r="AC301" t="str">
        <f t="shared" si="182"/>
        <v>S</v>
      </c>
    </row>
    <row r="302" spans="1:29">
      <c r="Q302" t="str">
        <f t="shared" si="171"/>
        <v>N</v>
      </c>
      <c r="R302" t="str">
        <f t="shared" si="172"/>
        <v>N</v>
      </c>
      <c r="S302" t="str">
        <f t="shared" si="173"/>
        <v>S</v>
      </c>
      <c r="T302" t="str">
        <f t="shared" si="174"/>
        <v>S</v>
      </c>
      <c r="U302" t="str">
        <f t="shared" si="175"/>
        <v>S</v>
      </c>
      <c r="V302" t="str">
        <f t="shared" si="176"/>
        <v>S</v>
      </c>
      <c r="W302" t="str">
        <f t="shared" si="177"/>
        <v>S</v>
      </c>
      <c r="X302" t="str">
        <f t="shared" si="178"/>
        <v>S</v>
      </c>
      <c r="Y302" t="str">
        <f t="shared" si="179"/>
        <v>S</v>
      </c>
      <c r="Z302" t="str">
        <f t="shared" si="180"/>
        <v>S</v>
      </c>
      <c r="AA302" t="str">
        <f t="shared" si="181"/>
        <v>S</v>
      </c>
      <c r="AB302" t="str">
        <f t="shared" si="183"/>
        <v>N</v>
      </c>
      <c r="AC302" t="str">
        <f t="shared" si="182"/>
        <v>S</v>
      </c>
    </row>
    <row r="303" spans="1:29">
      <c r="Q303" t="str">
        <f t="shared" si="171"/>
        <v>N</v>
      </c>
      <c r="R303" t="str">
        <f t="shared" si="172"/>
        <v>N</v>
      </c>
      <c r="S303" t="str">
        <f t="shared" si="173"/>
        <v>N</v>
      </c>
      <c r="T303" t="str">
        <f t="shared" si="174"/>
        <v>N</v>
      </c>
      <c r="U303" t="str">
        <f t="shared" si="175"/>
        <v>S</v>
      </c>
      <c r="V303" t="str">
        <f t="shared" si="176"/>
        <v>S</v>
      </c>
      <c r="W303" t="str">
        <f t="shared" si="177"/>
        <v>SE</v>
      </c>
      <c r="X303" t="str">
        <f t="shared" si="178"/>
        <v>SE</v>
      </c>
      <c r="Y303" t="str">
        <f t="shared" si="179"/>
        <v>SE</v>
      </c>
      <c r="Z303" t="str">
        <f t="shared" si="180"/>
        <v>SE</v>
      </c>
      <c r="AA303" t="str">
        <f t="shared" si="181"/>
        <v>S</v>
      </c>
      <c r="AB303" t="str">
        <f t="shared" si="183"/>
        <v>S</v>
      </c>
      <c r="AC303" t="str">
        <f t="shared" si="182"/>
        <v>S</v>
      </c>
    </row>
    <row r="304" spans="1:29">
      <c r="Q304" t="str">
        <f t="shared" si="171"/>
        <v>S</v>
      </c>
      <c r="R304" t="str">
        <f t="shared" si="172"/>
        <v>S</v>
      </c>
      <c r="S304" t="str">
        <f t="shared" si="173"/>
        <v>S</v>
      </c>
      <c r="T304" t="str">
        <f t="shared" si="174"/>
        <v>S</v>
      </c>
      <c r="U304" t="str">
        <f t="shared" si="175"/>
        <v>S</v>
      </c>
      <c r="V304" t="str">
        <f t="shared" si="176"/>
        <v>S</v>
      </c>
      <c r="W304" t="str">
        <f t="shared" si="177"/>
        <v>S</v>
      </c>
      <c r="X304" t="str">
        <f t="shared" si="178"/>
        <v>S</v>
      </c>
      <c r="Y304" t="str">
        <f t="shared" si="179"/>
        <v>S</v>
      </c>
      <c r="Z304" t="str">
        <f t="shared" si="180"/>
        <v>S</v>
      </c>
      <c r="AA304" t="str">
        <f t="shared" si="181"/>
        <v>S</v>
      </c>
      <c r="AB304" t="str">
        <f t="shared" si="183"/>
        <v>S</v>
      </c>
      <c r="AC304" t="str">
        <f t="shared" si="182"/>
        <v>S</v>
      </c>
    </row>
    <row r="305" spans="17:29">
      <c r="Q305" t="str">
        <f t="shared" si="171"/>
        <v>E</v>
      </c>
      <c r="R305" t="str">
        <f t="shared" si="172"/>
        <v>E</v>
      </c>
      <c r="S305" t="str">
        <f t="shared" si="173"/>
        <v>E</v>
      </c>
      <c r="T305" t="str">
        <f t="shared" si="174"/>
        <v>E</v>
      </c>
      <c r="U305" t="str">
        <f t="shared" si="175"/>
        <v>SE</v>
      </c>
      <c r="V305" t="str">
        <f t="shared" si="176"/>
        <v>SE</v>
      </c>
      <c r="W305" t="str">
        <f t="shared" si="177"/>
        <v>SE</v>
      </c>
      <c r="X305" t="str">
        <f t="shared" si="178"/>
        <v>SE</v>
      </c>
      <c r="Y305" t="str">
        <f t="shared" si="179"/>
        <v>NW</v>
      </c>
      <c r="Z305" t="str">
        <f t="shared" si="180"/>
        <v>NW</v>
      </c>
      <c r="AA305" t="str">
        <f t="shared" si="181"/>
        <v>NW</v>
      </c>
      <c r="AB305" t="str">
        <f t="shared" si="183"/>
        <v>NW</v>
      </c>
      <c r="AC305" t="str">
        <f t="shared" si="182"/>
        <v>SE</v>
      </c>
    </row>
    <row r="306" spans="17:29">
      <c r="Q306" t="str">
        <f t="shared" si="171"/>
        <v>E</v>
      </c>
      <c r="R306" t="str">
        <f t="shared" si="172"/>
        <v>E</v>
      </c>
      <c r="S306" t="str">
        <f t="shared" si="173"/>
        <v>E</v>
      </c>
      <c r="T306" t="str">
        <f t="shared" si="174"/>
        <v>E</v>
      </c>
      <c r="U306" t="str">
        <f t="shared" si="175"/>
        <v>NW</v>
      </c>
      <c r="V306" t="str">
        <f t="shared" si="176"/>
        <v>NW</v>
      </c>
      <c r="W306" t="str">
        <f t="shared" si="177"/>
        <v>NW</v>
      </c>
      <c r="X306" t="str">
        <f t="shared" si="178"/>
        <v>NW</v>
      </c>
      <c r="Y306" t="str">
        <f t="shared" si="179"/>
        <v>NW</v>
      </c>
      <c r="Z306" t="str">
        <f t="shared" si="180"/>
        <v>NW</v>
      </c>
      <c r="AA306" t="str">
        <f t="shared" si="181"/>
        <v>NW</v>
      </c>
      <c r="AB306" t="str">
        <f t="shared" si="183"/>
        <v>NW</v>
      </c>
      <c r="AC306" t="str">
        <f t="shared" si="182"/>
        <v>NW</v>
      </c>
    </row>
    <row r="307" spans="17:29">
      <c r="Q307" t="str">
        <f t="shared" si="171"/>
        <v>S</v>
      </c>
      <c r="R307" t="str">
        <f t="shared" si="172"/>
        <v>S</v>
      </c>
      <c r="S307" t="str">
        <f t="shared" si="173"/>
        <v>S</v>
      </c>
      <c r="T307" t="str">
        <f t="shared" si="174"/>
        <v>S</v>
      </c>
      <c r="U307" t="str">
        <f t="shared" si="175"/>
        <v>S</v>
      </c>
      <c r="V307" t="str">
        <f t="shared" si="176"/>
        <v>S</v>
      </c>
      <c r="W307" t="str">
        <f t="shared" si="177"/>
        <v>S</v>
      </c>
      <c r="X307" t="str">
        <f t="shared" si="178"/>
        <v>S</v>
      </c>
      <c r="Y307" t="str">
        <f t="shared" si="179"/>
        <v>N</v>
      </c>
      <c r="Z307" t="str">
        <f t="shared" si="180"/>
        <v>N</v>
      </c>
      <c r="AA307" t="str">
        <f t="shared" si="181"/>
        <v>N</v>
      </c>
      <c r="AB307" t="str">
        <f t="shared" si="183"/>
        <v>N</v>
      </c>
      <c r="AC307" t="str">
        <f t="shared" si="182"/>
        <v>S</v>
      </c>
    </row>
    <row r="308" spans="17:29">
      <c r="Q308" t="str">
        <f t="shared" si="171"/>
        <v>N</v>
      </c>
      <c r="R308" t="str">
        <f t="shared" si="172"/>
        <v>N</v>
      </c>
      <c r="S308" t="str">
        <f t="shared" si="173"/>
        <v>NW</v>
      </c>
      <c r="T308" t="str">
        <f t="shared" si="174"/>
        <v>NW</v>
      </c>
      <c r="U308" t="str">
        <f t="shared" si="175"/>
        <v>NW</v>
      </c>
      <c r="V308" t="str">
        <f t="shared" si="176"/>
        <v>NW</v>
      </c>
      <c r="W308" t="str">
        <f t="shared" si="177"/>
        <v>NW</v>
      </c>
      <c r="X308" t="str">
        <f t="shared" si="178"/>
        <v>NW</v>
      </c>
      <c r="Y308" t="str">
        <f t="shared" si="179"/>
        <v>NW</v>
      </c>
      <c r="Z308" t="str">
        <f t="shared" si="180"/>
        <v>N</v>
      </c>
      <c r="AA308" t="str">
        <f t="shared" si="181"/>
        <v>N</v>
      </c>
      <c r="AB308" t="str">
        <f t="shared" si="183"/>
        <v>N</v>
      </c>
      <c r="AC308" t="str">
        <f t="shared" si="182"/>
        <v>NW</v>
      </c>
    </row>
    <row r="309" spans="17:29">
      <c r="Q309" t="str">
        <f t="shared" si="171"/>
        <v>SE</v>
      </c>
      <c r="R309" t="str">
        <f t="shared" si="172"/>
        <v>SE</v>
      </c>
      <c r="S309" t="str">
        <f t="shared" si="173"/>
        <v>SE</v>
      </c>
      <c r="T309" t="str">
        <f t="shared" si="174"/>
        <v>SE</v>
      </c>
      <c r="U309" t="str">
        <f t="shared" si="175"/>
        <v>W</v>
      </c>
      <c r="V309" t="str">
        <f t="shared" si="176"/>
        <v>W</v>
      </c>
      <c r="W309" t="str">
        <f t="shared" si="177"/>
        <v>W</v>
      </c>
      <c r="X309" t="str">
        <f t="shared" si="178"/>
        <v>W</v>
      </c>
      <c r="Y309" t="str">
        <f t="shared" si="179"/>
        <v>W</v>
      </c>
      <c r="Z309" t="str">
        <f t="shared" si="180"/>
        <v>W</v>
      </c>
      <c r="AA309" t="str">
        <f t="shared" si="181"/>
        <v>W</v>
      </c>
      <c r="AB309" t="str">
        <f t="shared" si="183"/>
        <v>W</v>
      </c>
      <c r="AC309" t="str">
        <f t="shared" si="182"/>
        <v>W</v>
      </c>
    </row>
    <row r="310" spans="17:29">
      <c r="Q310" t="str">
        <f t="shared" si="171"/>
        <v>W</v>
      </c>
      <c r="R310" t="str">
        <f t="shared" si="172"/>
        <v>W</v>
      </c>
      <c r="S310" t="str">
        <f t="shared" si="173"/>
        <v>W</v>
      </c>
      <c r="T310" t="str">
        <f t="shared" si="174"/>
        <v>W</v>
      </c>
      <c r="U310" t="str">
        <f t="shared" si="175"/>
        <v>NW</v>
      </c>
      <c r="V310" t="str">
        <f t="shared" si="176"/>
        <v>NW</v>
      </c>
      <c r="W310" t="str">
        <f t="shared" si="177"/>
        <v>NW</v>
      </c>
      <c r="X310" t="str">
        <f t="shared" si="178"/>
        <v>NW</v>
      </c>
      <c r="Y310" t="str">
        <f t="shared" si="179"/>
        <v>NW</v>
      </c>
      <c r="Z310" t="str">
        <f t="shared" si="180"/>
        <v>NW</v>
      </c>
      <c r="AA310" t="str">
        <f t="shared" si="181"/>
        <v>NW</v>
      </c>
      <c r="AB310" t="str">
        <f t="shared" si="183"/>
        <v>NW</v>
      </c>
      <c r="AC310" t="str">
        <f t="shared" si="182"/>
        <v>NW</v>
      </c>
    </row>
    <row r="311" spans="17:29">
      <c r="Q311" t="str">
        <f t="shared" si="171"/>
        <v>S</v>
      </c>
      <c r="R311" t="str">
        <f t="shared" si="172"/>
        <v>S</v>
      </c>
      <c r="S311" t="str">
        <f t="shared" si="173"/>
        <v>S</v>
      </c>
      <c r="T311" t="str">
        <f t="shared" si="174"/>
        <v>S</v>
      </c>
      <c r="U311" t="str">
        <f t="shared" si="175"/>
        <v>S</v>
      </c>
      <c r="V311" t="str">
        <f t="shared" si="176"/>
        <v>N</v>
      </c>
      <c r="W311" t="str">
        <f t="shared" si="177"/>
        <v>N</v>
      </c>
      <c r="X311" t="str">
        <f t="shared" si="178"/>
        <v>N</v>
      </c>
      <c r="Y311" t="str">
        <f t="shared" si="179"/>
        <v>N</v>
      </c>
      <c r="Z311" t="str">
        <f t="shared" si="180"/>
        <v>S</v>
      </c>
      <c r="AA311" t="str">
        <f t="shared" si="181"/>
        <v>S</v>
      </c>
      <c r="AB311" t="str">
        <f t="shared" si="183"/>
        <v>S</v>
      </c>
      <c r="AC311" t="str">
        <f t="shared" si="182"/>
        <v>S</v>
      </c>
    </row>
    <row r="312" spans="17:29">
      <c r="Q312" t="str">
        <f t="shared" si="171"/>
        <v>W</v>
      </c>
      <c r="R312" t="str">
        <f t="shared" si="172"/>
        <v>W</v>
      </c>
      <c r="S312" t="str">
        <f t="shared" si="173"/>
        <v>NW</v>
      </c>
      <c r="T312" t="str">
        <f t="shared" si="174"/>
        <v>SW</v>
      </c>
      <c r="U312" t="str">
        <f t="shared" si="175"/>
        <v>SW</v>
      </c>
      <c r="V312" t="str">
        <f t="shared" si="176"/>
        <v>SW</v>
      </c>
      <c r="W312" t="str">
        <f t="shared" si="177"/>
        <v>SW</v>
      </c>
      <c r="X312" t="str">
        <f t="shared" si="178"/>
        <v>SW</v>
      </c>
      <c r="Y312" t="str">
        <f t="shared" si="179"/>
        <v>SW</v>
      </c>
      <c r="Z312" t="str">
        <f t="shared" si="180"/>
        <v>SW</v>
      </c>
      <c r="AA312" t="str">
        <f t="shared" si="181"/>
        <v>SW</v>
      </c>
      <c r="AB312" t="str">
        <f t="shared" si="183"/>
        <v>W</v>
      </c>
      <c r="AC312" t="str">
        <f t="shared" si="182"/>
        <v>SW</v>
      </c>
    </row>
    <row r="313" spans="17:29">
      <c r="Q313" t="str">
        <f t="shared" si="171"/>
        <v>SW</v>
      </c>
      <c r="R313" t="str">
        <f t="shared" si="172"/>
        <v>SW</v>
      </c>
      <c r="S313" t="str">
        <f t="shared" si="173"/>
        <v>NW</v>
      </c>
      <c r="T313" t="str">
        <f t="shared" si="174"/>
        <v>SW</v>
      </c>
      <c r="U313" t="str">
        <f t="shared" si="175"/>
        <v>SW</v>
      </c>
      <c r="V313" t="str">
        <f t="shared" si="176"/>
        <v>SW</v>
      </c>
      <c r="W313" t="str">
        <f t="shared" si="177"/>
        <v>SW</v>
      </c>
      <c r="X313" t="str">
        <f t="shared" si="178"/>
        <v>SW</v>
      </c>
      <c r="Y313" t="str">
        <f t="shared" si="179"/>
        <v>SW</v>
      </c>
      <c r="Z313" t="str">
        <f t="shared" si="180"/>
        <v>SW</v>
      </c>
      <c r="AA313" t="str">
        <f t="shared" si="181"/>
        <v>SW</v>
      </c>
      <c r="AB313" t="str">
        <f t="shared" si="183"/>
        <v>SW</v>
      </c>
      <c r="AC313" t="str">
        <f t="shared" si="182"/>
        <v>SW</v>
      </c>
    </row>
    <row r="314" spans="17:29">
      <c r="Q314" t="str">
        <f t="shared" si="171"/>
        <v>S</v>
      </c>
      <c r="R314" t="str">
        <f t="shared" si="172"/>
        <v>S</v>
      </c>
      <c r="S314" t="str">
        <f t="shared" si="173"/>
        <v>S</v>
      </c>
      <c r="T314" t="str">
        <f t="shared" si="174"/>
        <v>S</v>
      </c>
      <c r="U314" t="str">
        <f t="shared" si="175"/>
        <v>S</v>
      </c>
      <c r="V314" t="str">
        <f t="shared" si="176"/>
        <v>S</v>
      </c>
      <c r="W314" t="str">
        <f t="shared" si="177"/>
        <v>S</v>
      </c>
      <c r="X314" t="str">
        <f t="shared" si="178"/>
        <v>S</v>
      </c>
      <c r="Y314" t="str">
        <f t="shared" si="179"/>
        <v>S</v>
      </c>
      <c r="Z314" t="str">
        <f t="shared" si="180"/>
        <v>S</v>
      </c>
      <c r="AA314" t="str">
        <f t="shared" si="181"/>
        <v>S</v>
      </c>
      <c r="AB314" t="str">
        <f t="shared" si="183"/>
        <v>S</v>
      </c>
      <c r="AC314" t="str">
        <f t="shared" si="182"/>
        <v>S</v>
      </c>
    </row>
    <row r="315" spans="17:29">
      <c r="Q315" t="str">
        <f t="shared" si="171"/>
        <v>NW</v>
      </c>
      <c r="R315" t="str">
        <f t="shared" si="172"/>
        <v>NW</v>
      </c>
      <c r="S315" t="str">
        <f t="shared" si="173"/>
        <v>NW</v>
      </c>
      <c r="T315" t="str">
        <f t="shared" si="174"/>
        <v>NW</v>
      </c>
      <c r="U315" t="str">
        <f t="shared" si="175"/>
        <v>NW</v>
      </c>
      <c r="V315" t="str">
        <f t="shared" si="176"/>
        <v>NW</v>
      </c>
      <c r="W315" t="str">
        <f t="shared" si="177"/>
        <v>NW</v>
      </c>
      <c r="X315" t="str">
        <f t="shared" si="178"/>
        <v>NW</v>
      </c>
      <c r="Y315" t="str">
        <f t="shared" si="179"/>
        <v>NW</v>
      </c>
      <c r="Z315" t="str">
        <f t="shared" si="180"/>
        <v>NW</v>
      </c>
      <c r="AA315" t="str">
        <f t="shared" si="181"/>
        <v>NW</v>
      </c>
      <c r="AB315" t="str">
        <f t="shared" si="183"/>
        <v>NW</v>
      </c>
      <c r="AC315" t="str">
        <f t="shared" si="182"/>
        <v>NW</v>
      </c>
    </row>
    <row r="316" spans="17:29">
      <c r="Q316" t="str">
        <f t="shared" si="171"/>
        <v>NW</v>
      </c>
      <c r="R316" t="str">
        <f t="shared" si="172"/>
        <v>NW</v>
      </c>
      <c r="S316" t="str">
        <f t="shared" si="173"/>
        <v>NW</v>
      </c>
      <c r="T316" t="str">
        <f t="shared" si="174"/>
        <v>NW</v>
      </c>
      <c r="U316" t="str">
        <f t="shared" si="175"/>
        <v>NW</v>
      </c>
      <c r="V316" t="str">
        <f t="shared" si="176"/>
        <v>NW</v>
      </c>
      <c r="W316" t="str">
        <f t="shared" si="177"/>
        <v>SW</v>
      </c>
      <c r="X316" t="str">
        <f t="shared" si="178"/>
        <v>SW</v>
      </c>
      <c r="Y316" t="str">
        <f t="shared" si="179"/>
        <v>SW</v>
      </c>
      <c r="Z316" t="str">
        <f t="shared" si="180"/>
        <v>SW</v>
      </c>
      <c r="AA316" t="str">
        <f t="shared" si="181"/>
        <v>SW</v>
      </c>
      <c r="AB316" t="str">
        <f t="shared" si="183"/>
        <v>SW</v>
      </c>
      <c r="AC316" t="str">
        <f t="shared" si="182"/>
        <v>SW</v>
      </c>
    </row>
    <row r="317" spans="17:29">
      <c r="Q317" t="str">
        <f t="shared" si="171"/>
        <v>W</v>
      </c>
      <c r="R317" t="str">
        <f t="shared" si="172"/>
        <v>W</v>
      </c>
      <c r="S317" t="str">
        <f t="shared" si="173"/>
        <v>W</v>
      </c>
      <c r="T317" t="str">
        <f t="shared" si="174"/>
        <v>W</v>
      </c>
      <c r="U317" t="str">
        <f t="shared" si="175"/>
        <v>W</v>
      </c>
      <c r="V317" t="str">
        <f t="shared" si="176"/>
        <v>W</v>
      </c>
      <c r="W317" t="str">
        <f t="shared" si="177"/>
        <v>SW</v>
      </c>
      <c r="X317" t="str">
        <f t="shared" si="178"/>
        <v>SW</v>
      </c>
      <c r="Y317" t="str">
        <f t="shared" si="179"/>
        <v>SW</v>
      </c>
      <c r="Z317" t="str">
        <f t="shared" si="180"/>
        <v>SW</v>
      </c>
      <c r="AA317" t="str">
        <f t="shared" si="181"/>
        <v>SW</v>
      </c>
      <c r="AB317" t="str">
        <f t="shared" si="183"/>
        <v>SW</v>
      </c>
      <c r="AC317" t="str">
        <f t="shared" si="182"/>
        <v>W</v>
      </c>
    </row>
    <row r="318" spans="17:29">
      <c r="Q318" t="str">
        <f t="shared" si="171"/>
        <v>W</v>
      </c>
      <c r="R318" t="str">
        <f t="shared" si="172"/>
        <v>W</v>
      </c>
      <c r="S318" t="str">
        <f t="shared" si="173"/>
        <v>W</v>
      </c>
      <c r="T318" t="str">
        <f t="shared" si="174"/>
        <v>W</v>
      </c>
      <c r="U318" t="str">
        <f t="shared" si="175"/>
        <v>NW</v>
      </c>
      <c r="V318" t="str">
        <f t="shared" si="176"/>
        <v>NW</v>
      </c>
      <c r="W318" t="str">
        <f t="shared" si="177"/>
        <v>W</v>
      </c>
      <c r="X318" t="str">
        <f t="shared" si="178"/>
        <v>W</v>
      </c>
      <c r="Y318" t="str">
        <f t="shared" si="179"/>
        <v>W</v>
      </c>
      <c r="Z318" t="str">
        <f t="shared" si="180"/>
        <v>W</v>
      </c>
      <c r="AA318" t="str">
        <f t="shared" si="181"/>
        <v>W</v>
      </c>
      <c r="AB318" t="str">
        <f t="shared" si="183"/>
        <v>W</v>
      </c>
      <c r="AC318" t="str">
        <f t="shared" si="182"/>
        <v>W</v>
      </c>
    </row>
    <row r="319" spans="17:29">
      <c r="Q319" t="str">
        <f t="shared" si="171"/>
        <v>NW</v>
      </c>
      <c r="R319" t="str">
        <f t="shared" si="172"/>
        <v>NW</v>
      </c>
      <c r="S319" t="str">
        <f t="shared" si="173"/>
        <v>NW</v>
      </c>
      <c r="T319" t="str">
        <f t="shared" si="174"/>
        <v>NW</v>
      </c>
      <c r="U319" t="str">
        <f t="shared" si="175"/>
        <v>NW</v>
      </c>
      <c r="V319" t="str">
        <f t="shared" si="176"/>
        <v>NW</v>
      </c>
      <c r="W319" t="str">
        <f t="shared" si="177"/>
        <v>NW</v>
      </c>
      <c r="X319" t="str">
        <f t="shared" si="178"/>
        <v>NW</v>
      </c>
      <c r="Y319" t="str">
        <f t="shared" si="179"/>
        <v>NW</v>
      </c>
      <c r="Z319" t="str">
        <f t="shared" si="180"/>
        <v>NW</v>
      </c>
      <c r="AA319" t="str">
        <f t="shared" si="181"/>
        <v>NW</v>
      </c>
      <c r="AB319" t="str">
        <f t="shared" si="183"/>
        <v>NW</v>
      </c>
      <c r="AC319" t="str">
        <f t="shared" si="182"/>
        <v>NW</v>
      </c>
    </row>
    <row r="320" spans="17:29">
      <c r="Q320" t="str">
        <f t="shared" si="171"/>
        <v>W</v>
      </c>
      <c r="R320" t="str">
        <f t="shared" si="172"/>
        <v>W</v>
      </c>
      <c r="S320" t="str">
        <f t="shared" si="173"/>
        <v>S</v>
      </c>
      <c r="T320" t="str">
        <f t="shared" si="174"/>
        <v>S</v>
      </c>
      <c r="U320" t="str">
        <f t="shared" si="175"/>
        <v>S</v>
      </c>
      <c r="V320" t="str">
        <f t="shared" si="176"/>
        <v>S</v>
      </c>
      <c r="W320" t="str">
        <f t="shared" si="177"/>
        <v>S</v>
      </c>
      <c r="X320" t="str">
        <f t="shared" si="178"/>
        <v>S</v>
      </c>
      <c r="Y320" t="str">
        <f t="shared" si="179"/>
        <v>N</v>
      </c>
      <c r="Z320" t="str">
        <f t="shared" si="180"/>
        <v>N</v>
      </c>
      <c r="AA320" t="str">
        <f t="shared" si="181"/>
        <v>N</v>
      </c>
      <c r="AB320" t="str">
        <f t="shared" si="183"/>
        <v>W</v>
      </c>
      <c r="AC320" t="str">
        <f t="shared" si="182"/>
        <v>S</v>
      </c>
    </row>
    <row r="321" spans="17:29">
      <c r="Q321" t="str">
        <f t="shared" si="171"/>
        <v>W</v>
      </c>
      <c r="R321" t="str">
        <f t="shared" si="172"/>
        <v>N</v>
      </c>
      <c r="S321" t="str">
        <f t="shared" si="173"/>
        <v>W</v>
      </c>
      <c r="T321" t="str">
        <f t="shared" si="174"/>
        <v>W</v>
      </c>
      <c r="U321" t="str">
        <f t="shared" si="175"/>
        <v>S</v>
      </c>
      <c r="V321" t="str">
        <f t="shared" si="176"/>
        <v>S</v>
      </c>
      <c r="W321" t="str">
        <f t="shared" si="177"/>
        <v>SW</v>
      </c>
      <c r="X321" t="str">
        <f t="shared" si="178"/>
        <v>S</v>
      </c>
      <c r="Y321" t="str">
        <f t="shared" si="179"/>
        <v>N</v>
      </c>
      <c r="Z321" t="str">
        <f t="shared" si="180"/>
        <v>N</v>
      </c>
      <c r="AA321" t="str">
        <f t="shared" si="181"/>
        <v>N</v>
      </c>
      <c r="AB321" t="str">
        <f t="shared" si="183"/>
        <v>W</v>
      </c>
      <c r="AC321" t="str">
        <f t="shared" si="182"/>
        <v>W</v>
      </c>
    </row>
    <row r="322" spans="17:29">
      <c r="Q322" t="str">
        <f t="shared" si="171"/>
        <v>NW</v>
      </c>
      <c r="R322" t="str">
        <f t="shared" si="172"/>
        <v>NW</v>
      </c>
      <c r="S322" t="str">
        <f t="shared" si="173"/>
        <v>NW</v>
      </c>
      <c r="T322" t="str">
        <f t="shared" si="174"/>
        <v>S</v>
      </c>
      <c r="U322" t="str">
        <f t="shared" si="175"/>
        <v>S</v>
      </c>
      <c r="V322" t="str">
        <f t="shared" si="176"/>
        <v>S</v>
      </c>
      <c r="W322" t="str">
        <f t="shared" si="177"/>
        <v>S</v>
      </c>
      <c r="X322" t="str">
        <f t="shared" si="178"/>
        <v>S</v>
      </c>
      <c r="Y322" t="str">
        <f t="shared" si="179"/>
        <v>S</v>
      </c>
      <c r="Z322" t="str">
        <f t="shared" si="180"/>
        <v>S</v>
      </c>
      <c r="AA322" t="str">
        <f t="shared" si="181"/>
        <v>S</v>
      </c>
      <c r="AB322" t="str">
        <f t="shared" si="183"/>
        <v>NW</v>
      </c>
      <c r="AC322" t="str">
        <f t="shared" si="182"/>
        <v>S</v>
      </c>
    </row>
    <row r="323" spans="17:29">
      <c r="Q323" t="str">
        <f t="shared" si="171"/>
        <v>SW</v>
      </c>
      <c r="R323" t="str">
        <f t="shared" si="172"/>
        <v>SW</v>
      </c>
      <c r="S323" t="str">
        <f t="shared" si="173"/>
        <v>SW</v>
      </c>
      <c r="T323" t="str">
        <f t="shared" si="174"/>
        <v>SW</v>
      </c>
      <c r="U323" t="str">
        <f t="shared" si="175"/>
        <v>NE</v>
      </c>
      <c r="V323" t="str">
        <f t="shared" si="176"/>
        <v>NE</v>
      </c>
      <c r="W323" t="str">
        <f t="shared" si="177"/>
        <v>NE</v>
      </c>
      <c r="X323" t="str">
        <f t="shared" si="178"/>
        <v>NE</v>
      </c>
      <c r="Y323" t="str">
        <f t="shared" si="179"/>
        <v>NE</v>
      </c>
      <c r="Z323" t="str">
        <f t="shared" si="180"/>
        <v>NE</v>
      </c>
      <c r="AA323" t="str">
        <f t="shared" si="181"/>
        <v>NE</v>
      </c>
      <c r="AB323" t="str">
        <f t="shared" si="183"/>
        <v>NE</v>
      </c>
      <c r="AC323" t="str">
        <f t="shared" si="182"/>
        <v>SW</v>
      </c>
    </row>
    <row r="324" spans="17:29">
      <c r="Q324" t="str">
        <f t="shared" si="171"/>
        <v>N</v>
      </c>
      <c r="R324" t="str">
        <f t="shared" si="172"/>
        <v>N</v>
      </c>
      <c r="S324" t="str">
        <f t="shared" si="173"/>
        <v>N</v>
      </c>
      <c r="T324" t="str">
        <f t="shared" si="174"/>
        <v>S</v>
      </c>
      <c r="U324" t="str">
        <f t="shared" si="175"/>
        <v>S</v>
      </c>
      <c r="V324" t="str">
        <f t="shared" si="176"/>
        <v>S</v>
      </c>
      <c r="W324" t="str">
        <f t="shared" si="177"/>
        <v>SW</v>
      </c>
      <c r="X324" t="str">
        <f t="shared" si="178"/>
        <v>S</v>
      </c>
      <c r="Y324" t="str">
        <f t="shared" si="179"/>
        <v>NE</v>
      </c>
      <c r="Z324" t="str">
        <f t="shared" si="180"/>
        <v>N</v>
      </c>
      <c r="AA324" t="str">
        <f t="shared" si="181"/>
        <v>N</v>
      </c>
      <c r="AB324" t="str">
        <f t="shared" si="183"/>
        <v>N</v>
      </c>
      <c r="AC324" t="str">
        <f t="shared" si="182"/>
        <v>N</v>
      </c>
    </row>
    <row r="325" spans="17:29">
      <c r="Q325" t="str">
        <f t="shared" si="171"/>
        <v>S</v>
      </c>
      <c r="R325" t="str">
        <f t="shared" si="172"/>
        <v>S</v>
      </c>
      <c r="S325" t="str">
        <f t="shared" si="173"/>
        <v>S</v>
      </c>
      <c r="T325" t="str">
        <f t="shared" si="174"/>
        <v>S</v>
      </c>
      <c r="U325" t="str">
        <f t="shared" si="175"/>
        <v>S</v>
      </c>
      <c r="V325" t="str">
        <f t="shared" si="176"/>
        <v>S</v>
      </c>
      <c r="W325" t="str">
        <f t="shared" si="177"/>
        <v>S</v>
      </c>
      <c r="X325" t="str">
        <f t="shared" si="178"/>
        <v>S</v>
      </c>
      <c r="Y325" t="str">
        <f t="shared" si="179"/>
        <v>N</v>
      </c>
      <c r="Z325" t="str">
        <f t="shared" si="180"/>
        <v>N</v>
      </c>
      <c r="AA325" t="str">
        <f t="shared" si="181"/>
        <v>N</v>
      </c>
      <c r="AB325" t="str">
        <f t="shared" si="183"/>
        <v>N</v>
      </c>
      <c r="AC325" t="str">
        <f t="shared" si="182"/>
        <v>N</v>
      </c>
    </row>
    <row r="326" spans="17:29">
      <c r="Q326" t="str">
        <f t="shared" si="171"/>
        <v>NW</v>
      </c>
      <c r="R326" t="str">
        <f t="shared" si="172"/>
        <v>NW</v>
      </c>
      <c r="S326" t="str">
        <f t="shared" si="173"/>
        <v>NW</v>
      </c>
      <c r="T326" t="str">
        <f t="shared" si="174"/>
        <v>NW</v>
      </c>
      <c r="U326" t="str">
        <f t="shared" si="175"/>
        <v>NW</v>
      </c>
      <c r="V326" t="str">
        <f t="shared" si="176"/>
        <v>NW</v>
      </c>
      <c r="W326" t="str">
        <f t="shared" si="177"/>
        <v>N</v>
      </c>
      <c r="X326" t="str">
        <f t="shared" si="178"/>
        <v>N</v>
      </c>
      <c r="Y326" t="str">
        <f t="shared" si="179"/>
        <v>SE</v>
      </c>
      <c r="Z326" t="str">
        <f t="shared" si="180"/>
        <v>SE</v>
      </c>
      <c r="AA326" t="str">
        <f t="shared" si="181"/>
        <v>SE</v>
      </c>
      <c r="AB326" t="str">
        <f t="shared" si="183"/>
        <v>SE</v>
      </c>
      <c r="AC326" t="str">
        <f t="shared" si="182"/>
        <v>SE</v>
      </c>
    </row>
    <row r="327" spans="17:29">
      <c r="Q327" t="str">
        <f t="shared" si="171"/>
        <v>NW</v>
      </c>
      <c r="R327" t="str">
        <f t="shared" si="172"/>
        <v>NW</v>
      </c>
      <c r="S327" t="str">
        <f t="shared" si="173"/>
        <v>NW</v>
      </c>
      <c r="T327" t="str">
        <f t="shared" si="174"/>
        <v>NW</v>
      </c>
      <c r="U327" t="str">
        <f t="shared" si="175"/>
        <v>NW</v>
      </c>
      <c r="V327" t="str">
        <f t="shared" si="176"/>
        <v>NW</v>
      </c>
      <c r="W327" t="str">
        <f t="shared" si="177"/>
        <v>NW</v>
      </c>
      <c r="X327" t="str">
        <f t="shared" si="178"/>
        <v>NW</v>
      </c>
      <c r="Y327" t="str">
        <f t="shared" si="179"/>
        <v>NW</v>
      </c>
      <c r="Z327" t="str">
        <f t="shared" si="180"/>
        <v>NW</v>
      </c>
      <c r="AA327" t="str">
        <f t="shared" si="181"/>
        <v>NW</v>
      </c>
      <c r="AB327" t="str">
        <f t="shared" si="183"/>
        <v>NW</v>
      </c>
      <c r="AC327" t="str">
        <f t="shared" si="182"/>
        <v>NW</v>
      </c>
    </row>
    <row r="328" spans="17:29">
      <c r="Q328" t="str">
        <f t="shared" si="171"/>
        <v>NW</v>
      </c>
      <c r="R328" t="str">
        <f t="shared" si="172"/>
        <v>NW</v>
      </c>
      <c r="S328" t="str">
        <f t="shared" si="173"/>
        <v>NW</v>
      </c>
      <c r="T328" t="str">
        <f t="shared" si="174"/>
        <v>NW</v>
      </c>
      <c r="U328" t="str">
        <f t="shared" si="175"/>
        <v>NW</v>
      </c>
      <c r="V328" t="str">
        <f t="shared" si="176"/>
        <v>NW</v>
      </c>
      <c r="W328" t="str">
        <f t="shared" si="177"/>
        <v>N</v>
      </c>
      <c r="X328" t="str">
        <f t="shared" si="178"/>
        <v>N</v>
      </c>
      <c r="Y328" t="str">
        <f t="shared" si="179"/>
        <v>S</v>
      </c>
      <c r="Z328" t="str">
        <f t="shared" si="180"/>
        <v>S</v>
      </c>
      <c r="AA328" t="str">
        <f t="shared" si="181"/>
        <v>S</v>
      </c>
      <c r="AB328" t="str">
        <f t="shared" si="183"/>
        <v>S</v>
      </c>
      <c r="AC328" t="str">
        <f t="shared" si="182"/>
        <v>S</v>
      </c>
    </row>
    <row r="329" spans="17:29">
      <c r="Q329" t="str">
        <f t="shared" si="171"/>
        <v>SW</v>
      </c>
      <c r="R329" t="str">
        <f t="shared" si="172"/>
        <v>W</v>
      </c>
      <c r="S329" t="str">
        <f t="shared" si="173"/>
        <v>SW</v>
      </c>
      <c r="T329" t="str">
        <f t="shared" si="174"/>
        <v>SW</v>
      </c>
      <c r="U329" t="str">
        <f t="shared" si="175"/>
        <v>SW</v>
      </c>
      <c r="V329" t="str">
        <f t="shared" si="176"/>
        <v>SW</v>
      </c>
      <c r="W329" t="str">
        <f t="shared" si="177"/>
        <v>SW</v>
      </c>
      <c r="X329" t="str">
        <f t="shared" si="178"/>
        <v>NE</v>
      </c>
      <c r="Y329" t="str">
        <f t="shared" si="179"/>
        <v>NE</v>
      </c>
      <c r="Z329" t="str">
        <f t="shared" si="180"/>
        <v>NE</v>
      </c>
      <c r="AA329" t="str">
        <f t="shared" si="181"/>
        <v>SW</v>
      </c>
      <c r="AB329" t="str">
        <f t="shared" si="183"/>
        <v>SW</v>
      </c>
      <c r="AC329" t="str">
        <f t="shared" si="182"/>
        <v>SW</v>
      </c>
    </row>
    <row r="330" spans="17:29">
      <c r="Q330" t="str">
        <f t="shared" si="171"/>
        <v>N</v>
      </c>
      <c r="R330" t="str">
        <f t="shared" si="172"/>
        <v>N</v>
      </c>
      <c r="S330" t="str">
        <f t="shared" si="173"/>
        <v>S</v>
      </c>
      <c r="T330" t="str">
        <f t="shared" si="174"/>
        <v>S</v>
      </c>
      <c r="U330" t="str">
        <f t="shared" si="175"/>
        <v>S</v>
      </c>
      <c r="V330" t="str">
        <f t="shared" si="176"/>
        <v>S</v>
      </c>
      <c r="W330" t="str">
        <f t="shared" si="177"/>
        <v>S</v>
      </c>
      <c r="X330" t="str">
        <f t="shared" si="178"/>
        <v>S</v>
      </c>
      <c r="Y330" t="str">
        <f t="shared" si="179"/>
        <v>S</v>
      </c>
      <c r="Z330" t="str">
        <f t="shared" si="180"/>
        <v>N</v>
      </c>
      <c r="AA330" t="str">
        <f t="shared" si="181"/>
        <v>S</v>
      </c>
      <c r="AB330" t="str">
        <f t="shared" si="183"/>
        <v>S</v>
      </c>
      <c r="AC330" t="str">
        <f t="shared" si="182"/>
        <v>S</v>
      </c>
    </row>
    <row r="331" spans="17:29">
      <c r="Q331" t="str">
        <f t="shared" si="171"/>
        <v>SW</v>
      </c>
      <c r="R331" t="str">
        <f t="shared" si="172"/>
        <v>SW</v>
      </c>
      <c r="S331" t="str">
        <f t="shared" si="173"/>
        <v>SW</v>
      </c>
      <c r="T331" t="str">
        <f t="shared" si="174"/>
        <v>SW</v>
      </c>
      <c r="U331" t="str">
        <f t="shared" si="175"/>
        <v>SW</v>
      </c>
      <c r="V331" t="str">
        <f t="shared" si="176"/>
        <v>SW</v>
      </c>
      <c r="W331" t="str">
        <f t="shared" si="177"/>
        <v>SW</v>
      </c>
      <c r="X331" t="str">
        <f t="shared" si="178"/>
        <v>SW</v>
      </c>
      <c r="Y331" t="str">
        <f t="shared" si="179"/>
        <v>NE</v>
      </c>
      <c r="Z331" t="str">
        <f t="shared" si="180"/>
        <v>NE</v>
      </c>
      <c r="AA331" t="str">
        <f t="shared" si="181"/>
        <v>NE</v>
      </c>
      <c r="AB331" t="str">
        <f t="shared" si="183"/>
        <v>SW</v>
      </c>
      <c r="AC331" t="str">
        <f t="shared" si="182"/>
        <v>SW</v>
      </c>
    </row>
    <row r="332" spans="17:29">
      <c r="Q332" t="str">
        <f t="shared" si="171"/>
        <v>N</v>
      </c>
      <c r="R332" t="str">
        <f t="shared" si="172"/>
        <v>N</v>
      </c>
      <c r="S332" t="str">
        <f t="shared" si="173"/>
        <v>S</v>
      </c>
      <c r="T332" t="str">
        <f t="shared" si="174"/>
        <v>SW</v>
      </c>
      <c r="U332" t="str">
        <f t="shared" si="175"/>
        <v>S</v>
      </c>
      <c r="V332" t="str">
        <f t="shared" si="176"/>
        <v>SW</v>
      </c>
      <c r="W332" t="str">
        <f t="shared" si="177"/>
        <v>SW</v>
      </c>
      <c r="X332" t="str">
        <f t="shared" si="178"/>
        <v>SW</v>
      </c>
      <c r="Y332" t="str">
        <f t="shared" si="179"/>
        <v>N</v>
      </c>
      <c r="Z332" t="str">
        <f t="shared" si="180"/>
        <v>SE</v>
      </c>
      <c r="AA332" t="str">
        <f t="shared" si="181"/>
        <v>S</v>
      </c>
      <c r="AB332" t="str">
        <f t="shared" si="183"/>
        <v>S</v>
      </c>
      <c r="AC332" t="str">
        <f t="shared" si="182"/>
        <v>S</v>
      </c>
    </row>
    <row r="333" spans="17:29">
      <c r="Q333" t="str">
        <f t="shared" si="171"/>
        <v>S</v>
      </c>
      <c r="R333" t="str">
        <f t="shared" si="172"/>
        <v>S</v>
      </c>
      <c r="S333" t="str">
        <f t="shared" si="173"/>
        <v>S</v>
      </c>
      <c r="T333" t="str">
        <f t="shared" si="174"/>
        <v>S</v>
      </c>
      <c r="U333" t="str">
        <f t="shared" si="175"/>
        <v>S</v>
      </c>
      <c r="V333" t="str">
        <f t="shared" si="176"/>
        <v>S</v>
      </c>
      <c r="W333" t="str">
        <f t="shared" si="177"/>
        <v>S</v>
      </c>
      <c r="X333" t="str">
        <f t="shared" si="178"/>
        <v>S</v>
      </c>
      <c r="Y333" t="str">
        <f t="shared" si="179"/>
        <v>S</v>
      </c>
      <c r="Z333" t="str">
        <f t="shared" si="180"/>
        <v>S</v>
      </c>
      <c r="AA333" t="str">
        <f t="shared" si="181"/>
        <v>S</v>
      </c>
      <c r="AB333" t="str">
        <f t="shared" si="183"/>
        <v>S</v>
      </c>
      <c r="AC333" t="str">
        <f t="shared" si="182"/>
        <v>S</v>
      </c>
    </row>
    <row r="334" spans="17:29">
      <c r="Q334" t="str">
        <f t="shared" si="171"/>
        <v>SW</v>
      </c>
      <c r="R334" t="str">
        <f t="shared" si="172"/>
        <v>NE</v>
      </c>
      <c r="S334" t="str">
        <f t="shared" si="173"/>
        <v>SW</v>
      </c>
      <c r="T334" t="str">
        <f t="shared" si="174"/>
        <v>SW</v>
      </c>
      <c r="U334" t="str">
        <f t="shared" si="175"/>
        <v>SW</v>
      </c>
      <c r="V334" t="str">
        <f t="shared" si="176"/>
        <v>SW</v>
      </c>
      <c r="W334" t="str">
        <f t="shared" si="177"/>
        <v>SW</v>
      </c>
      <c r="X334" t="str">
        <f t="shared" si="178"/>
        <v>E</v>
      </c>
      <c r="Y334" t="str">
        <f t="shared" si="179"/>
        <v>E</v>
      </c>
      <c r="Z334" t="str">
        <f t="shared" si="180"/>
        <v>E</v>
      </c>
      <c r="AA334" t="str">
        <f t="shared" si="181"/>
        <v>E</v>
      </c>
      <c r="AB334" t="str">
        <f t="shared" si="183"/>
        <v>SW</v>
      </c>
      <c r="AC334" t="str">
        <f t="shared" si="182"/>
        <v>SW</v>
      </c>
    </row>
    <row r="335" spans="17:29">
      <c r="Q335" t="str">
        <f t="shared" si="171"/>
        <v>N</v>
      </c>
      <c r="R335" t="str">
        <f t="shared" si="172"/>
        <v>N</v>
      </c>
      <c r="S335" t="str">
        <f t="shared" si="173"/>
        <v>S</v>
      </c>
      <c r="T335" t="str">
        <f t="shared" si="174"/>
        <v>S</v>
      </c>
      <c r="U335" t="str">
        <f t="shared" si="175"/>
        <v>SE</v>
      </c>
      <c r="V335" t="str">
        <f t="shared" si="176"/>
        <v>S</v>
      </c>
      <c r="W335" t="str">
        <f t="shared" si="177"/>
        <v>S</v>
      </c>
      <c r="X335" t="str">
        <f t="shared" si="178"/>
        <v>S</v>
      </c>
      <c r="Y335" t="str">
        <f t="shared" si="179"/>
        <v>S</v>
      </c>
      <c r="Z335" t="str">
        <f t="shared" si="180"/>
        <v>S</v>
      </c>
      <c r="AA335" t="str">
        <f t="shared" si="181"/>
        <v>S</v>
      </c>
      <c r="AB335" t="str">
        <f t="shared" si="183"/>
        <v>S</v>
      </c>
      <c r="AC335" t="str">
        <f t="shared" si="182"/>
        <v>S</v>
      </c>
    </row>
    <row r="336" spans="17:29">
      <c r="Q336" t="str">
        <f t="shared" si="171"/>
        <v>SW</v>
      </c>
      <c r="R336" t="str">
        <f t="shared" si="172"/>
        <v>SW</v>
      </c>
      <c r="S336" t="str">
        <f t="shared" si="173"/>
        <v>SW</v>
      </c>
      <c r="T336" t="str">
        <f t="shared" si="174"/>
        <v>N</v>
      </c>
      <c r="U336" t="str">
        <f t="shared" si="175"/>
        <v>N</v>
      </c>
      <c r="V336" t="str">
        <f t="shared" si="176"/>
        <v>N</v>
      </c>
      <c r="W336" t="str">
        <f t="shared" si="177"/>
        <v>SW</v>
      </c>
      <c r="X336" t="str">
        <f t="shared" si="178"/>
        <v>SW</v>
      </c>
      <c r="Y336" t="str">
        <f t="shared" si="179"/>
        <v>SW</v>
      </c>
      <c r="Z336" t="str">
        <f t="shared" si="180"/>
        <v>S</v>
      </c>
      <c r="AA336" t="str">
        <f t="shared" si="181"/>
        <v>S</v>
      </c>
      <c r="AB336" t="str">
        <f t="shared" si="183"/>
        <v>S</v>
      </c>
      <c r="AC336" t="str">
        <f t="shared" si="182"/>
        <v>SW</v>
      </c>
    </row>
    <row r="337" spans="17:29">
      <c r="Q337" t="str">
        <f t="shared" si="171"/>
        <v>S</v>
      </c>
      <c r="R337" t="str">
        <f t="shared" si="172"/>
        <v>S</v>
      </c>
      <c r="S337" t="str">
        <f t="shared" si="173"/>
        <v>S</v>
      </c>
      <c r="T337" t="str">
        <f t="shared" si="174"/>
        <v>S</v>
      </c>
      <c r="U337" t="str">
        <f t="shared" si="175"/>
        <v>S</v>
      </c>
      <c r="V337" t="str">
        <f t="shared" si="176"/>
        <v>S</v>
      </c>
      <c r="W337" t="str">
        <f t="shared" si="177"/>
        <v>S</v>
      </c>
      <c r="X337" t="str">
        <f t="shared" si="178"/>
        <v>S</v>
      </c>
      <c r="Y337" t="str">
        <f t="shared" si="179"/>
        <v>S</v>
      </c>
      <c r="Z337" t="str">
        <f t="shared" si="180"/>
        <v>S</v>
      </c>
      <c r="AA337" t="str">
        <f t="shared" si="181"/>
        <v>S</v>
      </c>
      <c r="AB337" t="str">
        <f t="shared" si="183"/>
        <v>S</v>
      </c>
      <c r="AC337" t="str">
        <f t="shared" si="182"/>
        <v>S</v>
      </c>
    </row>
    <row r="338" spans="17:29">
      <c r="Q338" t="str">
        <f t="shared" si="171"/>
        <v>NW</v>
      </c>
      <c r="R338" t="str">
        <f t="shared" si="172"/>
        <v>NW</v>
      </c>
      <c r="S338" t="str">
        <f t="shared" si="173"/>
        <v>NW</v>
      </c>
      <c r="T338" t="str">
        <f t="shared" si="174"/>
        <v>NW</v>
      </c>
      <c r="U338" t="str">
        <f t="shared" si="175"/>
        <v>NW</v>
      </c>
      <c r="V338" t="str">
        <f t="shared" si="176"/>
        <v>NW</v>
      </c>
      <c r="W338" t="str">
        <f t="shared" si="177"/>
        <v>NW</v>
      </c>
      <c r="X338" t="str">
        <f t="shared" si="178"/>
        <v>NW</v>
      </c>
      <c r="Y338" t="str">
        <f t="shared" si="179"/>
        <v>SE</v>
      </c>
      <c r="Z338" t="str">
        <f t="shared" si="180"/>
        <v>SE</v>
      </c>
      <c r="AA338" t="str">
        <f t="shared" si="181"/>
        <v>SE</v>
      </c>
      <c r="AB338" t="str">
        <f t="shared" si="183"/>
        <v>SE</v>
      </c>
      <c r="AC338" t="str">
        <f t="shared" si="182"/>
        <v>NW</v>
      </c>
    </row>
    <row r="339" spans="17:29">
      <c r="Q339" t="str">
        <f t="shared" si="171"/>
        <v>N</v>
      </c>
      <c r="R339" t="str">
        <f t="shared" si="172"/>
        <v>SE</v>
      </c>
      <c r="S339" t="str">
        <f t="shared" si="173"/>
        <v>SE</v>
      </c>
      <c r="T339" t="str">
        <f t="shared" si="174"/>
        <v>SE</v>
      </c>
      <c r="U339" t="str">
        <f t="shared" si="175"/>
        <v>SE</v>
      </c>
      <c r="V339" t="str">
        <f t="shared" si="176"/>
        <v>SE</v>
      </c>
      <c r="W339" t="str">
        <f t="shared" si="177"/>
        <v>SE</v>
      </c>
      <c r="X339" t="str">
        <f t="shared" si="178"/>
        <v>SE</v>
      </c>
      <c r="Y339" t="str">
        <f t="shared" si="179"/>
        <v>SE</v>
      </c>
      <c r="Z339" t="str">
        <f t="shared" si="180"/>
        <v>SE</v>
      </c>
      <c r="AA339" t="str">
        <f t="shared" si="181"/>
        <v>SE</v>
      </c>
      <c r="AB339" t="str">
        <f t="shared" si="183"/>
        <v>N</v>
      </c>
      <c r="AC339" t="str">
        <f t="shared" si="182"/>
        <v>SE</v>
      </c>
    </row>
    <row r="340" spans="17:29">
      <c r="Q340" t="str">
        <f t="shared" si="171"/>
        <v>S</v>
      </c>
      <c r="R340" t="str">
        <f t="shared" si="172"/>
        <v>S</v>
      </c>
      <c r="S340" t="str">
        <f t="shared" si="173"/>
        <v>S</v>
      </c>
      <c r="T340" t="str">
        <f t="shared" si="174"/>
        <v>S</v>
      </c>
      <c r="U340" t="str">
        <f t="shared" si="175"/>
        <v>S</v>
      </c>
      <c r="V340" t="str">
        <f t="shared" si="176"/>
        <v>S</v>
      </c>
      <c r="W340" t="str">
        <f t="shared" si="177"/>
        <v>S</v>
      </c>
      <c r="X340" t="str">
        <f t="shared" si="178"/>
        <v>S</v>
      </c>
      <c r="Y340" t="str">
        <f t="shared" si="179"/>
        <v>S</v>
      </c>
      <c r="Z340" t="str">
        <f t="shared" si="180"/>
        <v>S</v>
      </c>
      <c r="AA340" t="str">
        <f t="shared" si="181"/>
        <v>S</v>
      </c>
      <c r="AB340" t="str">
        <f t="shared" si="183"/>
        <v>S</v>
      </c>
      <c r="AC340" t="str">
        <f t="shared" si="182"/>
        <v>S</v>
      </c>
    </row>
    <row r="341" spans="17:29">
      <c r="Q341" t="str">
        <f t="shared" si="171"/>
        <v>NE</v>
      </c>
      <c r="R341" t="str">
        <f t="shared" si="172"/>
        <v>W</v>
      </c>
      <c r="S341" t="str">
        <f t="shared" si="173"/>
        <v>W</v>
      </c>
      <c r="T341" t="str">
        <f t="shared" si="174"/>
        <v>W</v>
      </c>
      <c r="U341" t="str">
        <f t="shared" si="175"/>
        <v>W</v>
      </c>
      <c r="V341" t="str">
        <f t="shared" si="176"/>
        <v>SE</v>
      </c>
      <c r="W341" t="str">
        <f t="shared" si="177"/>
        <v>SE</v>
      </c>
      <c r="X341" t="str">
        <f t="shared" si="178"/>
        <v>N</v>
      </c>
      <c r="Y341" t="str">
        <f t="shared" si="179"/>
        <v>S</v>
      </c>
      <c r="Z341" t="str">
        <f t="shared" si="180"/>
        <v>N</v>
      </c>
      <c r="AA341" t="str">
        <f t="shared" si="181"/>
        <v>NE</v>
      </c>
      <c r="AB341" t="str">
        <f t="shared" si="183"/>
        <v>N</v>
      </c>
      <c r="AC341" t="str">
        <f t="shared" si="182"/>
        <v>N</v>
      </c>
    </row>
    <row r="342" spans="17:29">
      <c r="Q342" t="str">
        <f t="shared" si="171"/>
        <v>N</v>
      </c>
      <c r="R342" t="str">
        <f t="shared" si="172"/>
        <v>N</v>
      </c>
      <c r="S342" t="str">
        <f t="shared" si="173"/>
        <v>N</v>
      </c>
      <c r="T342" t="str">
        <f t="shared" si="174"/>
        <v>N</v>
      </c>
      <c r="U342" t="str">
        <f t="shared" si="175"/>
        <v>SE</v>
      </c>
      <c r="V342" t="str">
        <f t="shared" si="176"/>
        <v>SE</v>
      </c>
      <c r="W342" t="str">
        <f t="shared" si="177"/>
        <v>SE</v>
      </c>
      <c r="X342" t="str">
        <f t="shared" si="178"/>
        <v>SE</v>
      </c>
      <c r="Y342" t="str">
        <f t="shared" si="179"/>
        <v>SE</v>
      </c>
      <c r="Z342" t="str">
        <f t="shared" si="180"/>
        <v>SE</v>
      </c>
      <c r="AA342" t="str">
        <f t="shared" si="181"/>
        <v>SE</v>
      </c>
      <c r="AB342" t="str">
        <f t="shared" si="183"/>
        <v>SE</v>
      </c>
      <c r="AC342" t="str">
        <f t="shared" si="182"/>
        <v>SE</v>
      </c>
    </row>
    <row r="343" spans="17:29">
      <c r="Q343" t="str">
        <f t="shared" ref="Q343:Q378" si="197">IF(OR(C262="ESE",C262="SSE"),"SE",IF(OR(C262="WSW",C262="SSW"),"SW",IF(OR(C262="WNW",C262="NNW"),"NW",IF(OR(C262="ENE",C262="NNE"),"NE",IF(OR(C262="N",C262="NE",C262="E",C262="SE",C262="S",C262="SW",C262="W",C262="NW"),C262)))))</f>
        <v>SE</v>
      </c>
      <c r="R343" t="str">
        <f t="shared" ref="R343:R378" si="198">IF(OR(D262="ESE",D262="SSE"),"SE",IF(OR(D262="WSW",D262="SSW"),"SW",IF(OR(D262="WNW",D262="NNW"),"NW",IF(OR(D262="ENE",D262="NNE"),"NE",IF(OR(D262="N",D262="NE",D262="E",D262="SE",D262="S",D262="SW",D262="W",D262="NW"),D262)))))</f>
        <v>SE</v>
      </c>
      <c r="S343" t="str">
        <f t="shared" ref="S343:S378" si="199">IF(OR(E262="ESE",E262="SSE"),"SE",IF(OR(E262="WSW",E262="SSW"),"SW",IF(OR(E262="WNW",E262="NNW"),"NW",IF(OR(E262="ENE",E262="NNE"),"NE",IF(OR(E262="N",E262="NE",E262="E",E262="SE",E262="S",E262="SW",E262="W",E262="NW"),E262)))))</f>
        <v>SE</v>
      </c>
      <c r="T343" t="str">
        <f t="shared" ref="T343:T378" si="200">IF(OR(F262="ESE",F262="SSE"),"SE",IF(OR(F262="WSW",F262="SSW"),"SW",IF(OR(F262="WNW",F262="NNW"),"NW",IF(OR(F262="ENE",F262="NNE"),"NE",IF(OR(F262="N",F262="NE",F262="E",F262="SE",F262="S",F262="SW",F262="W",F262="NW"),F262)))))</f>
        <v>SE</v>
      </c>
      <c r="U343" t="str">
        <f t="shared" ref="U343:U378" si="201">IF(OR(G262="ESE",G262="SSE"),"SE",IF(OR(G262="WSW",G262="SSW"),"SW",IF(OR(G262="WNW",G262="NNW"),"NW",IF(OR(G262="ENE",G262="NNE"),"NE",IF(OR(G262="N",G262="NE",G262="E",G262="SE",G262="S",G262="SW",G262="W",G262="NW"),G262)))))</f>
        <v>SE</v>
      </c>
      <c r="V343" t="str">
        <f t="shared" ref="V343:V378" si="202">IF(OR(H262="ESE",H262="SSE"),"SE",IF(OR(H262="WSW",H262="SSW"),"SW",IF(OR(H262="WNW",H262="NNW"),"NW",IF(OR(H262="ENE",H262="NNE"),"NE",IF(OR(H262="N",H262="NE",H262="E",H262="SE",H262="S",H262="SW",H262="W",H262="NW"),H262)))))</f>
        <v>SE</v>
      </c>
      <c r="W343" t="str">
        <f t="shared" ref="W343:W378" si="203">IF(OR(I262="ESE",I262="SSE"),"SE",IF(OR(I262="WSW",I262="SSW"),"SW",IF(OR(I262="WNW",I262="NNW"),"NW",IF(OR(I262="ENE",I262="NNE"),"NE",IF(OR(I262="N",I262="NE",I262="E",I262="SE",I262="S",I262="SW",I262="W",I262="NW"),I262)))))</f>
        <v>SE</v>
      </c>
      <c r="X343" t="str">
        <f t="shared" ref="X343:X378" si="204">IF(OR(J262="ESE",J262="SSE"),"SE",IF(OR(J262="WSW",J262="SSW"),"SW",IF(OR(J262="WNW",J262="NNW"),"NW",IF(OR(J262="ENE",J262="NNE"),"NE",IF(OR(J262="N",J262="NE",J262="E",J262="SE",J262="S",J262="SW",J262="W",J262="NW"),J262)))))</f>
        <v>SE</v>
      </c>
      <c r="Y343" t="str">
        <f t="shared" ref="Y343:Y378" si="205">IF(OR(K262="ESE",K262="SSE"),"SE",IF(OR(K262="WSW",K262="SSW"),"SW",IF(OR(K262="WNW",K262="NNW"),"NW",IF(OR(K262="ENE",K262="NNE"),"NE",IF(OR(K262="N",K262="NE",K262="E",K262="SE",K262="S",K262="SW",K262="W",K262="NW"),K262)))))</f>
        <v>SE</v>
      </c>
      <c r="Z343" t="str">
        <f t="shared" ref="Z343:Z378" si="206">IF(OR(L262="ESE",L262="SSE"),"SE",IF(OR(L262="WSW",L262="SSW"),"SW",IF(OR(L262="WNW",L262="NNW"),"NW",IF(OR(L262="ENE",L262="NNE"),"NE",IF(OR(L262="N",L262="NE",L262="E",L262="SE",L262="S",L262="SW",L262="W",L262="NW"),L262)))))</f>
        <v>SE</v>
      </c>
      <c r="AA343" t="str">
        <f t="shared" ref="AA343:AA378" si="207">IF(OR(M262="ESE",M262="SSE"),"SE",IF(OR(M262="WSW",M262="SSW"),"SW",IF(OR(M262="WNW",M262="NNW"),"NW",IF(OR(M262="ENE",M262="NNE"),"NE",IF(OR(M262="N",M262="NE",M262="E",M262="SE",M262="S",M262="SW",M262="W",M262="NW"),M262)))))</f>
        <v>SE</v>
      </c>
      <c r="AB343" t="str">
        <f t="shared" si="183"/>
        <v>SE</v>
      </c>
      <c r="AC343" t="str">
        <f t="shared" ref="AC343:AC378" si="208">IF(OR(O262="ESE",O262="SSE"),"SE",IF(OR(O262="WSW",O262="SSW"),"SW",IF(OR(O262="WNW",O262="NNW"),"NW",IF(OR(O262="ENE",O262="NNE"),"NE",IF(OR(O262="N",O262="NE",O262="E",O262="SE",O262="S",O262="SW",O262="W",O262="NW"),O262)))))</f>
        <v>SE</v>
      </c>
    </row>
    <row r="344" spans="17:29">
      <c r="Q344" t="str">
        <f t="shared" si="197"/>
        <v>SW</v>
      </c>
      <c r="R344" t="str">
        <f t="shared" si="198"/>
        <v>SW</v>
      </c>
      <c r="S344" t="str">
        <f t="shared" si="199"/>
        <v>S</v>
      </c>
      <c r="T344" t="str">
        <f t="shared" si="200"/>
        <v>S</v>
      </c>
      <c r="U344" t="str">
        <f t="shared" si="201"/>
        <v>S</v>
      </c>
      <c r="V344" t="str">
        <f t="shared" si="202"/>
        <v>S</v>
      </c>
      <c r="W344" t="str">
        <f t="shared" si="203"/>
        <v>S</v>
      </c>
      <c r="X344" t="str">
        <f t="shared" si="204"/>
        <v>S</v>
      </c>
      <c r="Y344" t="str">
        <f t="shared" si="205"/>
        <v>S</v>
      </c>
      <c r="Z344" t="str">
        <f t="shared" si="206"/>
        <v>S</v>
      </c>
      <c r="AA344" t="str">
        <f t="shared" si="207"/>
        <v>S</v>
      </c>
      <c r="AB344" t="str">
        <f t="shared" ref="AB344:AB378" si="209">IF(OR(N263="ESE",N263="SSE"),"SE",IF(OR(N263="WSW",N263="SSW"),"SW",IF(OR(N263="WNW",N263="NNW"),"NW",IF(OR(N263="ENE",N263="NNE"),"NE",IF(OR(N263="N",N263="NE",N263="E",N263="SE",N263="S",N263="SW",N263="W",N263="NW"),N263)))))</f>
        <v>SW</v>
      </c>
      <c r="AC344" t="str">
        <f t="shared" si="208"/>
        <v>S</v>
      </c>
    </row>
    <row r="345" spans="17:29">
      <c r="Q345" t="str">
        <f t="shared" si="197"/>
        <v>S</v>
      </c>
      <c r="R345" t="str">
        <f t="shared" si="198"/>
        <v>S</v>
      </c>
      <c r="S345" t="str">
        <f t="shared" si="199"/>
        <v>S</v>
      </c>
      <c r="T345" t="str">
        <f t="shared" si="200"/>
        <v>S</v>
      </c>
      <c r="U345" t="str">
        <f t="shared" si="201"/>
        <v>S</v>
      </c>
      <c r="V345" t="str">
        <f t="shared" si="202"/>
        <v>SE</v>
      </c>
      <c r="W345" t="str">
        <f t="shared" si="203"/>
        <v>SE</v>
      </c>
      <c r="X345" t="str">
        <f t="shared" si="204"/>
        <v>SE</v>
      </c>
      <c r="Y345" t="str">
        <f t="shared" si="205"/>
        <v>SE</v>
      </c>
      <c r="Z345" t="str">
        <f t="shared" si="206"/>
        <v>S</v>
      </c>
      <c r="AA345" t="str">
        <f t="shared" si="207"/>
        <v>S</v>
      </c>
      <c r="AB345" t="str">
        <f t="shared" si="209"/>
        <v>S</v>
      </c>
      <c r="AC345" t="str">
        <f t="shared" si="208"/>
        <v>S</v>
      </c>
    </row>
    <row r="346" spans="17:29">
      <c r="Q346" t="str">
        <f t="shared" si="197"/>
        <v>N</v>
      </c>
      <c r="R346" t="str">
        <f t="shared" si="198"/>
        <v>N</v>
      </c>
      <c r="S346" t="str">
        <f t="shared" si="199"/>
        <v>N</v>
      </c>
      <c r="T346" t="str">
        <f t="shared" si="200"/>
        <v>N</v>
      </c>
      <c r="U346" t="str">
        <f t="shared" si="201"/>
        <v>N</v>
      </c>
      <c r="V346" t="str">
        <f t="shared" si="202"/>
        <v>N</v>
      </c>
      <c r="W346" t="str">
        <f t="shared" si="203"/>
        <v>N</v>
      </c>
      <c r="X346" t="str">
        <f t="shared" si="204"/>
        <v>N</v>
      </c>
      <c r="Y346" t="str">
        <f t="shared" si="205"/>
        <v>S</v>
      </c>
      <c r="Z346" t="str">
        <f t="shared" si="206"/>
        <v>S</v>
      </c>
      <c r="AA346" t="str">
        <f t="shared" si="207"/>
        <v>S</v>
      </c>
      <c r="AB346" t="str">
        <f t="shared" si="209"/>
        <v>S</v>
      </c>
      <c r="AC346" t="str">
        <f t="shared" si="208"/>
        <v>N</v>
      </c>
    </row>
    <row r="347" spans="17:29">
      <c r="Q347" t="str">
        <f t="shared" si="197"/>
        <v>SW</v>
      </c>
      <c r="R347" t="str">
        <f t="shared" si="198"/>
        <v>SW</v>
      </c>
      <c r="S347" t="str">
        <f t="shared" si="199"/>
        <v>S</v>
      </c>
      <c r="T347" t="str">
        <f t="shared" si="200"/>
        <v>S</v>
      </c>
      <c r="U347" t="str">
        <f t="shared" si="201"/>
        <v>S</v>
      </c>
      <c r="V347" t="str">
        <f t="shared" si="202"/>
        <v>S</v>
      </c>
      <c r="W347" t="str">
        <f t="shared" si="203"/>
        <v>S</v>
      </c>
      <c r="X347" t="str">
        <f t="shared" si="204"/>
        <v>S</v>
      </c>
      <c r="Y347" t="str">
        <f t="shared" si="205"/>
        <v>S</v>
      </c>
      <c r="Z347" t="str">
        <f t="shared" si="206"/>
        <v>S</v>
      </c>
      <c r="AA347" t="str">
        <f t="shared" si="207"/>
        <v>S</v>
      </c>
      <c r="AB347" t="str">
        <f t="shared" si="209"/>
        <v>SW</v>
      </c>
      <c r="AC347" t="str">
        <f t="shared" si="208"/>
        <v>S</v>
      </c>
    </row>
    <row r="348" spans="17:29">
      <c r="Q348" t="str">
        <f t="shared" si="197"/>
        <v>N</v>
      </c>
      <c r="R348" t="str">
        <f t="shared" si="198"/>
        <v>N</v>
      </c>
      <c r="S348" t="str">
        <f t="shared" si="199"/>
        <v>SE</v>
      </c>
      <c r="T348" t="str">
        <f t="shared" si="200"/>
        <v>SE</v>
      </c>
      <c r="U348" t="str">
        <f t="shared" si="201"/>
        <v>SE</v>
      </c>
      <c r="V348" t="str">
        <f t="shared" si="202"/>
        <v>SE</v>
      </c>
      <c r="W348" t="str">
        <f t="shared" si="203"/>
        <v>SE</v>
      </c>
      <c r="X348" t="str">
        <f t="shared" si="204"/>
        <v>SE</v>
      </c>
      <c r="Y348" t="str">
        <f t="shared" si="205"/>
        <v>SE</v>
      </c>
      <c r="Z348" t="str">
        <f t="shared" si="206"/>
        <v>SE</v>
      </c>
      <c r="AA348" t="str">
        <f t="shared" si="207"/>
        <v>N</v>
      </c>
      <c r="AB348" t="str">
        <f t="shared" si="209"/>
        <v>N</v>
      </c>
      <c r="AC348" t="str">
        <f t="shared" si="208"/>
        <v>SE</v>
      </c>
    </row>
    <row r="349" spans="17:29">
      <c r="Q349" t="str">
        <f t="shared" si="197"/>
        <v>S</v>
      </c>
      <c r="R349" t="str">
        <f t="shared" si="198"/>
        <v>S</v>
      </c>
      <c r="S349" t="str">
        <f t="shared" si="199"/>
        <v>SE</v>
      </c>
      <c r="T349" t="str">
        <f t="shared" si="200"/>
        <v>SE</v>
      </c>
      <c r="U349" t="str">
        <f t="shared" si="201"/>
        <v>SE</v>
      </c>
      <c r="V349" t="str">
        <f t="shared" si="202"/>
        <v>SE</v>
      </c>
      <c r="W349" t="str">
        <f t="shared" si="203"/>
        <v>S</v>
      </c>
      <c r="X349" t="str">
        <f t="shared" si="204"/>
        <v>SE</v>
      </c>
      <c r="Y349" t="str">
        <f t="shared" si="205"/>
        <v>SE</v>
      </c>
      <c r="Z349" t="str">
        <f t="shared" si="206"/>
        <v>SE</v>
      </c>
      <c r="AA349" t="str">
        <f t="shared" si="207"/>
        <v>S</v>
      </c>
      <c r="AB349" t="str">
        <f t="shared" si="209"/>
        <v>S</v>
      </c>
      <c r="AC349" t="str">
        <f t="shared" si="208"/>
        <v>SE</v>
      </c>
    </row>
    <row r="350" spans="17:29">
      <c r="Q350" t="str">
        <f t="shared" si="197"/>
        <v>S</v>
      </c>
      <c r="R350" t="str">
        <f t="shared" si="198"/>
        <v>S</v>
      </c>
      <c r="S350" t="str">
        <f t="shared" si="199"/>
        <v>S</v>
      </c>
      <c r="T350" t="str">
        <f t="shared" si="200"/>
        <v>S</v>
      </c>
      <c r="U350" t="str">
        <f t="shared" si="201"/>
        <v>S</v>
      </c>
      <c r="V350" t="str">
        <f t="shared" si="202"/>
        <v>S</v>
      </c>
      <c r="W350" t="str">
        <f t="shared" si="203"/>
        <v>S</v>
      </c>
      <c r="X350" t="str">
        <f t="shared" si="204"/>
        <v>S</v>
      </c>
      <c r="Y350" t="str">
        <f t="shared" si="205"/>
        <v>S</v>
      </c>
      <c r="Z350" t="str">
        <f t="shared" si="206"/>
        <v>S</v>
      </c>
      <c r="AA350" t="str">
        <f t="shared" si="207"/>
        <v>S</v>
      </c>
      <c r="AB350" t="str">
        <f t="shared" si="209"/>
        <v>S</v>
      </c>
      <c r="AC350" t="str">
        <f t="shared" si="208"/>
        <v>S</v>
      </c>
    </row>
    <row r="351" spans="17:29">
      <c r="Q351" t="str">
        <f t="shared" si="197"/>
        <v>N</v>
      </c>
      <c r="R351" t="str">
        <f t="shared" si="198"/>
        <v>N</v>
      </c>
      <c r="S351" t="str">
        <f t="shared" si="199"/>
        <v>N</v>
      </c>
      <c r="T351" t="str">
        <f t="shared" si="200"/>
        <v>N</v>
      </c>
      <c r="U351" t="str">
        <f t="shared" si="201"/>
        <v>S</v>
      </c>
      <c r="V351" t="str">
        <f t="shared" si="202"/>
        <v>S</v>
      </c>
      <c r="W351" t="str">
        <f t="shared" si="203"/>
        <v>S</v>
      </c>
      <c r="X351" t="str">
        <f t="shared" si="204"/>
        <v>S</v>
      </c>
      <c r="Y351" t="str">
        <f t="shared" si="205"/>
        <v>SE</v>
      </c>
      <c r="Z351" t="str">
        <f t="shared" si="206"/>
        <v>SE</v>
      </c>
      <c r="AA351" t="str">
        <f t="shared" si="207"/>
        <v>S</v>
      </c>
      <c r="AB351" t="str">
        <f t="shared" si="209"/>
        <v>S</v>
      </c>
      <c r="AC351" t="str">
        <f t="shared" si="208"/>
        <v>S</v>
      </c>
    </row>
    <row r="352" spans="17:29">
      <c r="Q352" t="str">
        <f t="shared" si="197"/>
        <v>SE</v>
      </c>
      <c r="R352" t="str">
        <f t="shared" si="198"/>
        <v>SE</v>
      </c>
      <c r="S352" t="str">
        <f t="shared" si="199"/>
        <v>SE</v>
      </c>
      <c r="T352" t="str">
        <f t="shared" si="200"/>
        <v>SE</v>
      </c>
      <c r="U352" t="str">
        <f t="shared" si="201"/>
        <v>SE</v>
      </c>
      <c r="V352" t="str">
        <f t="shared" si="202"/>
        <v>SE</v>
      </c>
      <c r="W352" t="str">
        <f t="shared" si="203"/>
        <v>SE</v>
      </c>
      <c r="X352" t="str">
        <f t="shared" si="204"/>
        <v>SE</v>
      </c>
      <c r="Y352" t="str">
        <f t="shared" si="205"/>
        <v>SE</v>
      </c>
      <c r="Z352" t="str">
        <f t="shared" si="206"/>
        <v>SE</v>
      </c>
      <c r="AA352" t="str">
        <f t="shared" si="207"/>
        <v>SE</v>
      </c>
      <c r="AB352" t="str">
        <f t="shared" si="209"/>
        <v>SE</v>
      </c>
      <c r="AC352" t="str">
        <f t="shared" si="208"/>
        <v>SE</v>
      </c>
    </row>
    <row r="353" spans="17:29">
      <c r="Q353" t="str">
        <f t="shared" si="197"/>
        <v>NE</v>
      </c>
      <c r="R353" t="str">
        <f t="shared" si="198"/>
        <v>NE</v>
      </c>
      <c r="S353" t="str">
        <f t="shared" si="199"/>
        <v>NW</v>
      </c>
      <c r="T353" t="str">
        <f t="shared" si="200"/>
        <v>NW</v>
      </c>
      <c r="U353" t="str">
        <f t="shared" si="201"/>
        <v>NW</v>
      </c>
      <c r="V353" t="str">
        <f t="shared" si="202"/>
        <v>E</v>
      </c>
      <c r="W353" t="str">
        <f t="shared" si="203"/>
        <v>SE</v>
      </c>
      <c r="X353" t="str">
        <f t="shared" si="204"/>
        <v>SE</v>
      </c>
      <c r="Y353" t="str">
        <f t="shared" si="205"/>
        <v>SE</v>
      </c>
      <c r="Z353" t="str">
        <f t="shared" si="206"/>
        <v>SE</v>
      </c>
      <c r="AA353" t="str">
        <f t="shared" si="207"/>
        <v>W</v>
      </c>
      <c r="AB353" t="str">
        <f t="shared" si="209"/>
        <v>NE</v>
      </c>
      <c r="AC353" t="str">
        <f t="shared" si="208"/>
        <v>E</v>
      </c>
    </row>
    <row r="354" spans="17:29">
      <c r="Q354" t="str">
        <f t="shared" si="197"/>
        <v>S</v>
      </c>
      <c r="R354" t="str">
        <f t="shared" si="198"/>
        <v>S</v>
      </c>
      <c r="S354" t="str">
        <f t="shared" si="199"/>
        <v>S</v>
      </c>
      <c r="T354" t="str">
        <f t="shared" si="200"/>
        <v>S</v>
      </c>
      <c r="U354" t="str">
        <f t="shared" si="201"/>
        <v>S</v>
      </c>
      <c r="V354" t="str">
        <f t="shared" si="202"/>
        <v>S</v>
      </c>
      <c r="W354" t="str">
        <f t="shared" si="203"/>
        <v>S</v>
      </c>
      <c r="X354" t="str">
        <f t="shared" si="204"/>
        <v>S</v>
      </c>
      <c r="Y354" t="str">
        <f t="shared" si="205"/>
        <v>S</v>
      </c>
      <c r="Z354" t="str">
        <f t="shared" si="206"/>
        <v>S</v>
      </c>
      <c r="AA354" t="str">
        <f t="shared" si="207"/>
        <v>S</v>
      </c>
      <c r="AB354" t="str">
        <f t="shared" si="209"/>
        <v>S</v>
      </c>
      <c r="AC354" t="str">
        <f t="shared" si="208"/>
        <v>S</v>
      </c>
    </row>
    <row r="355" spans="17:29">
      <c r="Q355" t="str">
        <f t="shared" si="197"/>
        <v>N</v>
      </c>
      <c r="R355" t="str">
        <f t="shared" si="198"/>
        <v>N</v>
      </c>
      <c r="S355" t="str">
        <f t="shared" si="199"/>
        <v>N</v>
      </c>
      <c r="T355" t="str">
        <f t="shared" si="200"/>
        <v>SW</v>
      </c>
      <c r="U355" t="str">
        <f t="shared" si="201"/>
        <v>SW</v>
      </c>
      <c r="V355" t="str">
        <f t="shared" si="202"/>
        <v>SW</v>
      </c>
      <c r="W355" t="str">
        <f t="shared" si="203"/>
        <v>SW</v>
      </c>
      <c r="X355" t="str">
        <f t="shared" si="204"/>
        <v>SW</v>
      </c>
      <c r="Y355" t="str">
        <f t="shared" si="205"/>
        <v>N</v>
      </c>
      <c r="Z355" t="str">
        <f t="shared" si="206"/>
        <v>N</v>
      </c>
      <c r="AA355" t="str">
        <f t="shared" si="207"/>
        <v>SW</v>
      </c>
      <c r="AB355" t="str">
        <f t="shared" si="209"/>
        <v>N</v>
      </c>
      <c r="AC355" t="str">
        <f t="shared" si="208"/>
        <v>SW</v>
      </c>
    </row>
    <row r="356" spans="17:29">
      <c r="Q356" t="str">
        <f t="shared" si="197"/>
        <v>SW</v>
      </c>
      <c r="R356" t="str">
        <f t="shared" si="198"/>
        <v>W</v>
      </c>
      <c r="S356" t="str">
        <f t="shared" si="199"/>
        <v>SW</v>
      </c>
      <c r="T356" t="str">
        <f t="shared" si="200"/>
        <v>SW</v>
      </c>
      <c r="U356" t="str">
        <f t="shared" si="201"/>
        <v>SW</v>
      </c>
      <c r="V356" t="str">
        <f t="shared" si="202"/>
        <v>SW</v>
      </c>
      <c r="W356" t="str">
        <f t="shared" si="203"/>
        <v>SW</v>
      </c>
      <c r="X356" t="str">
        <f t="shared" si="204"/>
        <v>SW</v>
      </c>
      <c r="Y356" t="str">
        <f t="shared" si="205"/>
        <v>N</v>
      </c>
      <c r="Z356" t="str">
        <f t="shared" si="206"/>
        <v>NE</v>
      </c>
      <c r="AA356" t="str">
        <f t="shared" si="207"/>
        <v>SW</v>
      </c>
      <c r="AB356" t="str">
        <f t="shared" si="209"/>
        <v>SW</v>
      </c>
      <c r="AC356" t="str">
        <f t="shared" si="208"/>
        <v>SW</v>
      </c>
    </row>
    <row r="357" spans="17:29">
      <c r="Q357" t="str">
        <f t="shared" si="197"/>
        <v>N</v>
      </c>
      <c r="R357" t="str">
        <f t="shared" si="198"/>
        <v>N</v>
      </c>
      <c r="S357" t="str">
        <f t="shared" si="199"/>
        <v>NE</v>
      </c>
      <c r="T357" t="str">
        <f t="shared" si="200"/>
        <v>S</v>
      </c>
      <c r="U357" t="str">
        <f t="shared" si="201"/>
        <v>S</v>
      </c>
      <c r="V357" t="str">
        <f t="shared" si="202"/>
        <v>SW</v>
      </c>
      <c r="W357" t="str">
        <f t="shared" si="203"/>
        <v>SW</v>
      </c>
      <c r="X357" t="str">
        <f t="shared" si="204"/>
        <v>SW</v>
      </c>
      <c r="Y357" t="str">
        <f t="shared" si="205"/>
        <v>NE</v>
      </c>
      <c r="Z357" t="str">
        <f t="shared" si="206"/>
        <v>NE</v>
      </c>
      <c r="AA357" t="str">
        <f t="shared" si="207"/>
        <v>SW</v>
      </c>
      <c r="AB357" t="str">
        <f t="shared" si="209"/>
        <v>N</v>
      </c>
      <c r="AC357" t="str">
        <f t="shared" si="208"/>
        <v>SW</v>
      </c>
    </row>
    <row r="358" spans="17:29">
      <c r="Q358" t="str">
        <f t="shared" si="197"/>
        <v>NW</v>
      </c>
      <c r="R358" t="str">
        <f t="shared" si="198"/>
        <v>NW</v>
      </c>
      <c r="S358" t="str">
        <f t="shared" si="199"/>
        <v>NW</v>
      </c>
      <c r="T358" t="str">
        <f t="shared" si="200"/>
        <v>S</v>
      </c>
      <c r="U358" t="str">
        <f t="shared" si="201"/>
        <v>S</v>
      </c>
      <c r="V358" t="str">
        <f t="shared" si="202"/>
        <v>S</v>
      </c>
      <c r="W358" t="str">
        <f t="shared" si="203"/>
        <v>S</v>
      </c>
      <c r="X358" t="str">
        <f t="shared" si="204"/>
        <v>S</v>
      </c>
      <c r="Y358" t="str">
        <f t="shared" si="205"/>
        <v>NW</v>
      </c>
      <c r="Z358" t="str">
        <f t="shared" si="206"/>
        <v>NW</v>
      </c>
      <c r="AA358" t="str">
        <f t="shared" si="207"/>
        <v>NW</v>
      </c>
      <c r="AB358" t="str">
        <f t="shared" si="209"/>
        <v>NW</v>
      </c>
      <c r="AC358" t="str">
        <f t="shared" si="208"/>
        <v>NW</v>
      </c>
    </row>
    <row r="359" spans="17:29">
      <c r="Q359" t="str">
        <f t="shared" si="197"/>
        <v>N</v>
      </c>
      <c r="R359" t="str">
        <f t="shared" si="198"/>
        <v>N</v>
      </c>
      <c r="S359" t="str">
        <f t="shared" si="199"/>
        <v>N</v>
      </c>
      <c r="T359" t="str">
        <f t="shared" si="200"/>
        <v>S</v>
      </c>
      <c r="U359" t="str">
        <f t="shared" si="201"/>
        <v>S</v>
      </c>
      <c r="V359" t="str">
        <f t="shared" si="202"/>
        <v>S</v>
      </c>
      <c r="W359" t="str">
        <f t="shared" si="203"/>
        <v>S</v>
      </c>
      <c r="X359" t="str">
        <f t="shared" si="204"/>
        <v>S</v>
      </c>
      <c r="Y359" t="str">
        <f t="shared" si="205"/>
        <v>N</v>
      </c>
      <c r="Z359" t="str">
        <f t="shared" si="206"/>
        <v>N</v>
      </c>
      <c r="AA359" t="str">
        <f t="shared" si="207"/>
        <v>N</v>
      </c>
      <c r="AB359" t="str">
        <f t="shared" si="209"/>
        <v>N</v>
      </c>
      <c r="AC359" t="str">
        <f t="shared" si="208"/>
        <v>S</v>
      </c>
    </row>
    <row r="360" spans="17:29">
      <c r="Q360" t="str">
        <f t="shared" si="197"/>
        <v>NW</v>
      </c>
      <c r="R360" t="str">
        <f t="shared" si="198"/>
        <v>NW</v>
      </c>
      <c r="S360" t="str">
        <f t="shared" si="199"/>
        <v>NW</v>
      </c>
      <c r="T360" t="str">
        <f t="shared" si="200"/>
        <v>NW</v>
      </c>
      <c r="U360" t="str">
        <f t="shared" si="201"/>
        <v>NW</v>
      </c>
      <c r="V360" t="str">
        <f t="shared" si="202"/>
        <v>NW</v>
      </c>
      <c r="W360" t="str">
        <f t="shared" si="203"/>
        <v>NW</v>
      </c>
      <c r="X360" t="str">
        <f t="shared" si="204"/>
        <v>NW</v>
      </c>
      <c r="Y360" t="str">
        <f t="shared" si="205"/>
        <v>NW</v>
      </c>
      <c r="Z360" t="str">
        <f t="shared" si="206"/>
        <v>NW</v>
      </c>
      <c r="AA360" t="str">
        <f t="shared" si="207"/>
        <v>NW</v>
      </c>
      <c r="AB360" t="str">
        <f t="shared" si="209"/>
        <v>NW</v>
      </c>
      <c r="AC360" t="str">
        <f t="shared" si="208"/>
        <v>NW</v>
      </c>
    </row>
    <row r="361" spans="17:29">
      <c r="Q361" t="str">
        <f t="shared" si="197"/>
        <v>SE</v>
      </c>
      <c r="R361" t="str">
        <f t="shared" si="198"/>
        <v>SE</v>
      </c>
      <c r="S361" t="str">
        <f t="shared" si="199"/>
        <v>SE</v>
      </c>
      <c r="T361" t="str">
        <f t="shared" si="200"/>
        <v>SE</v>
      </c>
      <c r="U361" t="str">
        <f t="shared" si="201"/>
        <v>N</v>
      </c>
      <c r="V361" t="str">
        <f t="shared" si="202"/>
        <v>N</v>
      </c>
      <c r="W361" t="str">
        <f t="shared" si="203"/>
        <v>N</v>
      </c>
      <c r="X361" t="str">
        <f t="shared" si="204"/>
        <v>N</v>
      </c>
      <c r="Y361" t="str">
        <f t="shared" si="205"/>
        <v>N</v>
      </c>
      <c r="Z361" t="str">
        <f t="shared" si="206"/>
        <v>SE</v>
      </c>
      <c r="AA361" t="str">
        <f t="shared" si="207"/>
        <v>SE</v>
      </c>
      <c r="AB361" t="str">
        <f t="shared" si="209"/>
        <v>SE</v>
      </c>
      <c r="AC361" t="str">
        <f t="shared" si="208"/>
        <v>SE</v>
      </c>
    </row>
    <row r="362" spans="17:29">
      <c r="Q362" t="str">
        <f t="shared" si="197"/>
        <v>SW</v>
      </c>
      <c r="R362" t="str">
        <f t="shared" si="198"/>
        <v>SW</v>
      </c>
      <c r="S362" t="str">
        <f t="shared" si="199"/>
        <v>SW</v>
      </c>
      <c r="T362" t="str">
        <f t="shared" si="200"/>
        <v>SW</v>
      </c>
      <c r="U362" t="str">
        <f t="shared" si="201"/>
        <v>SW</v>
      </c>
      <c r="V362" t="str">
        <f t="shared" si="202"/>
        <v>SW</v>
      </c>
      <c r="W362" t="str">
        <f t="shared" si="203"/>
        <v>SW</v>
      </c>
      <c r="X362" t="str">
        <f t="shared" si="204"/>
        <v>SW</v>
      </c>
      <c r="Y362" t="str">
        <f t="shared" si="205"/>
        <v>SW</v>
      </c>
      <c r="Z362" t="str">
        <f t="shared" si="206"/>
        <v>SW</v>
      </c>
      <c r="AA362" t="str">
        <f t="shared" si="207"/>
        <v>SW</v>
      </c>
      <c r="AB362" t="str">
        <f t="shared" si="209"/>
        <v>SW</v>
      </c>
      <c r="AC362" t="str">
        <f t="shared" si="208"/>
        <v>SW</v>
      </c>
    </row>
    <row r="363" spans="17:29">
      <c r="Q363" t="str">
        <f t="shared" si="197"/>
        <v>S</v>
      </c>
      <c r="R363" t="str">
        <f t="shared" si="198"/>
        <v>S</v>
      </c>
      <c r="S363" t="str">
        <f t="shared" si="199"/>
        <v>S</v>
      </c>
      <c r="T363" t="str">
        <f t="shared" si="200"/>
        <v>SW</v>
      </c>
      <c r="U363" t="str">
        <f t="shared" si="201"/>
        <v>SW</v>
      </c>
      <c r="V363" t="str">
        <f t="shared" si="202"/>
        <v>SW</v>
      </c>
      <c r="W363" t="str">
        <f t="shared" si="203"/>
        <v>SW</v>
      </c>
      <c r="X363" t="str">
        <f t="shared" si="204"/>
        <v>SW</v>
      </c>
      <c r="Y363" t="str">
        <f t="shared" si="205"/>
        <v>N</v>
      </c>
      <c r="Z363" t="str">
        <f t="shared" si="206"/>
        <v>S</v>
      </c>
      <c r="AA363" t="str">
        <f t="shared" si="207"/>
        <v>S</v>
      </c>
      <c r="AB363" t="str">
        <f t="shared" si="209"/>
        <v>S</v>
      </c>
      <c r="AC363" t="str">
        <f t="shared" si="208"/>
        <v>S</v>
      </c>
    </row>
    <row r="364" spans="17:29">
      <c r="Q364" t="str">
        <f t="shared" si="197"/>
        <v>NE</v>
      </c>
      <c r="R364" t="str">
        <f t="shared" si="198"/>
        <v>NE</v>
      </c>
      <c r="S364" t="str">
        <f t="shared" si="199"/>
        <v>NE</v>
      </c>
      <c r="T364" t="str">
        <f t="shared" si="200"/>
        <v>NE</v>
      </c>
      <c r="U364" t="str">
        <f t="shared" si="201"/>
        <v>SW</v>
      </c>
      <c r="V364" t="str">
        <f t="shared" si="202"/>
        <v>SW</v>
      </c>
      <c r="W364" t="str">
        <f t="shared" si="203"/>
        <v>SW</v>
      </c>
      <c r="X364" t="str">
        <f t="shared" si="204"/>
        <v>SW</v>
      </c>
      <c r="Y364" t="str">
        <f t="shared" si="205"/>
        <v>SW</v>
      </c>
      <c r="Z364" t="str">
        <f t="shared" si="206"/>
        <v>SW</v>
      </c>
      <c r="AA364" t="str">
        <f t="shared" si="207"/>
        <v>SW</v>
      </c>
      <c r="AB364" t="str">
        <f t="shared" si="209"/>
        <v>SW</v>
      </c>
      <c r="AC364" t="str">
        <f t="shared" si="208"/>
        <v>SW</v>
      </c>
    </row>
    <row r="365" spans="17:29">
      <c r="Q365" t="str">
        <f t="shared" si="197"/>
        <v>S</v>
      </c>
      <c r="R365" t="str">
        <f t="shared" si="198"/>
        <v>S</v>
      </c>
      <c r="S365" t="str">
        <f t="shared" si="199"/>
        <v>S</v>
      </c>
      <c r="T365" t="str">
        <f t="shared" si="200"/>
        <v>S</v>
      </c>
      <c r="U365" t="str">
        <f t="shared" si="201"/>
        <v>S</v>
      </c>
      <c r="V365" t="str">
        <f t="shared" si="202"/>
        <v>S</v>
      </c>
      <c r="W365" t="str">
        <f t="shared" si="203"/>
        <v>S</v>
      </c>
      <c r="X365" t="str">
        <f t="shared" si="204"/>
        <v>S</v>
      </c>
      <c r="Y365" t="str">
        <f t="shared" si="205"/>
        <v>S</v>
      </c>
      <c r="Z365" t="str">
        <f t="shared" si="206"/>
        <v>S</v>
      </c>
      <c r="AA365" t="str">
        <f t="shared" si="207"/>
        <v>S</v>
      </c>
      <c r="AB365" t="str">
        <f t="shared" si="209"/>
        <v>S</v>
      </c>
      <c r="AC365" t="str">
        <f t="shared" si="208"/>
        <v>S</v>
      </c>
    </row>
    <row r="366" spans="17:29">
      <c r="Q366" t="str">
        <f t="shared" si="197"/>
        <v>W</v>
      </c>
      <c r="R366" t="str">
        <f t="shared" si="198"/>
        <v>W</v>
      </c>
      <c r="S366" t="str">
        <f t="shared" si="199"/>
        <v>W</v>
      </c>
      <c r="T366" t="str">
        <f t="shared" si="200"/>
        <v>W</v>
      </c>
      <c r="U366" t="str">
        <f t="shared" si="201"/>
        <v>W</v>
      </c>
      <c r="V366" t="str">
        <f t="shared" si="202"/>
        <v>W</v>
      </c>
      <c r="W366" t="str">
        <f t="shared" si="203"/>
        <v>W</v>
      </c>
      <c r="X366" t="str">
        <f t="shared" si="204"/>
        <v>W</v>
      </c>
      <c r="Y366" t="str">
        <f t="shared" si="205"/>
        <v>W</v>
      </c>
      <c r="Z366" t="str">
        <f t="shared" si="206"/>
        <v>W</v>
      </c>
      <c r="AA366" t="str">
        <f t="shared" si="207"/>
        <v>W</v>
      </c>
      <c r="AB366" t="str">
        <f t="shared" si="209"/>
        <v>W</v>
      </c>
      <c r="AC366" t="str">
        <f t="shared" si="208"/>
        <v>W</v>
      </c>
    </row>
    <row r="367" spans="17:29">
      <c r="Q367" t="str">
        <f t="shared" si="197"/>
        <v>NW</v>
      </c>
      <c r="R367" t="str">
        <f t="shared" si="198"/>
        <v>NW</v>
      </c>
      <c r="S367" t="str">
        <f t="shared" si="199"/>
        <v>SE</v>
      </c>
      <c r="T367" t="str">
        <f t="shared" si="200"/>
        <v>NW</v>
      </c>
      <c r="U367" t="str">
        <f t="shared" si="201"/>
        <v>SE</v>
      </c>
      <c r="V367" t="str">
        <f t="shared" si="202"/>
        <v>SW</v>
      </c>
      <c r="W367" t="str">
        <f t="shared" si="203"/>
        <v>SW</v>
      </c>
      <c r="X367" t="str">
        <f t="shared" si="204"/>
        <v>SE</v>
      </c>
      <c r="Y367" t="str">
        <f t="shared" si="205"/>
        <v>SE</v>
      </c>
      <c r="Z367" t="str">
        <f t="shared" si="206"/>
        <v>SE</v>
      </c>
      <c r="AA367" t="str">
        <f t="shared" si="207"/>
        <v>SE</v>
      </c>
      <c r="AB367" t="str">
        <f t="shared" si="209"/>
        <v>SE</v>
      </c>
      <c r="AC367" t="str">
        <f t="shared" si="208"/>
        <v>SE</v>
      </c>
    </row>
    <row r="368" spans="17:29">
      <c r="Q368" t="str">
        <f t="shared" si="197"/>
        <v>W</v>
      </c>
      <c r="R368" t="str">
        <f t="shared" si="198"/>
        <v>N</v>
      </c>
      <c r="S368" t="str">
        <f t="shared" si="199"/>
        <v>W</v>
      </c>
      <c r="T368" t="str">
        <f t="shared" si="200"/>
        <v>W</v>
      </c>
      <c r="U368" t="str">
        <f t="shared" si="201"/>
        <v>S</v>
      </c>
      <c r="V368" t="str">
        <f t="shared" si="202"/>
        <v>S</v>
      </c>
      <c r="W368" t="str">
        <f t="shared" si="203"/>
        <v>SW</v>
      </c>
      <c r="X368" t="str">
        <f t="shared" si="204"/>
        <v>S</v>
      </c>
      <c r="Y368" t="str">
        <f t="shared" si="205"/>
        <v>N</v>
      </c>
      <c r="Z368" t="str">
        <f t="shared" si="206"/>
        <v>N</v>
      </c>
      <c r="AA368" t="str">
        <f t="shared" si="207"/>
        <v>N</v>
      </c>
      <c r="AB368" t="str">
        <f t="shared" si="209"/>
        <v>W</v>
      </c>
      <c r="AC368" t="str">
        <f t="shared" si="208"/>
        <v>W</v>
      </c>
    </row>
    <row r="369" spans="17:29">
      <c r="Q369" t="str">
        <f t="shared" si="197"/>
        <v>NW</v>
      </c>
      <c r="R369" t="str">
        <f t="shared" si="198"/>
        <v>NW</v>
      </c>
      <c r="S369" t="str">
        <f t="shared" si="199"/>
        <v>NW</v>
      </c>
      <c r="T369" t="str">
        <f t="shared" si="200"/>
        <v>NW</v>
      </c>
      <c r="U369" t="str">
        <f t="shared" si="201"/>
        <v>NW</v>
      </c>
      <c r="V369" t="str">
        <f t="shared" si="202"/>
        <v>NW</v>
      </c>
      <c r="W369" t="str">
        <f t="shared" si="203"/>
        <v>NW</v>
      </c>
      <c r="X369" t="str">
        <f t="shared" si="204"/>
        <v>NW</v>
      </c>
      <c r="Y369" t="str">
        <f t="shared" si="205"/>
        <v>NW</v>
      </c>
      <c r="Z369" t="str">
        <f t="shared" si="206"/>
        <v>NW</v>
      </c>
      <c r="AA369" t="str">
        <f t="shared" si="207"/>
        <v>NW</v>
      </c>
      <c r="AB369" t="str">
        <f t="shared" si="209"/>
        <v>W</v>
      </c>
      <c r="AC369" t="str">
        <f t="shared" si="208"/>
        <v>NW</v>
      </c>
    </row>
    <row r="370" spans="17:29">
      <c r="Q370" t="str">
        <f t="shared" si="197"/>
        <v>SW</v>
      </c>
      <c r="R370" t="str">
        <f t="shared" si="198"/>
        <v>SW</v>
      </c>
      <c r="S370" t="str">
        <f t="shared" si="199"/>
        <v>SW</v>
      </c>
      <c r="T370" t="str">
        <f t="shared" si="200"/>
        <v>SW</v>
      </c>
      <c r="U370" t="str">
        <f t="shared" si="201"/>
        <v>SW</v>
      </c>
      <c r="V370" t="str">
        <f t="shared" si="202"/>
        <v>SW</v>
      </c>
      <c r="W370" t="str">
        <f t="shared" si="203"/>
        <v>SW</v>
      </c>
      <c r="X370" t="str">
        <f t="shared" si="204"/>
        <v>SW</v>
      </c>
      <c r="Y370" t="str">
        <f t="shared" si="205"/>
        <v>SW</v>
      </c>
      <c r="Z370" t="str">
        <f t="shared" si="206"/>
        <v>SW</v>
      </c>
      <c r="AA370" t="str">
        <f t="shared" si="207"/>
        <v>SW</v>
      </c>
      <c r="AB370" t="str">
        <f t="shared" si="209"/>
        <v>SW</v>
      </c>
      <c r="AC370" t="str">
        <f t="shared" si="208"/>
        <v>SW</v>
      </c>
    </row>
    <row r="371" spans="17:29">
      <c r="Q371" t="str">
        <f t="shared" si="197"/>
        <v>W</v>
      </c>
      <c r="R371" t="str">
        <f t="shared" si="198"/>
        <v>W</v>
      </c>
      <c r="S371" t="str">
        <f t="shared" si="199"/>
        <v>SW</v>
      </c>
      <c r="T371" t="str">
        <f t="shared" si="200"/>
        <v>SW</v>
      </c>
      <c r="U371" t="str">
        <f t="shared" si="201"/>
        <v>NE</v>
      </c>
      <c r="V371" t="str">
        <f t="shared" si="202"/>
        <v>NE</v>
      </c>
      <c r="W371" t="str">
        <f t="shared" si="203"/>
        <v>NE</v>
      </c>
      <c r="X371" t="str">
        <f t="shared" si="204"/>
        <v>NE</v>
      </c>
      <c r="Y371" t="str">
        <f t="shared" si="205"/>
        <v>NE</v>
      </c>
      <c r="Z371" t="str">
        <f t="shared" si="206"/>
        <v>NE</v>
      </c>
      <c r="AA371" t="str">
        <f t="shared" si="207"/>
        <v>SW</v>
      </c>
      <c r="AB371" t="str">
        <f t="shared" si="209"/>
        <v>SW</v>
      </c>
      <c r="AC371" t="str">
        <f t="shared" si="208"/>
        <v>SW</v>
      </c>
    </row>
    <row r="372" spans="17:29">
      <c r="Q372" t="str">
        <f t="shared" si="197"/>
        <v>NW</v>
      </c>
      <c r="R372" t="str">
        <f t="shared" si="198"/>
        <v>NW</v>
      </c>
      <c r="S372" t="str">
        <f t="shared" si="199"/>
        <v>NW</v>
      </c>
      <c r="T372" t="str">
        <f t="shared" si="200"/>
        <v>S</v>
      </c>
      <c r="U372" t="str">
        <f t="shared" si="201"/>
        <v>S</v>
      </c>
      <c r="V372" t="str">
        <f t="shared" si="202"/>
        <v>S</v>
      </c>
      <c r="W372" t="str">
        <f t="shared" si="203"/>
        <v>S</v>
      </c>
      <c r="X372" t="str">
        <f t="shared" si="204"/>
        <v>S</v>
      </c>
      <c r="Y372" t="str">
        <f t="shared" si="205"/>
        <v>S</v>
      </c>
      <c r="Z372" t="str">
        <f t="shared" si="206"/>
        <v>S</v>
      </c>
      <c r="AA372" t="str">
        <f t="shared" si="207"/>
        <v>S</v>
      </c>
      <c r="AB372" t="str">
        <f t="shared" si="209"/>
        <v>S</v>
      </c>
      <c r="AC372" t="str">
        <f t="shared" si="208"/>
        <v>S</v>
      </c>
    </row>
    <row r="373" spans="17:29">
      <c r="Q373" t="str">
        <f t="shared" si="197"/>
        <v>NW</v>
      </c>
      <c r="R373" t="str">
        <f t="shared" si="198"/>
        <v>NW</v>
      </c>
      <c r="S373" t="str">
        <f t="shared" si="199"/>
        <v>NW</v>
      </c>
      <c r="T373" t="str">
        <f t="shared" si="200"/>
        <v>S</v>
      </c>
      <c r="U373" t="str">
        <f t="shared" si="201"/>
        <v>S</v>
      </c>
      <c r="V373" t="str">
        <f t="shared" si="202"/>
        <v>S</v>
      </c>
      <c r="W373" t="str">
        <f t="shared" si="203"/>
        <v>S</v>
      </c>
      <c r="X373" t="str">
        <f t="shared" si="204"/>
        <v>S</v>
      </c>
      <c r="Y373" t="str">
        <f t="shared" si="205"/>
        <v>S</v>
      </c>
      <c r="Z373" t="str">
        <f t="shared" si="206"/>
        <v>S</v>
      </c>
      <c r="AA373" t="str">
        <f t="shared" si="207"/>
        <v>S</v>
      </c>
      <c r="AB373" t="str">
        <f t="shared" si="209"/>
        <v>NW</v>
      </c>
      <c r="AC373" t="str">
        <f t="shared" si="208"/>
        <v>S</v>
      </c>
    </row>
    <row r="374" spans="17:29">
      <c r="Q374" t="str">
        <f t="shared" si="197"/>
        <v>NW</v>
      </c>
      <c r="R374" t="str">
        <f t="shared" si="198"/>
        <v>NW</v>
      </c>
      <c r="S374" t="str">
        <f t="shared" si="199"/>
        <v>NW</v>
      </c>
      <c r="T374" t="str">
        <f t="shared" si="200"/>
        <v>N</v>
      </c>
      <c r="U374" t="str">
        <f t="shared" si="201"/>
        <v>NE</v>
      </c>
      <c r="V374" t="str">
        <f t="shared" si="202"/>
        <v>NE</v>
      </c>
      <c r="W374" t="str">
        <f t="shared" si="203"/>
        <v>SW</v>
      </c>
      <c r="X374" t="str">
        <f t="shared" si="204"/>
        <v>SW</v>
      </c>
      <c r="Y374" t="str">
        <f t="shared" si="205"/>
        <v>SW</v>
      </c>
      <c r="Z374" t="str">
        <f t="shared" si="206"/>
        <v>SW</v>
      </c>
      <c r="AA374" t="str">
        <f t="shared" si="207"/>
        <v>NW</v>
      </c>
      <c r="AB374" t="str">
        <f t="shared" si="209"/>
        <v>NW</v>
      </c>
      <c r="AC374" t="str">
        <f t="shared" si="208"/>
        <v>SW</v>
      </c>
    </row>
    <row r="375" spans="17:29">
      <c r="Q375" t="str">
        <f t="shared" si="197"/>
        <v>SW</v>
      </c>
      <c r="R375" t="str">
        <f t="shared" si="198"/>
        <v>SW</v>
      </c>
      <c r="S375" t="str">
        <f t="shared" si="199"/>
        <v>SW</v>
      </c>
      <c r="T375" t="str">
        <f t="shared" si="200"/>
        <v>SW</v>
      </c>
      <c r="U375" t="str">
        <f t="shared" si="201"/>
        <v>SW</v>
      </c>
      <c r="V375" t="str">
        <f t="shared" si="202"/>
        <v>SW</v>
      </c>
      <c r="W375" t="str">
        <f t="shared" si="203"/>
        <v>SW</v>
      </c>
      <c r="X375" t="str">
        <f t="shared" si="204"/>
        <v>SW</v>
      </c>
      <c r="Y375" t="str">
        <f t="shared" si="205"/>
        <v>SW</v>
      </c>
      <c r="Z375" t="str">
        <f t="shared" si="206"/>
        <v>SW</v>
      </c>
      <c r="AA375" t="str">
        <f t="shared" si="207"/>
        <v>SW</v>
      </c>
      <c r="AB375" t="str">
        <f t="shared" si="209"/>
        <v>SW</v>
      </c>
      <c r="AC375" t="str">
        <f t="shared" si="208"/>
        <v>SW</v>
      </c>
    </row>
    <row r="376" spans="17:29">
      <c r="Q376" t="str">
        <f t="shared" si="197"/>
        <v>NW</v>
      </c>
      <c r="R376" t="str">
        <f t="shared" si="198"/>
        <v>NW</v>
      </c>
      <c r="S376" t="str">
        <f t="shared" si="199"/>
        <v>NW</v>
      </c>
      <c r="T376" t="str">
        <f t="shared" si="200"/>
        <v>NW</v>
      </c>
      <c r="U376" t="str">
        <f t="shared" si="201"/>
        <v>NW</v>
      </c>
      <c r="V376" t="str">
        <f t="shared" si="202"/>
        <v>NW</v>
      </c>
      <c r="W376" t="str">
        <f t="shared" si="203"/>
        <v>NW</v>
      </c>
      <c r="X376" t="str">
        <f t="shared" si="204"/>
        <v>NW</v>
      </c>
      <c r="Y376" t="str">
        <f t="shared" si="205"/>
        <v>NW</v>
      </c>
      <c r="Z376" t="str">
        <f t="shared" si="206"/>
        <v>W</v>
      </c>
      <c r="AA376" t="str">
        <f t="shared" si="207"/>
        <v>NW</v>
      </c>
      <c r="AB376" t="str">
        <f t="shared" si="209"/>
        <v>NW</v>
      </c>
      <c r="AC376" t="str">
        <f t="shared" si="208"/>
        <v>NW</v>
      </c>
    </row>
    <row r="377" spans="17:29">
      <c r="Q377" t="str">
        <f t="shared" si="197"/>
        <v>SW</v>
      </c>
      <c r="R377" t="str">
        <f t="shared" si="198"/>
        <v>SW</v>
      </c>
      <c r="S377" t="str">
        <f t="shared" si="199"/>
        <v>SW</v>
      </c>
      <c r="T377" t="str">
        <f t="shared" si="200"/>
        <v>SW</v>
      </c>
      <c r="U377" t="str">
        <f t="shared" si="201"/>
        <v>SW</v>
      </c>
      <c r="V377" t="str">
        <f t="shared" si="202"/>
        <v>SW</v>
      </c>
      <c r="W377" t="str">
        <f t="shared" si="203"/>
        <v>SW</v>
      </c>
      <c r="X377" t="str">
        <f t="shared" si="204"/>
        <v>SW</v>
      </c>
      <c r="Y377" t="str">
        <f t="shared" si="205"/>
        <v>SW</v>
      </c>
      <c r="Z377" t="str">
        <f t="shared" si="206"/>
        <v>SW</v>
      </c>
      <c r="AA377" t="str">
        <f t="shared" si="207"/>
        <v>SW</v>
      </c>
      <c r="AB377" t="str">
        <f t="shared" si="209"/>
        <v>SW</v>
      </c>
      <c r="AC377" t="str">
        <f t="shared" si="208"/>
        <v>SW</v>
      </c>
    </row>
    <row r="378" spans="17:29">
      <c r="Q378" t="str">
        <f t="shared" si="197"/>
        <v>NW</v>
      </c>
      <c r="R378" t="str">
        <f t="shared" si="198"/>
        <v>NW</v>
      </c>
      <c r="S378" t="str">
        <f t="shared" si="199"/>
        <v>NW</v>
      </c>
      <c r="T378" t="str">
        <f t="shared" si="200"/>
        <v>NW</v>
      </c>
      <c r="U378" t="str">
        <f t="shared" si="201"/>
        <v>NW</v>
      </c>
      <c r="V378" t="str">
        <f t="shared" si="202"/>
        <v>NW</v>
      </c>
      <c r="W378" t="str">
        <f t="shared" si="203"/>
        <v>NW</v>
      </c>
      <c r="X378" t="str">
        <f t="shared" si="204"/>
        <v>NW</v>
      </c>
      <c r="Y378" t="str">
        <f t="shared" si="205"/>
        <v>NW</v>
      </c>
      <c r="Z378" t="str">
        <f t="shared" si="206"/>
        <v>NW</v>
      </c>
      <c r="AA378" t="str">
        <f t="shared" si="207"/>
        <v>NW</v>
      </c>
      <c r="AB378" t="str">
        <f t="shared" si="209"/>
        <v>NW</v>
      </c>
      <c r="AC378" t="str">
        <f t="shared" si="208"/>
        <v>NW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Gale Dash</vt:lpstr>
      <vt:lpstr>WindData</vt:lpstr>
      <vt:lpstr>GeoData</vt:lpstr>
      <vt:lpstr>OptimalCities</vt:lpstr>
      <vt:lpstr>JourneyLegs</vt:lpstr>
      <vt:lpstr>Wind&amp;TableData</vt:lpstr>
      <vt:lpstr>ALABAMALIST</vt:lpstr>
      <vt:lpstr>ALASKALIST</vt:lpstr>
      <vt:lpstr>ARIZONALIST</vt:lpstr>
      <vt:lpstr>ARKANSASLIST</vt:lpstr>
      <vt:lpstr>CALIFORNIALIST</vt:lpstr>
      <vt:lpstr>cityarray</vt:lpstr>
      <vt:lpstr>COLORADOLIST</vt:lpstr>
      <vt:lpstr>CONNECTICUTLIST</vt:lpstr>
      <vt:lpstr>DELAWARE</vt:lpstr>
      <vt:lpstr>differencelookup</vt:lpstr>
      <vt:lpstr>distancelookup</vt:lpstr>
      <vt:lpstr>DISTRICTOFCOLUMBIALIST</vt:lpstr>
      <vt:lpstr>FLORIDALIST</vt:lpstr>
      <vt:lpstr>GEORGIALIST</vt:lpstr>
      <vt:lpstr>HAWAIILIST</vt:lpstr>
      <vt:lpstr>IDAHOLIST</vt:lpstr>
      <vt:lpstr>ILLINOISLIST</vt:lpstr>
      <vt:lpstr>INDIANALIST</vt:lpstr>
      <vt:lpstr>IOWALIST</vt:lpstr>
      <vt:lpstr>KANSASLIST</vt:lpstr>
      <vt:lpstr>KENTUCKYLIST</vt:lpstr>
      <vt:lpstr>Leg1Table</vt:lpstr>
      <vt:lpstr>LOUISIANALIST</vt:lpstr>
      <vt:lpstr>MAINELIST</vt:lpstr>
      <vt:lpstr>MARYLANDLIST</vt:lpstr>
      <vt:lpstr>MASSACHUSETTSLIST</vt:lpstr>
      <vt:lpstr>MICHIGANLIST</vt:lpstr>
      <vt:lpstr>MINNESOTALIST</vt:lpstr>
      <vt:lpstr>MISSISSIPILIST</vt:lpstr>
      <vt:lpstr>MISSOURILIST</vt:lpstr>
      <vt:lpstr>MONTANALIST</vt:lpstr>
      <vt:lpstr>montharray</vt:lpstr>
      <vt:lpstr>monthlookup</vt:lpstr>
      <vt:lpstr>NEBRASKALIST</vt:lpstr>
      <vt:lpstr>NEVADALIST</vt:lpstr>
      <vt:lpstr>NEWHAMPSHIRELIST</vt:lpstr>
      <vt:lpstr>NEWjERSEYLIST</vt:lpstr>
      <vt:lpstr>NEWLERSEYLIST</vt:lpstr>
      <vt:lpstr>NEWMEXICOLIST</vt:lpstr>
      <vt:lpstr>NEWYORKLIST</vt:lpstr>
      <vt:lpstr>NORTHCAROLINALIST</vt:lpstr>
      <vt:lpstr>NORTHDAKOTALIST</vt:lpstr>
      <vt:lpstr>OHIOLIST</vt:lpstr>
      <vt:lpstr>OKLAHOMALIST</vt:lpstr>
      <vt:lpstr>OREGONLIST</vt:lpstr>
      <vt:lpstr>PENNSYLVANIALIST</vt:lpstr>
      <vt:lpstr>RHODEISLANDLIST</vt:lpstr>
      <vt:lpstr>SOUTHCAROLINALIST</vt:lpstr>
      <vt:lpstr>SOUTHDAKOTALIST</vt:lpstr>
      <vt:lpstr>stateabreviation</vt:lpstr>
      <vt:lpstr>statearray</vt:lpstr>
      <vt:lpstr>TENNESSEELIST</vt:lpstr>
      <vt:lpstr>TEXASLIST</vt:lpstr>
      <vt:lpstr>UTAHLIST</vt:lpstr>
      <vt:lpstr>VERMONTLIST</vt:lpstr>
      <vt:lpstr>VIRGINIALIST</vt:lpstr>
      <vt:lpstr>WASHINGTONLIST</vt:lpstr>
      <vt:lpstr>WESTVIRGINIALIST</vt:lpstr>
      <vt:lpstr>windarray</vt:lpstr>
      <vt:lpstr>winddirection</vt:lpstr>
      <vt:lpstr>WISCONSINLIST</vt:lpstr>
      <vt:lpstr>WYOMINGLIST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Jack Billimack</cp:lastModifiedBy>
  <dcterms:created xsi:type="dcterms:W3CDTF">2017-03-21T22:45:53Z</dcterms:created>
  <dcterms:modified xsi:type="dcterms:W3CDTF">2018-09-07T16:35:51Z</dcterms:modified>
</cp:coreProperties>
</file>